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mander &amp; Friends" sheetId="1" r:id="rId5"/>
    <sheet state="visible" name="Squirtle &amp; Friends" sheetId="2" r:id="rId6"/>
    <sheet state="visible" name="Bulbasaur &amp; Friends" sheetId="3" r:id="rId7"/>
    <sheet state="visible" name="Psychic Machamp" sheetId="4" r:id="rId8"/>
    <sheet state="visible" name="Copy of Blank 3" sheetId="5" r:id="rId9"/>
    <sheet state="visible" name="Copy of Blank 4" sheetId="6" r:id="rId10"/>
    <sheet state="visible" name="Copy of Blank 5" sheetId="7" r:id="rId11"/>
    <sheet state="visible" name="Copy of Blank 6" sheetId="8" r:id="rId12"/>
    <sheet state="visible" name="Blank" sheetId="9" r:id="rId13"/>
  </sheets>
  <definedNames/>
  <calcPr/>
</workbook>
</file>

<file path=xl/sharedStrings.xml><?xml version="1.0" encoding="utf-8"?>
<sst xmlns="http://schemas.openxmlformats.org/spreadsheetml/2006/main" count="217" uniqueCount="125">
  <si>
    <t>Quantity</t>
  </si>
  <si>
    <t>Pokemon</t>
  </si>
  <si>
    <t>card_id</t>
  </si>
  <si>
    <t>Deck Tier</t>
  </si>
  <si>
    <t>Card Total</t>
  </si>
  <si>
    <t>Caterpie</t>
  </si>
  <si>
    <t>base4-68</t>
  </si>
  <si>
    <t>Starter</t>
  </si>
  <si>
    <t>Charmander</t>
  </si>
  <si>
    <t>Bulbasaur</t>
  </si>
  <si>
    <t>base4-67</t>
  </si>
  <si>
    <t>Charmeleon</t>
  </si>
  <si>
    <t>Metapod</t>
  </si>
  <si>
    <t>base4-81</t>
  </si>
  <si>
    <t>Nidoran (F)</t>
  </si>
  <si>
    <t>base4-82</t>
  </si>
  <si>
    <t>Nidoran (M)</t>
  </si>
  <si>
    <t>base4-83</t>
  </si>
  <si>
    <t>Pinsir</t>
  </si>
  <si>
    <t>Growlithe</t>
  </si>
  <si>
    <t>Ivysaur</t>
  </si>
  <si>
    <t>base4-29</t>
  </si>
  <si>
    <t>base4-44</t>
  </si>
  <si>
    <t>Venusaur</t>
  </si>
  <si>
    <t>base4-18</t>
  </si>
  <si>
    <t>base4-69</t>
  </si>
  <si>
    <t>base4-35</t>
  </si>
  <si>
    <t>Charizard</t>
  </si>
  <si>
    <t>Arcanine</t>
  </si>
  <si>
    <t>base4-4</t>
  </si>
  <si>
    <t>Nidorino</t>
  </si>
  <si>
    <t>base4-54</t>
  </si>
  <si>
    <t>base4-42</t>
  </si>
  <si>
    <t>Tangela</t>
  </si>
  <si>
    <t>base4-96</t>
  </si>
  <si>
    <t>base4-33</t>
  </si>
  <si>
    <t>Pikachu</t>
  </si>
  <si>
    <t>Ponyta</t>
  </si>
  <si>
    <t>base4-87</t>
  </si>
  <si>
    <t>base1-60</t>
  </si>
  <si>
    <t>Magmar</t>
  </si>
  <si>
    <t>Raichu</t>
  </si>
  <si>
    <t>base4-16</t>
  </si>
  <si>
    <t>base4-51</t>
  </si>
  <si>
    <t>Seel</t>
  </si>
  <si>
    <t>Magnemite</t>
  </si>
  <si>
    <t>base4-79</t>
  </si>
  <si>
    <t>base4-61</t>
  </si>
  <si>
    <t>Electabuzz</t>
  </si>
  <si>
    <t>Dewgong</t>
  </si>
  <si>
    <t>Squirtle</t>
  </si>
  <si>
    <t>base4-36</t>
  </si>
  <si>
    <t>base4-24</t>
  </si>
  <si>
    <t>base4-93</t>
  </si>
  <si>
    <t>Goldeen</t>
  </si>
  <si>
    <t>base4-76</t>
  </si>
  <si>
    <t>Wartortle</t>
  </si>
  <si>
    <t>Seaking</t>
  </si>
  <si>
    <t>base4-63</t>
  </si>
  <si>
    <t>base4-60</t>
  </si>
  <si>
    <t>Rattata</t>
  </si>
  <si>
    <t>Abra</t>
  </si>
  <si>
    <t>Blastoise</t>
  </si>
  <si>
    <t>base4-89</t>
  </si>
  <si>
    <t>base4-65</t>
  </si>
  <si>
    <t>base4-2</t>
  </si>
  <si>
    <t>Raticate</t>
  </si>
  <si>
    <t>Kadabra</t>
  </si>
  <si>
    <t>base4-58</t>
  </si>
  <si>
    <t>base4-46</t>
  </si>
  <si>
    <t>Gastly</t>
  </si>
  <si>
    <t>Meowth</t>
  </si>
  <si>
    <t>base4-75</t>
  </si>
  <si>
    <t>base4-80</t>
  </si>
  <si>
    <t>Professor Oak</t>
  </si>
  <si>
    <t>Haunter</t>
  </si>
  <si>
    <t>base1-88</t>
  </si>
  <si>
    <t>base4-43</t>
  </si>
  <si>
    <t>Bill</t>
  </si>
  <si>
    <t>base1-91</t>
  </si>
  <si>
    <t>Jynx</t>
  </si>
  <si>
    <t>Switch</t>
  </si>
  <si>
    <t>base4-45</t>
  </si>
  <si>
    <t>base1-95</t>
  </si>
  <si>
    <t>Computer Search</t>
  </si>
  <si>
    <t>base1-71</t>
  </si>
  <si>
    <t>Jigglypuff</t>
  </si>
  <si>
    <t>PlusPower</t>
  </si>
  <si>
    <t>base4-77</t>
  </si>
  <si>
    <t>base1-84</t>
  </si>
  <si>
    <t>Potion</t>
  </si>
  <si>
    <t>base1-94</t>
  </si>
  <si>
    <t>Full Heal</t>
  </si>
  <si>
    <t>base1-82</t>
  </si>
  <si>
    <t>Kangaskhan</t>
  </si>
  <si>
    <t>base4-26</t>
  </si>
  <si>
    <t>Grass Energy</t>
  </si>
  <si>
    <t>base4-127</t>
  </si>
  <si>
    <t>Fire Energy</t>
  </si>
  <si>
    <t>base4-126</t>
  </si>
  <si>
    <t>Water Energy</t>
  </si>
  <si>
    <t>base1-102</t>
  </si>
  <si>
    <t>Poke Ball</t>
  </si>
  <si>
    <t>base2-64</t>
  </si>
  <si>
    <t>Defender</t>
  </si>
  <si>
    <t>base1-80</t>
  </si>
  <si>
    <t>Gust of Wind</t>
  </si>
  <si>
    <t>base1-93</t>
  </si>
  <si>
    <t>Staryu</t>
  </si>
  <si>
    <t>base4-95</t>
  </si>
  <si>
    <t>Starmie</t>
  </si>
  <si>
    <t>base4-94</t>
  </si>
  <si>
    <t>Lapras</t>
  </si>
  <si>
    <t>base3-10</t>
  </si>
  <si>
    <t>Lightning Energy</t>
  </si>
  <si>
    <t>base4-128</t>
  </si>
  <si>
    <t>Psychic Energy</t>
  </si>
  <si>
    <t>Magneton</t>
  </si>
  <si>
    <t>base4-9</t>
  </si>
  <si>
    <t>base4-129</t>
  </si>
  <si>
    <t>Scoop Up</t>
  </si>
  <si>
    <t>base1-78</t>
  </si>
  <si>
    <t>Item Finder</t>
  </si>
  <si>
    <t>base1-74</t>
  </si>
  <si>
    <t>base4-130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</si>
</sst>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5</v>
      </c>
      <c r="C2" s="1" t="s">
        <v>6</v>
      </c>
      <c r="D2" s="1" t="s">
        <v>7</v>
      </c>
      <c r="E2" s="2">
        <f>SUM(A2:A43)</f>
        <v>60</v>
      </c>
    </row>
    <row r="3">
      <c r="A3" s="1">
        <v>1.0</v>
      </c>
      <c r="B3" s="1" t="s">
        <v>12</v>
      </c>
      <c r="C3" s="1" t="s">
        <v>13</v>
      </c>
    </row>
    <row r="4">
      <c r="A4" s="1">
        <v>2.0</v>
      </c>
      <c r="B4" s="1" t="s">
        <v>14</v>
      </c>
      <c r="C4" s="1" t="s">
        <v>15</v>
      </c>
    </row>
    <row r="5">
      <c r="A5" s="1">
        <v>1.0</v>
      </c>
      <c r="B5" s="1" t="s">
        <v>16</v>
      </c>
      <c r="C5" s="1" t="s">
        <v>17</v>
      </c>
    </row>
    <row r="6">
      <c r="A6" s="1">
        <v>1.0</v>
      </c>
      <c r="B6" s="1" t="s">
        <v>18</v>
      </c>
      <c r="C6" s="1" t="s">
        <v>21</v>
      </c>
    </row>
    <row r="7">
      <c r="A7" s="1">
        <v>2.0</v>
      </c>
      <c r="B7" s="1" t="s">
        <v>8</v>
      </c>
      <c r="C7" s="1" t="s">
        <v>25</v>
      </c>
    </row>
    <row r="8">
      <c r="A8" s="1">
        <v>1.0</v>
      </c>
      <c r="B8" s="1" t="s">
        <v>11</v>
      </c>
      <c r="C8" s="1" t="s">
        <v>26</v>
      </c>
    </row>
    <row r="9">
      <c r="A9" s="1">
        <v>1.0</v>
      </c>
      <c r="B9" s="1" t="s">
        <v>27</v>
      </c>
      <c r="C9" s="1" t="s">
        <v>29</v>
      </c>
    </row>
    <row r="10">
      <c r="A10" s="1">
        <v>2.0</v>
      </c>
      <c r="B10" s="1" t="s">
        <v>19</v>
      </c>
      <c r="C10" s="1" t="s">
        <v>32</v>
      </c>
    </row>
    <row r="11">
      <c r="A11" s="1">
        <v>1.0</v>
      </c>
      <c r="B11" s="1" t="s">
        <v>28</v>
      </c>
      <c r="C11" s="1" t="s">
        <v>35</v>
      </c>
    </row>
    <row r="12">
      <c r="A12" s="1">
        <v>2.0</v>
      </c>
      <c r="B12" s="1" t="s">
        <v>37</v>
      </c>
      <c r="C12" s="1" t="s">
        <v>39</v>
      </c>
    </row>
    <row r="13">
      <c r="A13" s="1">
        <v>1.0</v>
      </c>
      <c r="B13" s="1" t="s">
        <v>40</v>
      </c>
      <c r="C13" s="1" t="s">
        <v>43</v>
      </c>
    </row>
    <row r="14">
      <c r="A14" s="1">
        <v>2.0</v>
      </c>
      <c r="B14" s="1" t="s">
        <v>44</v>
      </c>
      <c r="C14" s="1" t="s">
        <v>47</v>
      </c>
    </row>
    <row r="15">
      <c r="A15" s="1">
        <v>1.0</v>
      </c>
      <c r="B15" s="1" t="s">
        <v>49</v>
      </c>
      <c r="C15" s="1" t="s">
        <v>51</v>
      </c>
    </row>
    <row r="16">
      <c r="A16" s="1">
        <v>2.0</v>
      </c>
      <c r="B16" s="1" t="s">
        <v>54</v>
      </c>
      <c r="C16" s="1" t="s">
        <v>55</v>
      </c>
    </row>
    <row r="17">
      <c r="A17" s="1">
        <v>1.0</v>
      </c>
      <c r="B17" s="1" t="s">
        <v>57</v>
      </c>
      <c r="C17" s="1" t="s">
        <v>59</v>
      </c>
    </row>
    <row r="18">
      <c r="A18" s="1">
        <v>2.0</v>
      </c>
      <c r="B18" s="1" t="s">
        <v>60</v>
      </c>
      <c r="C18" s="1" t="s">
        <v>63</v>
      </c>
    </row>
    <row r="19">
      <c r="A19" s="1">
        <v>1.0</v>
      </c>
      <c r="B19" s="1" t="s">
        <v>66</v>
      </c>
      <c r="C19" s="1" t="s">
        <v>68</v>
      </c>
    </row>
    <row r="20">
      <c r="A20" s="1">
        <v>1.0</v>
      </c>
      <c r="B20" s="1" t="s">
        <v>71</v>
      </c>
      <c r="C20" s="1" t="s">
        <v>73</v>
      </c>
    </row>
    <row r="21">
      <c r="A21" s="1">
        <v>1.0</v>
      </c>
      <c r="B21" s="1" t="s">
        <v>74</v>
      </c>
      <c r="C21" s="1" t="s">
        <v>76</v>
      </c>
    </row>
    <row r="22">
      <c r="A22" s="1">
        <v>2.0</v>
      </c>
      <c r="B22" s="1" t="s">
        <v>78</v>
      </c>
      <c r="C22" s="1" t="s">
        <v>79</v>
      </c>
    </row>
    <row r="23">
      <c r="A23" s="1">
        <v>1.0</v>
      </c>
      <c r="B23" s="1" t="s">
        <v>81</v>
      </c>
      <c r="C23" s="1" t="s">
        <v>83</v>
      </c>
    </row>
    <row r="24">
      <c r="A24" s="1">
        <v>1.0</v>
      </c>
      <c r="B24" s="1" t="s">
        <v>84</v>
      </c>
      <c r="C24" s="1" t="s">
        <v>85</v>
      </c>
    </row>
    <row r="25">
      <c r="A25" s="1">
        <v>1.0</v>
      </c>
      <c r="B25" s="1" t="s">
        <v>87</v>
      </c>
      <c r="C25" s="1" t="s">
        <v>89</v>
      </c>
    </row>
    <row r="26">
      <c r="A26" s="1">
        <v>2.0</v>
      </c>
      <c r="B26" s="1" t="s">
        <v>90</v>
      </c>
      <c r="C26" s="1" t="s">
        <v>91</v>
      </c>
    </row>
    <row r="27">
      <c r="A27" s="1">
        <v>1.0</v>
      </c>
      <c r="B27" s="1" t="s">
        <v>92</v>
      </c>
      <c r="C27" s="1" t="s">
        <v>93</v>
      </c>
    </row>
    <row r="28">
      <c r="A28" s="1">
        <v>8.0</v>
      </c>
      <c r="B28" s="1" t="s">
        <v>96</v>
      </c>
      <c r="C28" s="1" t="s">
        <v>97</v>
      </c>
    </row>
    <row r="29">
      <c r="A29" s="1">
        <v>10.0</v>
      </c>
      <c r="B29" s="1" t="s">
        <v>98</v>
      </c>
      <c r="C29" s="1" t="s">
        <v>99</v>
      </c>
    </row>
    <row r="30">
      <c r="A30" s="1">
        <v>6.0</v>
      </c>
      <c r="B30" s="1" t="s">
        <v>100</v>
      </c>
      <c r="C30" s="1" t="s">
        <v>101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8</v>
      </c>
      <c r="C2" s="1" t="str">
        <f>VLOOKUP(B2, 'Charmander &amp; Friends'!$B$1:$E$30, 2, FALSE)</f>
        <v>base4-69</v>
      </c>
      <c r="D2" s="1" t="s">
        <v>7</v>
      </c>
      <c r="E2" s="2">
        <f>SUM(A2:A43)</f>
        <v>60</v>
      </c>
    </row>
    <row r="3">
      <c r="A3" s="1">
        <v>1.0</v>
      </c>
      <c r="B3" s="1" t="s">
        <v>11</v>
      </c>
      <c r="C3" s="1" t="str">
        <f>VLOOKUP(B3, 'Charmander &amp; Friends'!$B$1:$E$30, 2, FALSE)</f>
        <v>base4-35</v>
      </c>
    </row>
    <row r="4">
      <c r="A4" s="1">
        <v>1.0</v>
      </c>
      <c r="B4" s="1" t="s">
        <v>19</v>
      </c>
      <c r="C4" s="1" t="str">
        <f>VLOOKUP(B4, 'Charmander &amp; Friends'!$B$1:$E$30, 2, FALSE)</f>
        <v>base4-42</v>
      </c>
    </row>
    <row r="5">
      <c r="A5" s="1">
        <v>1.0</v>
      </c>
      <c r="B5" s="1" t="s">
        <v>28</v>
      </c>
      <c r="C5" s="2" t="str">
        <f>VLOOKUP(B5, 'Charmander &amp; Friends'!$B$1:$E$30, 2, FALSE)</f>
        <v>base4-33</v>
      </c>
    </row>
    <row r="6">
      <c r="A6" s="1">
        <v>1.0</v>
      </c>
      <c r="B6" s="1" t="s">
        <v>40</v>
      </c>
      <c r="C6" s="2" t="str">
        <f>VLOOKUP(B6, 'Charmander &amp; Friends'!$B$1:$E$30, 2, FALSE)</f>
        <v>base4-51</v>
      </c>
    </row>
    <row r="7">
      <c r="A7" s="1">
        <v>2.0</v>
      </c>
      <c r="B7" s="1" t="s">
        <v>50</v>
      </c>
      <c r="C7" s="1" t="s">
        <v>53</v>
      </c>
    </row>
    <row r="8">
      <c r="A8" s="1">
        <v>1.0</v>
      </c>
      <c r="B8" s="1" t="s">
        <v>56</v>
      </c>
      <c r="C8" s="1" t="s">
        <v>58</v>
      </c>
    </row>
    <row r="9">
      <c r="A9" s="1">
        <v>1.0</v>
      </c>
      <c r="B9" s="1" t="s">
        <v>62</v>
      </c>
      <c r="C9" s="1" t="s">
        <v>65</v>
      </c>
    </row>
    <row r="10">
      <c r="A10" s="1">
        <v>2.0</v>
      </c>
      <c r="B10" s="1" t="s">
        <v>44</v>
      </c>
      <c r="C10" s="2" t="str">
        <f>VLOOKUP(B10, 'Charmander &amp; Friends'!$B$1:$E$30, 2, FALSE)</f>
        <v>base4-61</v>
      </c>
    </row>
    <row r="11">
      <c r="A11" s="1">
        <v>1.0</v>
      </c>
      <c r="B11" s="1" t="s">
        <v>49</v>
      </c>
      <c r="C11" s="2" t="str">
        <f>VLOOKUP(B11, 'Charmander &amp; Friends'!$B$1:$E$30, 2, FALSE)</f>
        <v>base4-36</v>
      </c>
    </row>
    <row r="12">
      <c r="A12" s="1">
        <v>1.0</v>
      </c>
      <c r="B12" s="1" t="s">
        <v>54</v>
      </c>
      <c r="C12" s="2" t="str">
        <f>VLOOKUP(B12, 'Charmander &amp; Friends'!$B$1:$E$30, 2, FALSE)</f>
        <v>base4-76</v>
      </c>
    </row>
    <row r="13">
      <c r="A13" s="1">
        <v>1.0</v>
      </c>
      <c r="B13" s="1" t="s">
        <v>57</v>
      </c>
      <c r="C13" s="2" t="str">
        <f>VLOOKUP(B13, 'Charmander &amp; Friends'!$B$1:$E$30, 2, FALSE)</f>
        <v>base4-60</v>
      </c>
    </row>
    <row r="14">
      <c r="A14" s="1">
        <v>1.0</v>
      </c>
      <c r="B14" s="1" t="s">
        <v>108</v>
      </c>
      <c r="C14" s="1" t="s">
        <v>109</v>
      </c>
    </row>
    <row r="15">
      <c r="A15" s="1">
        <v>1.0</v>
      </c>
      <c r="B15" s="1" t="s">
        <v>110</v>
      </c>
      <c r="C15" s="1" t="s">
        <v>111</v>
      </c>
    </row>
    <row r="16">
      <c r="A16" s="1">
        <v>1.0</v>
      </c>
      <c r="B16" s="1" t="s">
        <v>112</v>
      </c>
      <c r="C16" s="1" t="s">
        <v>113</v>
      </c>
    </row>
    <row r="17">
      <c r="A17" s="1">
        <v>2.0</v>
      </c>
      <c r="B17" s="1" t="s">
        <v>36</v>
      </c>
      <c r="C17" s="1" t="s">
        <v>38</v>
      </c>
    </row>
    <row r="18">
      <c r="A18" s="1">
        <v>1.0</v>
      </c>
      <c r="B18" s="1" t="s">
        <v>45</v>
      </c>
      <c r="C18" s="1" t="s">
        <v>46</v>
      </c>
    </row>
    <row r="19">
      <c r="A19" s="1">
        <v>1.0</v>
      </c>
      <c r="B19" s="1" t="s">
        <v>117</v>
      </c>
      <c r="C19" s="1" t="s">
        <v>118</v>
      </c>
    </row>
    <row r="20">
      <c r="A20" s="1">
        <v>1.0</v>
      </c>
      <c r="B20" s="1" t="s">
        <v>48</v>
      </c>
      <c r="C20" s="1" t="s">
        <v>52</v>
      </c>
    </row>
    <row r="21">
      <c r="A21" s="1">
        <v>2.0</v>
      </c>
      <c r="B21" s="1" t="s">
        <v>60</v>
      </c>
      <c r="C21" s="2" t="str">
        <f>VLOOKUP(B21, 'Charmander &amp; Friends'!$B$1:$E$30, 2, FALSE)</f>
        <v>base4-89</v>
      </c>
    </row>
    <row r="22">
      <c r="A22" s="1">
        <v>1.0</v>
      </c>
      <c r="B22" s="1" t="s">
        <v>66</v>
      </c>
      <c r="C22" s="2" t="str">
        <f>VLOOKUP(B22, 'Charmander &amp; Friends'!$B$1:$E$30, 2, FALSE)</f>
        <v>base4-58</v>
      </c>
    </row>
    <row r="23">
      <c r="A23" s="1">
        <v>1.0</v>
      </c>
      <c r="B23" s="1" t="s">
        <v>71</v>
      </c>
      <c r="C23" s="2" t="str">
        <f>VLOOKUP(B23, 'Charmander &amp; Friends'!$B$1:$E$30, 2, FALSE)</f>
        <v>base4-80</v>
      </c>
    </row>
    <row r="24">
      <c r="A24" s="1">
        <v>1.0</v>
      </c>
      <c r="B24" s="1" t="s">
        <v>74</v>
      </c>
      <c r="C24" s="2" t="str">
        <f>VLOOKUP(B24, 'Charmander &amp; Friends'!$B$1:$E$30, 2, FALSE)</f>
        <v>base1-88</v>
      </c>
    </row>
    <row r="25">
      <c r="A25" s="1">
        <v>1.0</v>
      </c>
      <c r="B25" s="1" t="s">
        <v>78</v>
      </c>
      <c r="C25" s="2" t="str">
        <f>VLOOKUP(B25, 'Charmander &amp; Friends'!$B$1:$E$30, 2, FALSE)</f>
        <v>base1-91</v>
      </c>
    </row>
    <row r="26">
      <c r="A26" s="1">
        <v>1.0</v>
      </c>
      <c r="B26" s="1" t="s">
        <v>81</v>
      </c>
      <c r="C26" s="2" t="str">
        <f>VLOOKUP(B26, 'Charmander &amp; Friends'!$B$1:$E$30, 2, FALSE)</f>
        <v>base1-95</v>
      </c>
    </row>
    <row r="27">
      <c r="A27" s="1">
        <v>1.0</v>
      </c>
      <c r="B27" s="1" t="s">
        <v>102</v>
      </c>
      <c r="C27" s="1" t="s">
        <v>103</v>
      </c>
    </row>
    <row r="28">
      <c r="A28" s="1">
        <v>1.0</v>
      </c>
      <c r="B28" s="1" t="s">
        <v>120</v>
      </c>
      <c r="C28" s="1" t="s">
        <v>121</v>
      </c>
    </row>
    <row r="29">
      <c r="A29" s="1">
        <v>1.0</v>
      </c>
      <c r="B29" s="1" t="s">
        <v>122</v>
      </c>
      <c r="C29" s="1" t="s">
        <v>123</v>
      </c>
    </row>
    <row r="30">
      <c r="A30" s="1">
        <v>1.0</v>
      </c>
      <c r="B30" s="1" t="s">
        <v>90</v>
      </c>
      <c r="C30" s="2" t="str">
        <f>VLOOKUP(B30, 'Charmander &amp; Friends'!$B$1:$E$30, 2, FALSE)</f>
        <v>base1-94</v>
      </c>
    </row>
    <row r="31">
      <c r="A31" s="1">
        <v>1.0</v>
      </c>
      <c r="B31" s="1" t="s">
        <v>92</v>
      </c>
      <c r="C31" s="2" t="str">
        <f>VLOOKUP(B31, 'Charmander &amp; Friends'!$B$1:$E$30, 2, FALSE)</f>
        <v>base1-82</v>
      </c>
    </row>
    <row r="32">
      <c r="A32" s="1">
        <v>8.0</v>
      </c>
      <c r="B32" s="1" t="s">
        <v>98</v>
      </c>
      <c r="C32" s="1" t="s">
        <v>99</v>
      </c>
    </row>
    <row r="33">
      <c r="A33" s="1">
        <v>11.0</v>
      </c>
      <c r="B33" s="1" t="s">
        <v>100</v>
      </c>
      <c r="C33" s="1" t="s">
        <v>124</v>
      </c>
    </row>
    <row r="34">
      <c r="A34" s="1">
        <v>6.0</v>
      </c>
      <c r="B34" s="1" t="s">
        <v>114</v>
      </c>
      <c r="C34" s="1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9</v>
      </c>
      <c r="C2" s="1" t="s">
        <v>10</v>
      </c>
      <c r="D2" s="1" t="s">
        <v>7</v>
      </c>
      <c r="E2" s="2">
        <f>SUM(A2:A43)</f>
        <v>60</v>
      </c>
    </row>
    <row r="3">
      <c r="A3" s="1">
        <v>1.0</v>
      </c>
      <c r="B3" s="1" t="s">
        <v>20</v>
      </c>
      <c r="C3" s="1" t="s">
        <v>22</v>
      </c>
    </row>
    <row r="4">
      <c r="A4" s="1">
        <v>1.0</v>
      </c>
      <c r="B4" s="1" t="s">
        <v>23</v>
      </c>
      <c r="C4" s="1" t="s">
        <v>24</v>
      </c>
    </row>
    <row r="5">
      <c r="A5" s="1">
        <v>2.0</v>
      </c>
      <c r="B5" s="1" t="s">
        <v>14</v>
      </c>
      <c r="C5" s="1" t="s">
        <v>15</v>
      </c>
    </row>
    <row r="6">
      <c r="A6" s="1">
        <v>2.0</v>
      </c>
      <c r="B6" s="1" t="s">
        <v>16</v>
      </c>
      <c r="C6" s="1" t="s">
        <v>17</v>
      </c>
    </row>
    <row r="7">
      <c r="A7" s="1">
        <v>1.0</v>
      </c>
      <c r="B7" s="1" t="s">
        <v>30</v>
      </c>
      <c r="C7" s="1" t="s">
        <v>31</v>
      </c>
    </row>
    <row r="8">
      <c r="A8" s="1">
        <v>1.0</v>
      </c>
      <c r="B8" s="1" t="s">
        <v>33</v>
      </c>
      <c r="C8" s="1" t="s">
        <v>34</v>
      </c>
    </row>
    <row r="9">
      <c r="A9" s="1">
        <v>2.0</v>
      </c>
      <c r="B9" s="1" t="s">
        <v>36</v>
      </c>
      <c r="C9" s="1" t="s">
        <v>38</v>
      </c>
    </row>
    <row r="10">
      <c r="A10" s="1">
        <v>1.0</v>
      </c>
      <c r="B10" s="1" t="s">
        <v>41</v>
      </c>
      <c r="C10" s="1" t="s">
        <v>42</v>
      </c>
    </row>
    <row r="11">
      <c r="A11" s="1">
        <v>1.0</v>
      </c>
      <c r="B11" s="1" t="s">
        <v>45</v>
      </c>
      <c r="C11" s="1" t="s">
        <v>46</v>
      </c>
    </row>
    <row r="12">
      <c r="A12" s="1">
        <v>1.0</v>
      </c>
      <c r="B12" s="1" t="s">
        <v>48</v>
      </c>
      <c r="C12" s="1" t="s">
        <v>52</v>
      </c>
    </row>
    <row r="13">
      <c r="A13" s="1">
        <v>2.0</v>
      </c>
      <c r="B13" s="1" t="s">
        <v>61</v>
      </c>
      <c r="C13" s="1" t="s">
        <v>64</v>
      </c>
    </row>
    <row r="14">
      <c r="A14" s="1">
        <v>1.0</v>
      </c>
      <c r="B14" s="1" t="s">
        <v>67</v>
      </c>
      <c r="C14" s="1" t="s">
        <v>69</v>
      </c>
    </row>
    <row r="15">
      <c r="A15" s="1">
        <v>2.0</v>
      </c>
      <c r="B15" s="1" t="s">
        <v>70</v>
      </c>
      <c r="C15" s="1" t="s">
        <v>72</v>
      </c>
    </row>
    <row r="16">
      <c r="A16" s="1">
        <v>1.0</v>
      </c>
      <c r="B16" s="1" t="s">
        <v>75</v>
      </c>
      <c r="C16" s="1" t="s">
        <v>77</v>
      </c>
    </row>
    <row r="17">
      <c r="A17" s="1">
        <v>1.0</v>
      </c>
      <c r="B17" s="1" t="s">
        <v>80</v>
      </c>
      <c r="C17" s="1" t="s">
        <v>82</v>
      </c>
    </row>
    <row r="18">
      <c r="A18" s="1">
        <v>1.0</v>
      </c>
      <c r="B18" s="1" t="s">
        <v>86</v>
      </c>
      <c r="C18" s="1" t="s">
        <v>88</v>
      </c>
    </row>
    <row r="19">
      <c r="A19" s="1">
        <v>1.0</v>
      </c>
      <c r="B19" s="1" t="s">
        <v>71</v>
      </c>
      <c r="C19" s="1" t="s">
        <v>73</v>
      </c>
    </row>
    <row r="20">
      <c r="A20" s="1">
        <v>1.0</v>
      </c>
      <c r="B20" s="1" t="s">
        <v>94</v>
      </c>
      <c r="C20" s="1" t="s">
        <v>95</v>
      </c>
    </row>
    <row r="21">
      <c r="A21" s="1">
        <v>1.0</v>
      </c>
      <c r="B21" s="1" t="s">
        <v>74</v>
      </c>
      <c r="C21" s="1" t="s">
        <v>76</v>
      </c>
    </row>
    <row r="22">
      <c r="A22" s="1">
        <v>1.0</v>
      </c>
      <c r="B22" s="1" t="s">
        <v>78</v>
      </c>
      <c r="C22" s="1" t="s">
        <v>79</v>
      </c>
    </row>
    <row r="23">
      <c r="A23" s="1">
        <v>1.0</v>
      </c>
      <c r="B23" s="1" t="s">
        <v>81</v>
      </c>
      <c r="C23" s="1" t="s">
        <v>83</v>
      </c>
    </row>
    <row r="24">
      <c r="A24" s="1">
        <v>1.0</v>
      </c>
      <c r="B24" s="1" t="s">
        <v>102</v>
      </c>
      <c r="C24" s="1" t="s">
        <v>103</v>
      </c>
    </row>
    <row r="25">
      <c r="A25" s="1">
        <v>2.0</v>
      </c>
      <c r="B25" s="1" t="s">
        <v>87</v>
      </c>
      <c r="C25" s="1" t="s">
        <v>89</v>
      </c>
    </row>
    <row r="26">
      <c r="A26" s="1">
        <v>1.0</v>
      </c>
      <c r="B26" s="1" t="s">
        <v>104</v>
      </c>
      <c r="C26" s="1" t="s">
        <v>105</v>
      </c>
    </row>
    <row r="27">
      <c r="A27" s="1">
        <v>1.0</v>
      </c>
      <c r="B27" s="1" t="s">
        <v>106</v>
      </c>
      <c r="C27" s="1" t="s">
        <v>107</v>
      </c>
    </row>
    <row r="28">
      <c r="A28" s="1">
        <v>2.0</v>
      </c>
      <c r="B28" s="1" t="s">
        <v>90</v>
      </c>
      <c r="C28" s="1" t="s">
        <v>91</v>
      </c>
    </row>
    <row r="29">
      <c r="A29" s="1">
        <v>2.0</v>
      </c>
      <c r="B29" s="1" t="s">
        <v>92</v>
      </c>
      <c r="C29" s="1" t="s">
        <v>93</v>
      </c>
    </row>
    <row r="30">
      <c r="A30" s="1">
        <v>9.0</v>
      </c>
      <c r="B30" s="1" t="s">
        <v>96</v>
      </c>
      <c r="C30" s="1" t="s">
        <v>97</v>
      </c>
    </row>
    <row r="31">
      <c r="A31" s="1">
        <v>8.0</v>
      </c>
      <c r="B31" s="1" t="s">
        <v>114</v>
      </c>
      <c r="C31" s="1" t="s">
        <v>115</v>
      </c>
    </row>
    <row r="32">
      <c r="A32" s="1">
        <v>6.0</v>
      </c>
      <c r="B32" s="1" t="s">
        <v>116</v>
      </c>
      <c r="C32" s="1" t="s">
        <v>119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