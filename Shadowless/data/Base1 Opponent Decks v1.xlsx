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Template" sheetId="2" r:id="rId6"/>
    <sheet state="visible" name="B1 T2-1" sheetId="3" r:id="rId7"/>
    <sheet state="visible" name="B1 T2-2" sheetId="4" r:id="rId8"/>
    <sheet state="visible" name="B1 T2-3" sheetId="5" r:id="rId9"/>
    <sheet state="visible" name="B1 T2-4" sheetId="6" r:id="rId10"/>
    <sheet state="visible" name="B1 T2-5" sheetId="7" r:id="rId11"/>
    <sheet state="visible" name="B1 T3-1" sheetId="8" r:id="rId12"/>
    <sheet state="visible" name="B1 T3-2" sheetId="9" r:id="rId13"/>
    <sheet state="visible" name="B1 T4" sheetId="10" r:id="rId14"/>
  </sheets>
  <definedNames/>
  <calcPr/>
</workbook>
</file>

<file path=xl/sharedStrings.xml><?xml version="1.0" encoding="utf-8"?>
<sst xmlns="http://schemas.openxmlformats.org/spreadsheetml/2006/main" count="903" uniqueCount="275">
  <si>
    <t>ID</t>
  </si>
  <si>
    <t>Card</t>
  </si>
  <si>
    <t>Quantity</t>
  </si>
  <si>
    <t>Type</t>
  </si>
  <si>
    <t>Stage / Rarity (trainer)</t>
  </si>
  <si>
    <t>Stage / Rarity</t>
  </si>
  <si>
    <t>Remaining Evo</t>
  </si>
  <si>
    <t>Feature Weight</t>
  </si>
  <si>
    <t>Deck Feature Tier</t>
  </si>
  <si>
    <t>Card Total</t>
  </si>
  <si>
    <t>Opener Archetype</t>
  </si>
  <si>
    <t>Possible CPU Deck Block?</t>
  </si>
  <si>
    <t>Num</t>
  </si>
  <si>
    <t>Included in B1 opp Deck?</t>
  </si>
  <si>
    <t>Basic</t>
  </si>
  <si>
    <t>Feature Tier Key</t>
  </si>
  <si>
    <t>S1 Max</t>
  </si>
  <si>
    <t>S1 Mid</t>
  </si>
  <si>
    <t>base1-1</t>
  </si>
  <si>
    <t>S2</t>
  </si>
  <si>
    <t>No Evolve</t>
  </si>
  <si>
    <t>Alakazam</t>
  </si>
  <si>
    <t>P</t>
  </si>
  <si>
    <t>Sandshrew</t>
  </si>
  <si>
    <t>Abra</t>
  </si>
  <si>
    <t>Not shown</t>
  </si>
  <si>
    <t>Not worth noting</t>
  </si>
  <si>
    <t>base1-2</t>
  </si>
  <si>
    <t>Blastoise</t>
  </si>
  <si>
    <t>W</t>
  </si>
  <si>
    <t>Strategic Opener / Tank / Other utility</t>
  </si>
  <si>
    <t>base1-3</t>
  </si>
  <si>
    <t>Chansey</t>
  </si>
  <si>
    <t>C</t>
  </si>
  <si>
    <t>b</t>
  </si>
  <si>
    <t>n</t>
  </si>
  <si>
    <t>t</t>
  </si>
  <si>
    <t>Secondary Feature</t>
  </si>
  <si>
    <t>base1-4</t>
  </si>
  <si>
    <t>Charizard</t>
  </si>
  <si>
    <t>R</t>
  </si>
  <si>
    <t>Primary Feature</t>
  </si>
  <si>
    <t>base1-5</t>
  </si>
  <si>
    <t>Clefairy</t>
  </si>
  <si>
    <t>y</t>
  </si>
  <si>
    <t>Elite Feature</t>
  </si>
  <si>
    <t>base1-6</t>
  </si>
  <si>
    <t>Gyarados</t>
  </si>
  <si>
    <t>base1-7</t>
  </si>
  <si>
    <t>Hitmonchan</t>
  </si>
  <si>
    <t>F</t>
  </si>
  <si>
    <t>o</t>
  </si>
  <si>
    <t>base1-8</t>
  </si>
  <si>
    <t>Machamp</t>
  </si>
  <si>
    <t>Tier ranking is only for last of evolution line and select useful others. Partially based in subjectivity and play experience</t>
  </si>
  <si>
    <t>base1-9</t>
  </si>
  <si>
    <t>Magneton</t>
  </si>
  <si>
    <t>E</t>
  </si>
  <si>
    <t>Remaining Evo only applies to Basic and Stage 1. All stage 2 are assumed to not have evolutions remaining</t>
  </si>
  <si>
    <t>base1-10</t>
  </si>
  <si>
    <t>Mewtwo</t>
  </si>
  <si>
    <t>f</t>
  </si>
  <si>
    <t>Labels here are used for the lookup table on the deck tabs, but we can possibly get utility from it as well with the AI</t>
  </si>
  <si>
    <t>base1-11</t>
  </si>
  <si>
    <t>Nidoking</t>
  </si>
  <si>
    <t>G</t>
  </si>
  <si>
    <t>Trainer rarity is used to gauge usefulness in decks</t>
  </si>
  <si>
    <t>base1-12</t>
  </si>
  <si>
    <t>Ninetales</t>
  </si>
  <si>
    <t>Half steps are used. Consider those candidates for the next tier with proper support</t>
  </si>
  <si>
    <t>base1-13</t>
  </si>
  <si>
    <t>Poliwrath</t>
  </si>
  <si>
    <t>Opener archetypes per card are tracked. I don't know if we'll need these but it's cheap to do while going through the set anyway. Unlabeled ones should be deferred as openers when possible, but usually committed to once they're in. Based on battle utility, not whether they can evolve, etc</t>
  </si>
  <si>
    <t>base1-14</t>
  </si>
  <si>
    <t>Raichu</t>
  </si>
  <si>
    <t>base1-15</t>
  </si>
  <si>
    <t>Venusaur</t>
  </si>
  <si>
    <t>base1-16</t>
  </si>
  <si>
    <t>Zapdos</t>
  </si>
  <si>
    <t>h</t>
  </si>
  <si>
    <t>base1-17</t>
  </si>
  <si>
    <t>Beedrill</t>
  </si>
  <si>
    <t>base1-18</t>
  </si>
  <si>
    <t>Dragonair</t>
  </si>
  <si>
    <t>Opener Archetype Key:</t>
  </si>
  <si>
    <t>base1-19</t>
  </si>
  <si>
    <t>Dugtrio</t>
  </si>
  <si>
    <t>base1-20</t>
  </si>
  <si>
    <t>Electabuzz</t>
  </si>
  <si>
    <t>A</t>
  </si>
  <si>
    <t>Attack Opener. Openers that use stalling attacks, low damage attacks w/ high HP, or build up to damage quickly without evo. Should be weighted high for starter selection or stalling jobs, lower for retreat. Can sometimes also build up to stronger moves while stalling. Ex: Onix, Jynx</t>
  </si>
  <si>
    <t>base1-21</t>
  </si>
  <si>
    <t>Electrode</t>
  </si>
  <si>
    <t>T</t>
  </si>
  <si>
    <t>Tanks. Usually used as openers but attacks are usually defensive stalling or card drawing. Usually weighted higher than other openers. Ex: Chansey</t>
  </si>
  <si>
    <t>base1-22</t>
  </si>
  <si>
    <t>Pidgeotto</t>
  </si>
  <si>
    <t>Fallback opener. Good cheap attack option during game, not a main weapon but capable of bridging gaps. Good opener if other options aren't available. Ex: Mewtwo (1-10)</t>
  </si>
  <si>
    <t>base1-23</t>
  </si>
  <si>
    <t>Arcanine</t>
  </si>
  <si>
    <t>Evo openerer. Lower weight when it comes to opening due to evolution possibility but does have stalling moves or can do damage, and should be prioritized when stalling is needed and no other options available. Higher priority if evolution exists in hand and is realistic to survive long enough to evolve. Ex: Squirtle</t>
  </si>
  <si>
    <t>base1-24</t>
  </si>
  <si>
    <t>Charmeleon</t>
  </si>
  <si>
    <t>N</t>
  </si>
  <si>
    <t>Avoid using as an opener when possible. Should be weighted lower than the baseline and possibly even switched out when other options become available. Ex: Magikarp</t>
  </si>
  <si>
    <t>base1-25</t>
  </si>
  <si>
    <t>Dewgong</t>
  </si>
  <si>
    <t>H</t>
  </si>
  <si>
    <t>HP staller. A high HP card that would normally be used as an attacker is substituted as a tank due to lack of other options. Committed to once in, not retreated or powered up unless smart to do so. A complete sacrifice. Ex: Zapdos (1-16)</t>
  </si>
  <si>
    <t>base1-26</t>
  </si>
  <si>
    <t>Dratini</t>
  </si>
  <si>
    <t>base1-27</t>
  </si>
  <si>
    <t>Farfetch'd</t>
  </si>
  <si>
    <t>a</t>
  </si>
  <si>
    <t>base1-28</t>
  </si>
  <si>
    <t>Growlithe</t>
  </si>
  <si>
    <t>base1-29</t>
  </si>
  <si>
    <t>Haunter</t>
  </si>
  <si>
    <t>base1-30</t>
  </si>
  <si>
    <t>Ivysaur</t>
  </si>
  <si>
    <t>base1-31</t>
  </si>
  <si>
    <t>Jynx</t>
  </si>
  <si>
    <t>base1-32</t>
  </si>
  <si>
    <t>Kadabra</t>
  </si>
  <si>
    <t>base1-33</t>
  </si>
  <si>
    <t>Kakuna</t>
  </si>
  <si>
    <t>base1-34</t>
  </si>
  <si>
    <t>Machoke</t>
  </si>
  <si>
    <t>base1-35</t>
  </si>
  <si>
    <t>Magikarp</t>
  </si>
  <si>
    <t>base1-36</t>
  </si>
  <si>
    <t>Magmar</t>
  </si>
  <si>
    <t>base1-37</t>
  </si>
  <si>
    <t>Nidorino</t>
  </si>
  <si>
    <t>base1-38</t>
  </si>
  <si>
    <t>Poliwhirl</t>
  </si>
  <si>
    <t>base1-39</t>
  </si>
  <si>
    <t>Porygon</t>
  </si>
  <si>
    <t>base1-40</t>
  </si>
  <si>
    <t>Raticate</t>
  </si>
  <si>
    <t>base1-41</t>
  </si>
  <si>
    <t>Seel</t>
  </si>
  <si>
    <t>base1-42</t>
  </si>
  <si>
    <t>Wartortle</t>
  </si>
  <si>
    <t>base1-43</t>
  </si>
  <si>
    <t>e</t>
  </si>
  <si>
    <t>base1-44</t>
  </si>
  <si>
    <t>Bulbasaur</t>
  </si>
  <si>
    <t>base1-45</t>
  </si>
  <si>
    <t>Caterpie</t>
  </si>
  <si>
    <t>base1-46</t>
  </si>
  <si>
    <t>Charmander</t>
  </si>
  <si>
    <t>base1-47</t>
  </si>
  <si>
    <t>Diglett</t>
  </si>
  <si>
    <t>base1-48</t>
  </si>
  <si>
    <t>Doduo</t>
  </si>
  <si>
    <t>base1-49</t>
  </si>
  <si>
    <t>Drowzee</t>
  </si>
  <si>
    <t>base1-50</t>
  </si>
  <si>
    <t>Gastly</t>
  </si>
  <si>
    <t>base1-51</t>
  </si>
  <si>
    <t>Koffing</t>
  </si>
  <si>
    <t>Rattata</t>
  </si>
  <si>
    <t>base1-52</t>
  </si>
  <si>
    <t>Machop</t>
  </si>
  <si>
    <t>base1-53</t>
  </si>
  <si>
    <t>Magnemite</t>
  </si>
  <si>
    <t>base1-54</t>
  </si>
  <si>
    <t>Metapod</t>
  </si>
  <si>
    <t>base1-55</t>
  </si>
  <si>
    <t>Nidoran ♂</t>
  </si>
  <si>
    <t>base1-56</t>
  </si>
  <si>
    <t>Onix</t>
  </si>
  <si>
    <t>base1-57</t>
  </si>
  <si>
    <t>Pidgey</t>
  </si>
  <si>
    <t>base1-58</t>
  </si>
  <si>
    <t>Pikachu</t>
  </si>
  <si>
    <t>base1-59</t>
  </si>
  <si>
    <t>Poliwag</t>
  </si>
  <si>
    <t>base1-60</t>
  </si>
  <si>
    <t>Ponyta</t>
  </si>
  <si>
    <t>base1-61</t>
  </si>
  <si>
    <t>base1-62</t>
  </si>
  <si>
    <t>base1-63</t>
  </si>
  <si>
    <t>Squirtle</t>
  </si>
  <si>
    <t>base1-64</t>
  </si>
  <si>
    <t>Starmie</t>
  </si>
  <si>
    <t>base1-65</t>
  </si>
  <si>
    <t>Staryu</t>
  </si>
  <si>
    <t>base1-66</t>
  </si>
  <si>
    <t>Tangela</t>
  </si>
  <si>
    <t>base1-67</t>
  </si>
  <si>
    <t>Voltorb</t>
  </si>
  <si>
    <t>base1-68</t>
  </si>
  <si>
    <t>Vulpix</t>
  </si>
  <si>
    <t>base1-69</t>
  </si>
  <si>
    <t>Weedle</t>
  </si>
  <si>
    <t>base1-70</t>
  </si>
  <si>
    <t>Clefairy Doll</t>
  </si>
  <si>
    <t>r</t>
  </si>
  <si>
    <t>base1-71</t>
  </si>
  <si>
    <t>Computer Search</t>
  </si>
  <si>
    <t>base1-72</t>
  </si>
  <si>
    <t>Devolution Spray</t>
  </si>
  <si>
    <t>base1-73</t>
  </si>
  <si>
    <t>Impostor Professor Oak</t>
  </si>
  <si>
    <t>base1-74</t>
  </si>
  <si>
    <t>Item Finder</t>
  </si>
  <si>
    <t>base1-75</t>
  </si>
  <si>
    <t>Lass</t>
  </si>
  <si>
    <t>base1-76</t>
  </si>
  <si>
    <t>Pokemon Breeder</t>
  </si>
  <si>
    <t>base1-77</t>
  </si>
  <si>
    <t>Pokemon Trader</t>
  </si>
  <si>
    <t>base1-78</t>
  </si>
  <si>
    <t>Scoop Up</t>
  </si>
  <si>
    <t>base1-79</t>
  </si>
  <si>
    <t>Super Energy Removal</t>
  </si>
  <si>
    <t>base1-80</t>
  </si>
  <si>
    <t>Defender</t>
  </si>
  <si>
    <t>u</t>
  </si>
  <si>
    <t>base1-81</t>
  </si>
  <si>
    <t>Energy Retrieval</t>
  </si>
  <si>
    <t>base1-82</t>
  </si>
  <si>
    <t>Full Heal</t>
  </si>
  <si>
    <t>base1-83</t>
  </si>
  <si>
    <t>Maintenance</t>
  </si>
  <si>
    <t>base1-84</t>
  </si>
  <si>
    <t>PlusPower</t>
  </si>
  <si>
    <t>base1-85</t>
  </si>
  <si>
    <t>Pokemon Center</t>
  </si>
  <si>
    <t>base1-86</t>
  </si>
  <si>
    <t>Pokemon Flute</t>
  </si>
  <si>
    <t>base1-87</t>
  </si>
  <si>
    <t>Pokedex</t>
  </si>
  <si>
    <t>base1-88</t>
  </si>
  <si>
    <t>Professor Oak</t>
  </si>
  <si>
    <t>base1-89</t>
  </si>
  <si>
    <t>Revive</t>
  </si>
  <si>
    <t>base1-90</t>
  </si>
  <si>
    <t>Super Potion</t>
  </si>
  <si>
    <t>base1-91</t>
  </si>
  <si>
    <t>Bill</t>
  </si>
  <si>
    <t>c</t>
  </si>
  <si>
    <t>base1-92</t>
  </si>
  <si>
    <t>Energy Removal</t>
  </si>
  <si>
    <t>base1-93</t>
  </si>
  <si>
    <t>Gust of Wind</t>
  </si>
  <si>
    <t>base1-94</t>
  </si>
  <si>
    <t>Potion</t>
  </si>
  <si>
    <t>base1-95</t>
  </si>
  <si>
    <t>Switch</t>
  </si>
  <si>
    <t>base1-96</t>
  </si>
  <si>
    <t>Double Colorless Energy</t>
  </si>
  <si>
    <t>Energy</t>
  </si>
  <si>
    <t>base1-97</t>
  </si>
  <si>
    <t>Fighting Energy</t>
  </si>
  <si>
    <t>base1-98</t>
  </si>
  <si>
    <t>Fire Energy</t>
  </si>
  <si>
    <t>base1-99</t>
  </si>
  <si>
    <t>Grass Energy</t>
  </si>
  <si>
    <t>base1-100</t>
  </si>
  <si>
    <t>Lightning Energy</t>
  </si>
  <si>
    <t>base1-101</t>
  </si>
  <si>
    <t>Psychic Energy</t>
  </si>
  <si>
    <t>base1-102</t>
  </si>
  <si>
    <t>Water Energy</t>
  </si>
  <si>
    <t>Total</t>
  </si>
  <si>
    <t>Common</t>
  </si>
  <si>
    <t>Uncommon</t>
  </si>
  <si>
    <t>Rare</t>
  </si>
  <si>
    <t>Trainer</t>
  </si>
  <si>
    <t>Pokemon</t>
  </si>
  <si>
    <t>Feature Weight:</t>
  </si>
  <si>
    <t>Total: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</si>
</sst>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vertical="bottom"/>
    </xf>
    <xf borderId="0" fillId="0" fontId="1" numFmtId="0" xfId="0" applyFont="1"/>
    <xf borderId="0" fillId="0" fontId="2" numFmtId="0" xfId="0" applyAlignment="1" applyFont="1">
      <alignment readingOrder="0" vertical="bottom"/>
    </xf>
    <xf borderId="0" fillId="0" fontId="1" numFmtId="0" xfId="0" applyAlignment="1" applyFont="1">
      <alignment horizontal="left"/>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cellXfs>
  <cellStyles count="1">
    <cellStyle xfId="0" name="Normal" builtinId="0"/>
  </cellStyles>
  <dxfs count="2">
    <dxf>
      <font>
        <color theme="0"/>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1</v>
      </c>
      <c r="C1" s="1" t="s">
        <v>3</v>
      </c>
      <c r="D1" s="2" t="s">
        <v>4</v>
      </c>
      <c r="E1" s="1" t="s">
        <v>6</v>
      </c>
      <c r="F1" s="1" t="s">
        <v>8</v>
      </c>
      <c r="G1" s="1" t="s">
        <v>10</v>
      </c>
      <c r="H1" s="1" t="s">
        <v>11</v>
      </c>
      <c r="I1" s="1" t="s">
        <v>13</v>
      </c>
      <c r="K1" s="1" t="s">
        <v>15</v>
      </c>
    </row>
    <row r="2">
      <c r="A2" s="3" t="s">
        <v>18</v>
      </c>
      <c r="B2" s="3" t="s">
        <v>21</v>
      </c>
      <c r="C2" s="1" t="s">
        <v>22</v>
      </c>
      <c r="D2" s="2">
        <v>2.0</v>
      </c>
      <c r="F2" s="1">
        <v>2.5</v>
      </c>
      <c r="I2" s="1" t="b">
        <v>1</v>
      </c>
      <c r="K2" s="1" t="s">
        <v>25</v>
      </c>
      <c r="L2" s="1" t="s">
        <v>26</v>
      </c>
    </row>
    <row r="3">
      <c r="A3" s="3" t="s">
        <v>27</v>
      </c>
      <c r="B3" s="3" t="s">
        <v>28</v>
      </c>
      <c r="C3" s="1" t="s">
        <v>29</v>
      </c>
      <c r="D3" s="2">
        <v>2.0</v>
      </c>
      <c r="F3" s="1">
        <v>4.0</v>
      </c>
      <c r="I3" s="1" t="b">
        <v>1</v>
      </c>
      <c r="K3" s="1">
        <v>1.0</v>
      </c>
      <c r="L3" s="1" t="s">
        <v>30</v>
      </c>
    </row>
    <row r="4">
      <c r="A4" s="3" t="s">
        <v>31</v>
      </c>
      <c r="B4" s="3" t="s">
        <v>32</v>
      </c>
      <c r="C4" s="1" t="s">
        <v>33</v>
      </c>
      <c r="D4" s="2" t="s">
        <v>34</v>
      </c>
      <c r="E4" s="1" t="s">
        <v>35</v>
      </c>
      <c r="F4" s="1">
        <v>1.5</v>
      </c>
      <c r="G4" s="1" t="s">
        <v>36</v>
      </c>
      <c r="I4" s="1" t="b">
        <v>1</v>
      </c>
      <c r="K4" s="1">
        <v>2.0</v>
      </c>
      <c r="L4" s="1" t="s">
        <v>37</v>
      </c>
    </row>
    <row r="5">
      <c r="A5" s="3" t="s">
        <v>38</v>
      </c>
      <c r="B5" s="3" t="s">
        <v>39</v>
      </c>
      <c r="C5" s="1" t="s">
        <v>40</v>
      </c>
      <c r="D5" s="2">
        <v>2.0</v>
      </c>
      <c r="F5" s="1">
        <v>4.0</v>
      </c>
      <c r="I5" s="1" t="b">
        <v>1</v>
      </c>
      <c r="K5" s="1">
        <v>3.0</v>
      </c>
      <c r="L5" s="1" t="s">
        <v>41</v>
      </c>
    </row>
    <row r="6">
      <c r="A6" s="3" t="s">
        <v>42</v>
      </c>
      <c r="B6" s="3" t="s">
        <v>43</v>
      </c>
      <c r="C6" s="1" t="s">
        <v>33</v>
      </c>
      <c r="D6" s="2" t="s">
        <v>34</v>
      </c>
      <c r="E6" s="1" t="s">
        <v>44</v>
      </c>
      <c r="F6" s="1">
        <v>0.5</v>
      </c>
      <c r="I6" s="1" t="b">
        <v>1</v>
      </c>
      <c r="K6" s="1">
        <v>4.0</v>
      </c>
      <c r="L6" s="1" t="s">
        <v>45</v>
      </c>
    </row>
    <row r="7">
      <c r="A7" s="3" t="s">
        <v>46</v>
      </c>
      <c r="B7" s="3" t="s">
        <v>47</v>
      </c>
      <c r="C7" s="1" t="s">
        <v>29</v>
      </c>
      <c r="D7" s="2">
        <v>1.0</v>
      </c>
      <c r="E7" s="1" t="s">
        <v>35</v>
      </c>
      <c r="F7" s="1">
        <v>2.0</v>
      </c>
      <c r="I7" s="1" t="b">
        <v>1</v>
      </c>
    </row>
    <row r="8">
      <c r="A8" s="3" t="s">
        <v>48</v>
      </c>
      <c r="B8" s="3" t="s">
        <v>49</v>
      </c>
      <c r="C8" s="1" t="s">
        <v>50</v>
      </c>
      <c r="D8" s="2" t="s">
        <v>34</v>
      </c>
      <c r="E8" s="1" t="s">
        <v>35</v>
      </c>
      <c r="F8" s="1">
        <v>1.0</v>
      </c>
      <c r="G8" s="1" t="s">
        <v>51</v>
      </c>
      <c r="I8" s="1" t="b">
        <v>1</v>
      </c>
    </row>
    <row r="9">
      <c r="A9" s="3" t="s">
        <v>52</v>
      </c>
      <c r="B9" s="3" t="s">
        <v>53</v>
      </c>
      <c r="C9" s="1" t="s">
        <v>50</v>
      </c>
      <c r="D9" s="2">
        <v>2.0</v>
      </c>
      <c r="F9" s="1">
        <v>3.0</v>
      </c>
      <c r="I9" s="1" t="b">
        <v>1</v>
      </c>
      <c r="K9" s="1" t="s">
        <v>54</v>
      </c>
    </row>
    <row r="10">
      <c r="A10" s="3" t="s">
        <v>55</v>
      </c>
      <c r="B10" s="3" t="s">
        <v>56</v>
      </c>
      <c r="C10" s="1" t="s">
        <v>57</v>
      </c>
      <c r="D10" s="2">
        <v>1.0</v>
      </c>
      <c r="E10" s="1" t="s">
        <v>35</v>
      </c>
      <c r="F10" s="1">
        <v>2.0</v>
      </c>
      <c r="I10" s="1" t="b">
        <v>1</v>
      </c>
      <c r="K10" s="1" t="s">
        <v>58</v>
      </c>
    </row>
    <row r="11">
      <c r="A11" s="3" t="s">
        <v>59</v>
      </c>
      <c r="B11" s="3" t="s">
        <v>60</v>
      </c>
      <c r="C11" s="1" t="s">
        <v>22</v>
      </c>
      <c r="D11" s="2" t="s">
        <v>34</v>
      </c>
      <c r="E11" s="1" t="s">
        <v>35</v>
      </c>
      <c r="F11" s="1">
        <v>1.0</v>
      </c>
      <c r="G11" s="1" t="s">
        <v>61</v>
      </c>
      <c r="I11" s="1" t="b">
        <v>1</v>
      </c>
      <c r="K11" s="1" t="s">
        <v>62</v>
      </c>
    </row>
    <row r="12">
      <c r="A12" s="3" t="s">
        <v>63</v>
      </c>
      <c r="B12" s="3" t="s">
        <v>64</v>
      </c>
      <c r="C12" s="1" t="s">
        <v>65</v>
      </c>
      <c r="D12" s="2">
        <v>2.0</v>
      </c>
      <c r="F12" s="1">
        <v>3.0</v>
      </c>
      <c r="I12" s="1" t="b">
        <v>1</v>
      </c>
      <c r="K12" s="1" t="s">
        <v>66</v>
      </c>
    </row>
    <row r="13">
      <c r="A13" s="3" t="s">
        <v>67</v>
      </c>
      <c r="B13" s="3" t="s">
        <v>68</v>
      </c>
      <c r="C13" s="1" t="s">
        <v>50</v>
      </c>
      <c r="D13" s="2">
        <v>1.0</v>
      </c>
      <c r="E13" s="1" t="s">
        <v>35</v>
      </c>
      <c r="F13" s="1">
        <v>2.0</v>
      </c>
      <c r="I13" s="1" t="b">
        <v>1</v>
      </c>
      <c r="K13" s="1" t="s">
        <v>69</v>
      </c>
    </row>
    <row r="14">
      <c r="A14" s="3" t="s">
        <v>70</v>
      </c>
      <c r="B14" s="3" t="s">
        <v>71</v>
      </c>
      <c r="C14" s="1" t="s">
        <v>29</v>
      </c>
      <c r="D14" s="2">
        <v>2.0</v>
      </c>
      <c r="F14" s="1">
        <v>3.0</v>
      </c>
      <c r="I14" s="1" t="b">
        <v>1</v>
      </c>
      <c r="K14" s="1" t="s">
        <v>72</v>
      </c>
    </row>
    <row r="15">
      <c r="A15" s="3" t="s">
        <v>73</v>
      </c>
      <c r="B15" s="3" t="s">
        <v>74</v>
      </c>
      <c r="C15" s="1" t="s">
        <v>57</v>
      </c>
      <c r="D15" s="2">
        <v>1.0</v>
      </c>
      <c r="E15" s="1" t="s">
        <v>35</v>
      </c>
      <c r="F15" s="1">
        <v>2.0</v>
      </c>
      <c r="I15" s="1" t="b">
        <v>1</v>
      </c>
    </row>
    <row r="16">
      <c r="A16" s="3" t="s">
        <v>75</v>
      </c>
      <c r="B16" s="3" t="s">
        <v>76</v>
      </c>
      <c r="C16" s="1" t="s">
        <v>65</v>
      </c>
      <c r="D16" s="2">
        <v>2.0</v>
      </c>
      <c r="F16" s="1">
        <v>3.0</v>
      </c>
      <c r="I16" s="1" t="b">
        <v>1</v>
      </c>
    </row>
    <row r="17">
      <c r="A17" s="3" t="s">
        <v>77</v>
      </c>
      <c r="B17" s="3" t="s">
        <v>78</v>
      </c>
      <c r="C17" s="1" t="s">
        <v>57</v>
      </c>
      <c r="D17" s="2" t="s">
        <v>34</v>
      </c>
      <c r="E17" s="1" t="s">
        <v>35</v>
      </c>
      <c r="F17" s="1">
        <v>1.5</v>
      </c>
      <c r="G17" s="1" t="s">
        <v>79</v>
      </c>
      <c r="I17" s="1" t="b">
        <v>1</v>
      </c>
    </row>
    <row r="18">
      <c r="A18" s="3" t="s">
        <v>80</v>
      </c>
      <c r="B18" s="3" t="s">
        <v>81</v>
      </c>
      <c r="C18" s="1" t="s">
        <v>65</v>
      </c>
      <c r="D18" s="2">
        <v>2.0</v>
      </c>
      <c r="F18" s="1">
        <v>3.0</v>
      </c>
      <c r="I18" s="1" t="b">
        <v>1</v>
      </c>
    </row>
    <row r="19">
      <c r="A19" s="3" t="s">
        <v>82</v>
      </c>
      <c r="B19" s="3" t="s">
        <v>83</v>
      </c>
      <c r="C19" s="1" t="s">
        <v>33</v>
      </c>
      <c r="D19" s="2">
        <v>1.0</v>
      </c>
      <c r="E19" s="1" t="s">
        <v>44</v>
      </c>
      <c r="F19" s="1">
        <v>1.0</v>
      </c>
      <c r="I19" s="1" t="b">
        <v>1</v>
      </c>
      <c r="K19" s="1" t="s">
        <v>84</v>
      </c>
    </row>
    <row r="20">
      <c r="A20" s="3" t="s">
        <v>85</v>
      </c>
      <c r="B20" s="3" t="s">
        <v>86</v>
      </c>
      <c r="C20" s="1" t="s">
        <v>50</v>
      </c>
      <c r="D20" s="2">
        <v>1.0</v>
      </c>
      <c r="E20" s="1" t="s">
        <v>35</v>
      </c>
      <c r="F20" s="1">
        <v>2.0</v>
      </c>
      <c r="I20" s="1" t="b">
        <v>1</v>
      </c>
    </row>
    <row r="21">
      <c r="A21" s="3" t="s">
        <v>87</v>
      </c>
      <c r="B21" s="3" t="s">
        <v>88</v>
      </c>
      <c r="C21" s="1" t="s">
        <v>57</v>
      </c>
      <c r="D21" s="2" t="s">
        <v>34</v>
      </c>
      <c r="E21" s="1" t="s">
        <v>35</v>
      </c>
      <c r="F21" s="1">
        <v>1.0</v>
      </c>
      <c r="I21" s="1" t="b">
        <v>1</v>
      </c>
      <c r="K21" s="1" t="s">
        <v>89</v>
      </c>
      <c r="L21" s="1" t="s">
        <v>90</v>
      </c>
    </row>
    <row r="22">
      <c r="A22" s="3" t="s">
        <v>91</v>
      </c>
      <c r="B22" s="3" t="s">
        <v>92</v>
      </c>
      <c r="C22" s="1" t="s">
        <v>57</v>
      </c>
      <c r="D22" s="2">
        <v>1.0</v>
      </c>
      <c r="E22" s="1" t="s">
        <v>35</v>
      </c>
      <c r="F22" s="1">
        <v>2.0</v>
      </c>
      <c r="I22" s="1" t="b">
        <v>1</v>
      </c>
      <c r="K22" s="1" t="s">
        <v>93</v>
      </c>
      <c r="L22" s="1" t="s">
        <v>94</v>
      </c>
    </row>
    <row r="23">
      <c r="A23" s="3" t="s">
        <v>95</v>
      </c>
      <c r="B23" s="3" t="s">
        <v>96</v>
      </c>
      <c r="C23" s="1" t="s">
        <v>33</v>
      </c>
      <c r="D23" s="2">
        <v>1.0</v>
      </c>
      <c r="E23" s="1" t="s">
        <v>44</v>
      </c>
      <c r="I23" s="1" t="b">
        <v>1</v>
      </c>
      <c r="K23" s="1" t="s">
        <v>50</v>
      </c>
      <c r="L23" s="1" t="s">
        <v>97</v>
      </c>
    </row>
    <row r="24">
      <c r="A24" s="3" t="s">
        <v>98</v>
      </c>
      <c r="B24" s="3" t="s">
        <v>99</v>
      </c>
      <c r="C24" s="1" t="s">
        <v>40</v>
      </c>
      <c r="D24" s="2">
        <v>1.0</v>
      </c>
      <c r="E24" s="1" t="s">
        <v>35</v>
      </c>
      <c r="F24" s="1">
        <v>2.0</v>
      </c>
      <c r="I24" s="1" t="b">
        <v>1</v>
      </c>
      <c r="K24" s="1" t="s">
        <v>57</v>
      </c>
      <c r="L24" s="1" t="s">
        <v>100</v>
      </c>
    </row>
    <row r="25">
      <c r="A25" s="3" t="s">
        <v>101</v>
      </c>
      <c r="B25" s="3" t="s">
        <v>102</v>
      </c>
      <c r="C25" s="1" t="s">
        <v>40</v>
      </c>
      <c r="D25" s="2">
        <v>1.0</v>
      </c>
      <c r="E25" s="1" t="s">
        <v>44</v>
      </c>
      <c r="I25" s="1" t="b">
        <v>1</v>
      </c>
      <c r="K25" s="1" t="s">
        <v>103</v>
      </c>
      <c r="L25" s="1" t="s">
        <v>104</v>
      </c>
    </row>
    <row r="26">
      <c r="A26" s="3" t="s">
        <v>105</v>
      </c>
      <c r="B26" s="3" t="s">
        <v>106</v>
      </c>
      <c r="C26" s="1" t="s">
        <v>29</v>
      </c>
      <c r="D26" s="2">
        <v>1.0</v>
      </c>
      <c r="E26" s="1" t="s">
        <v>35</v>
      </c>
      <c r="F26" s="1">
        <v>2.0</v>
      </c>
      <c r="I26" s="1" t="b">
        <v>1</v>
      </c>
      <c r="K26" s="1" t="s">
        <v>107</v>
      </c>
      <c r="L26" s="1" t="s">
        <v>108</v>
      </c>
    </row>
    <row r="27">
      <c r="A27" s="3" t="s">
        <v>109</v>
      </c>
      <c r="B27" s="3" t="s">
        <v>110</v>
      </c>
      <c r="C27" s="1" t="s">
        <v>33</v>
      </c>
      <c r="D27" s="2" t="s">
        <v>34</v>
      </c>
      <c r="E27" s="1" t="s">
        <v>44</v>
      </c>
      <c r="I27" s="1" t="b">
        <v>1</v>
      </c>
    </row>
    <row r="28">
      <c r="A28" s="3" t="s">
        <v>111</v>
      </c>
      <c r="B28" s="3" t="s">
        <v>112</v>
      </c>
      <c r="C28" s="1" t="s">
        <v>33</v>
      </c>
      <c r="D28" s="2" t="s">
        <v>34</v>
      </c>
      <c r="E28" s="1" t="s">
        <v>35</v>
      </c>
      <c r="G28" s="1" t="s">
        <v>113</v>
      </c>
      <c r="I28" s="1" t="b">
        <v>1</v>
      </c>
    </row>
    <row r="29">
      <c r="A29" s="3" t="s">
        <v>114</v>
      </c>
      <c r="B29" s="3" t="s">
        <v>115</v>
      </c>
      <c r="C29" s="1" t="s">
        <v>40</v>
      </c>
      <c r="D29" s="2" t="s">
        <v>34</v>
      </c>
      <c r="E29" s="1" t="s">
        <v>44</v>
      </c>
      <c r="I29" s="1" t="b">
        <v>1</v>
      </c>
    </row>
    <row r="30">
      <c r="A30" s="3" t="s">
        <v>116</v>
      </c>
      <c r="B30" s="3" t="s">
        <v>117</v>
      </c>
      <c r="C30" s="1" t="s">
        <v>22</v>
      </c>
      <c r="D30" s="2">
        <v>1.0</v>
      </c>
      <c r="E30" s="1" t="s">
        <v>44</v>
      </c>
      <c r="I30" s="1" t="b">
        <v>1</v>
      </c>
    </row>
    <row r="31">
      <c r="A31" s="3" t="s">
        <v>118</v>
      </c>
      <c r="B31" s="3" t="s">
        <v>119</v>
      </c>
      <c r="C31" s="1" t="s">
        <v>65</v>
      </c>
      <c r="D31" s="2">
        <v>1.0</v>
      </c>
      <c r="E31" s="1" t="s">
        <v>44</v>
      </c>
      <c r="I31" s="1" t="b">
        <v>1</v>
      </c>
    </row>
    <row r="32">
      <c r="A32" s="3" t="s">
        <v>120</v>
      </c>
      <c r="B32" s="3" t="s">
        <v>121</v>
      </c>
      <c r="C32" s="1" t="s">
        <v>22</v>
      </c>
      <c r="D32" s="2" t="s">
        <v>34</v>
      </c>
      <c r="E32" s="1" t="s">
        <v>35</v>
      </c>
      <c r="F32" s="1">
        <v>1.0</v>
      </c>
      <c r="G32" s="1" t="s">
        <v>113</v>
      </c>
      <c r="I32" s="1" t="b">
        <v>1</v>
      </c>
    </row>
    <row r="33">
      <c r="A33" s="3" t="s">
        <v>122</v>
      </c>
      <c r="B33" s="3" t="s">
        <v>123</v>
      </c>
      <c r="C33" s="1" t="s">
        <v>22</v>
      </c>
      <c r="D33" s="2">
        <v>1.0</v>
      </c>
      <c r="E33" s="1" t="s">
        <v>44</v>
      </c>
      <c r="I33" s="1" t="b">
        <v>1</v>
      </c>
    </row>
    <row r="34">
      <c r="A34" s="3" t="s">
        <v>124</v>
      </c>
      <c r="B34" s="3" t="s">
        <v>125</v>
      </c>
      <c r="C34" s="1" t="s">
        <v>65</v>
      </c>
      <c r="D34" s="2">
        <v>1.0</v>
      </c>
      <c r="E34" s="1" t="s">
        <v>44</v>
      </c>
      <c r="I34" s="1" t="b">
        <v>1</v>
      </c>
    </row>
    <row r="35">
      <c r="A35" s="3" t="s">
        <v>126</v>
      </c>
      <c r="B35" s="3" t="s">
        <v>127</v>
      </c>
      <c r="C35" s="1" t="s">
        <v>50</v>
      </c>
      <c r="D35" s="2">
        <v>1.0</v>
      </c>
      <c r="E35" s="1" t="s">
        <v>44</v>
      </c>
      <c r="I35" s="1" t="b">
        <v>1</v>
      </c>
    </row>
    <row r="36">
      <c r="A36" s="3" t="s">
        <v>128</v>
      </c>
      <c r="B36" s="3" t="s">
        <v>129</v>
      </c>
      <c r="C36" s="1" t="s">
        <v>29</v>
      </c>
      <c r="D36" s="2" t="s">
        <v>34</v>
      </c>
      <c r="E36" s="1" t="s">
        <v>44</v>
      </c>
      <c r="G36" s="1" t="s">
        <v>35</v>
      </c>
      <c r="I36" s="1" t="b">
        <v>1</v>
      </c>
    </row>
    <row r="37">
      <c r="A37" s="3" t="s">
        <v>130</v>
      </c>
      <c r="B37" s="3" t="s">
        <v>131</v>
      </c>
      <c r="C37" s="1" t="s">
        <v>40</v>
      </c>
      <c r="D37" s="2" t="s">
        <v>34</v>
      </c>
      <c r="E37" s="1" t="s">
        <v>35</v>
      </c>
      <c r="G37" s="1" t="s">
        <v>61</v>
      </c>
      <c r="I37" s="1" t="b">
        <v>1</v>
      </c>
    </row>
    <row r="38">
      <c r="A38" s="3" t="s">
        <v>132</v>
      </c>
      <c r="B38" s="3" t="s">
        <v>133</v>
      </c>
      <c r="C38" s="1" t="s">
        <v>65</v>
      </c>
      <c r="D38" s="2">
        <v>1.0</v>
      </c>
      <c r="E38" s="1" t="s">
        <v>44</v>
      </c>
      <c r="I38" s="1" t="b">
        <v>1</v>
      </c>
    </row>
    <row r="39">
      <c r="A39" s="3" t="s">
        <v>134</v>
      </c>
      <c r="B39" s="3" t="s">
        <v>135</v>
      </c>
      <c r="C39" s="1" t="s">
        <v>29</v>
      </c>
      <c r="D39" s="2">
        <v>1.0</v>
      </c>
      <c r="E39" s="1" t="s">
        <v>44</v>
      </c>
      <c r="I39" s="1" t="b">
        <v>1</v>
      </c>
    </row>
    <row r="40">
      <c r="A40" s="3" t="s">
        <v>136</v>
      </c>
      <c r="B40" s="3" t="s">
        <v>137</v>
      </c>
      <c r="C40" s="1" t="s">
        <v>33</v>
      </c>
      <c r="D40" s="2" t="s">
        <v>34</v>
      </c>
      <c r="E40" s="1" t="s">
        <v>35</v>
      </c>
      <c r="G40" s="1" t="s">
        <v>113</v>
      </c>
      <c r="I40" s="1" t="b">
        <v>1</v>
      </c>
    </row>
    <row r="41">
      <c r="A41" s="3" t="s">
        <v>138</v>
      </c>
      <c r="B41" s="3" t="s">
        <v>139</v>
      </c>
      <c r="C41" s="1" t="s">
        <v>33</v>
      </c>
      <c r="D41" s="2">
        <v>1.0</v>
      </c>
      <c r="E41" s="1" t="s">
        <v>35</v>
      </c>
      <c r="I41" s="1" t="b">
        <v>1</v>
      </c>
    </row>
    <row r="42">
      <c r="A42" s="3" t="s">
        <v>140</v>
      </c>
      <c r="B42" s="3" t="s">
        <v>141</v>
      </c>
      <c r="C42" s="1" t="s">
        <v>29</v>
      </c>
      <c r="D42" s="2" t="s">
        <v>34</v>
      </c>
      <c r="E42" s="1" t="s">
        <v>44</v>
      </c>
      <c r="I42" s="1" t="b">
        <v>1</v>
      </c>
    </row>
    <row r="43">
      <c r="A43" s="3" t="s">
        <v>142</v>
      </c>
      <c r="B43" s="3" t="s">
        <v>143</v>
      </c>
      <c r="C43" s="1" t="s">
        <v>29</v>
      </c>
      <c r="D43" s="2">
        <v>1.0</v>
      </c>
      <c r="E43" s="1" t="s">
        <v>44</v>
      </c>
      <c r="I43" s="1" t="b">
        <v>1</v>
      </c>
    </row>
    <row r="44">
      <c r="A44" s="3" t="s">
        <v>144</v>
      </c>
      <c r="B44" s="3" t="s">
        <v>24</v>
      </c>
      <c r="C44" s="1" t="s">
        <v>22</v>
      </c>
      <c r="D44" s="2" t="s">
        <v>34</v>
      </c>
      <c r="E44" s="1" t="s">
        <v>44</v>
      </c>
      <c r="G44" s="1" t="s">
        <v>145</v>
      </c>
      <c r="I44" s="1" t="b">
        <v>1</v>
      </c>
    </row>
    <row r="45">
      <c r="A45" s="3" t="s">
        <v>146</v>
      </c>
      <c r="B45" s="3" t="s">
        <v>147</v>
      </c>
      <c r="C45" s="1" t="s">
        <v>65</v>
      </c>
      <c r="D45" s="2" t="s">
        <v>34</v>
      </c>
      <c r="E45" s="1" t="s">
        <v>44</v>
      </c>
      <c r="I45" s="1" t="b">
        <v>1</v>
      </c>
    </row>
    <row r="46">
      <c r="A46" s="3" t="s">
        <v>148</v>
      </c>
      <c r="B46" s="3" t="s">
        <v>149</v>
      </c>
      <c r="C46" s="1" t="s">
        <v>65</v>
      </c>
      <c r="D46" s="2" t="s">
        <v>34</v>
      </c>
      <c r="E46" s="1" t="s">
        <v>44</v>
      </c>
      <c r="I46" s="1" t="b">
        <v>1</v>
      </c>
    </row>
    <row r="47">
      <c r="A47" s="3" t="s">
        <v>150</v>
      </c>
      <c r="B47" s="3" t="s">
        <v>151</v>
      </c>
      <c r="C47" s="1" t="s">
        <v>40</v>
      </c>
      <c r="D47" s="2" t="s">
        <v>34</v>
      </c>
      <c r="E47" s="1" t="s">
        <v>44</v>
      </c>
      <c r="G47" s="1" t="s">
        <v>145</v>
      </c>
      <c r="I47" s="1" t="b">
        <v>1</v>
      </c>
    </row>
    <row r="48">
      <c r="A48" s="3" t="s">
        <v>152</v>
      </c>
      <c r="B48" s="3" t="s">
        <v>153</v>
      </c>
      <c r="C48" s="1" t="s">
        <v>50</v>
      </c>
      <c r="D48" s="2" t="s">
        <v>34</v>
      </c>
      <c r="E48" s="1" t="s">
        <v>44</v>
      </c>
      <c r="G48" s="1" t="s">
        <v>145</v>
      </c>
      <c r="I48" s="1" t="b">
        <v>1</v>
      </c>
    </row>
    <row r="49">
      <c r="A49" s="3" t="s">
        <v>154</v>
      </c>
      <c r="B49" s="3" t="s">
        <v>155</v>
      </c>
      <c r="C49" s="1" t="s">
        <v>33</v>
      </c>
      <c r="D49" s="2" t="s">
        <v>34</v>
      </c>
      <c r="E49" s="1" t="s">
        <v>44</v>
      </c>
      <c r="G49" s="1" t="s">
        <v>113</v>
      </c>
      <c r="I49" s="1" t="b">
        <v>1</v>
      </c>
    </row>
    <row r="50">
      <c r="A50" s="3" t="s">
        <v>156</v>
      </c>
      <c r="B50" s="3" t="s">
        <v>157</v>
      </c>
      <c r="C50" s="1" t="s">
        <v>22</v>
      </c>
      <c r="D50" s="2" t="s">
        <v>34</v>
      </c>
      <c r="E50" s="1" t="s">
        <v>44</v>
      </c>
      <c r="G50" s="1" t="s">
        <v>113</v>
      </c>
      <c r="I50" s="1" t="b">
        <v>1</v>
      </c>
    </row>
    <row r="51">
      <c r="A51" s="3" t="s">
        <v>158</v>
      </c>
      <c r="B51" s="3" t="s">
        <v>159</v>
      </c>
      <c r="C51" s="1" t="s">
        <v>22</v>
      </c>
      <c r="D51" s="2" t="s">
        <v>34</v>
      </c>
      <c r="E51" s="1" t="s">
        <v>44</v>
      </c>
      <c r="G51" s="1" t="s">
        <v>145</v>
      </c>
      <c r="I51" s="1" t="b">
        <v>1</v>
      </c>
    </row>
    <row r="52">
      <c r="A52" s="3" t="s">
        <v>160</v>
      </c>
      <c r="B52" s="3" t="s">
        <v>161</v>
      </c>
      <c r="C52" s="1" t="s">
        <v>65</v>
      </c>
      <c r="D52" s="2" t="s">
        <v>34</v>
      </c>
      <c r="E52" s="1" t="s">
        <v>44</v>
      </c>
      <c r="G52" s="1" t="s">
        <v>113</v>
      </c>
      <c r="I52" s="1" t="b">
        <v>1</v>
      </c>
    </row>
    <row r="53">
      <c r="A53" s="3" t="s">
        <v>163</v>
      </c>
      <c r="B53" s="3" t="s">
        <v>164</v>
      </c>
      <c r="C53" s="1" t="s">
        <v>50</v>
      </c>
      <c r="D53" s="2" t="s">
        <v>34</v>
      </c>
      <c r="E53" s="1" t="s">
        <v>44</v>
      </c>
      <c r="G53" s="1" t="s">
        <v>145</v>
      </c>
      <c r="I53" s="1" t="b">
        <v>1</v>
      </c>
    </row>
    <row r="54">
      <c r="A54" s="3" t="s">
        <v>165</v>
      </c>
      <c r="B54" s="3" t="s">
        <v>166</v>
      </c>
      <c r="C54" s="1" t="s">
        <v>57</v>
      </c>
      <c r="D54" s="2" t="s">
        <v>34</v>
      </c>
      <c r="E54" s="1" t="s">
        <v>44</v>
      </c>
      <c r="G54" s="1" t="s">
        <v>145</v>
      </c>
      <c r="I54" s="1" t="b">
        <v>1</v>
      </c>
    </row>
    <row r="55">
      <c r="A55" s="3" t="s">
        <v>167</v>
      </c>
      <c r="B55" s="3" t="s">
        <v>168</v>
      </c>
      <c r="C55" s="1" t="s">
        <v>65</v>
      </c>
      <c r="D55" s="2">
        <v>1.0</v>
      </c>
      <c r="E55" s="1" t="s">
        <v>44</v>
      </c>
      <c r="I55" s="1" t="b">
        <v>1</v>
      </c>
    </row>
    <row r="56">
      <c r="A56" s="3" t="s">
        <v>169</v>
      </c>
      <c r="B56" s="3" t="s">
        <v>170</v>
      </c>
      <c r="C56" s="1" t="s">
        <v>65</v>
      </c>
      <c r="D56" s="2">
        <v>1.0</v>
      </c>
      <c r="E56" s="1" t="s">
        <v>44</v>
      </c>
      <c r="G56" s="1" t="s">
        <v>113</v>
      </c>
      <c r="I56" s="1" t="b">
        <v>1</v>
      </c>
      <c r="K56" s="5"/>
    </row>
    <row r="57">
      <c r="A57" s="3" t="s">
        <v>171</v>
      </c>
      <c r="B57" s="3" t="s">
        <v>172</v>
      </c>
      <c r="C57" s="1" t="s">
        <v>50</v>
      </c>
      <c r="D57" s="2" t="s">
        <v>34</v>
      </c>
      <c r="E57" s="1" t="s">
        <v>35</v>
      </c>
      <c r="G57" s="1" t="s">
        <v>36</v>
      </c>
      <c r="I57" s="1" t="b">
        <v>1</v>
      </c>
    </row>
    <row r="58">
      <c r="A58" s="3" t="s">
        <v>173</v>
      </c>
      <c r="B58" s="3" t="s">
        <v>174</v>
      </c>
      <c r="C58" s="1" t="s">
        <v>33</v>
      </c>
      <c r="D58" s="2" t="s">
        <v>34</v>
      </c>
      <c r="E58" s="1" t="s">
        <v>44</v>
      </c>
      <c r="I58" s="1" t="b">
        <v>1</v>
      </c>
    </row>
    <row r="59">
      <c r="A59" s="3" t="s">
        <v>175</v>
      </c>
      <c r="B59" s="3" t="s">
        <v>176</v>
      </c>
      <c r="C59" s="1" t="s">
        <v>57</v>
      </c>
      <c r="D59" s="2" t="s">
        <v>34</v>
      </c>
      <c r="E59" s="1" t="s">
        <v>44</v>
      </c>
      <c r="I59" s="1" t="b">
        <v>1</v>
      </c>
    </row>
    <row r="60">
      <c r="A60" s="3" t="s">
        <v>177</v>
      </c>
      <c r="B60" s="3" t="s">
        <v>178</v>
      </c>
      <c r="C60" s="1" t="s">
        <v>29</v>
      </c>
      <c r="D60" s="2" t="s">
        <v>34</v>
      </c>
      <c r="E60" s="1" t="s">
        <v>44</v>
      </c>
      <c r="G60" s="1" t="s">
        <v>145</v>
      </c>
      <c r="I60" s="1" t="b">
        <v>1</v>
      </c>
    </row>
    <row r="61">
      <c r="A61" s="3" t="s">
        <v>179</v>
      </c>
      <c r="B61" s="3" t="s">
        <v>180</v>
      </c>
      <c r="C61" s="1" t="s">
        <v>40</v>
      </c>
      <c r="D61" s="2" t="s">
        <v>34</v>
      </c>
      <c r="E61" s="1" t="s">
        <v>44</v>
      </c>
      <c r="G61" s="1" t="s">
        <v>145</v>
      </c>
      <c r="I61" s="1" t="b">
        <v>1</v>
      </c>
    </row>
    <row r="62">
      <c r="A62" s="3" t="s">
        <v>181</v>
      </c>
      <c r="B62" s="3" t="s">
        <v>162</v>
      </c>
      <c r="C62" s="1" t="s">
        <v>33</v>
      </c>
      <c r="D62" s="2" t="s">
        <v>34</v>
      </c>
      <c r="E62" s="1" t="s">
        <v>44</v>
      </c>
      <c r="I62" s="1" t="b">
        <v>1</v>
      </c>
    </row>
    <row r="63">
      <c r="A63" s="3" t="s">
        <v>182</v>
      </c>
      <c r="B63" s="3" t="s">
        <v>23</v>
      </c>
      <c r="C63" s="1" t="s">
        <v>50</v>
      </c>
      <c r="D63" s="2" t="s">
        <v>34</v>
      </c>
      <c r="E63" s="1" t="s">
        <v>44</v>
      </c>
      <c r="G63" s="1" t="s">
        <v>113</v>
      </c>
      <c r="I63" s="1" t="b">
        <v>1</v>
      </c>
    </row>
    <row r="64">
      <c r="A64" s="3" t="s">
        <v>183</v>
      </c>
      <c r="B64" s="3" t="s">
        <v>184</v>
      </c>
      <c r="C64" s="1" t="s">
        <v>29</v>
      </c>
      <c r="D64" s="2" t="s">
        <v>34</v>
      </c>
      <c r="E64" s="1" t="s">
        <v>44</v>
      </c>
      <c r="G64" s="1" t="s">
        <v>145</v>
      </c>
      <c r="I64" s="1" t="b">
        <v>1</v>
      </c>
    </row>
    <row r="65">
      <c r="A65" s="3" t="s">
        <v>185</v>
      </c>
      <c r="B65" s="3" t="s">
        <v>186</v>
      </c>
      <c r="C65" s="1" t="s">
        <v>29</v>
      </c>
      <c r="D65" s="2">
        <v>1.0</v>
      </c>
      <c r="E65" s="1" t="s">
        <v>35</v>
      </c>
      <c r="F65" s="1">
        <v>1.5</v>
      </c>
      <c r="I65" s="1" t="b">
        <v>1</v>
      </c>
    </row>
    <row r="66">
      <c r="A66" s="3" t="s">
        <v>187</v>
      </c>
      <c r="B66" s="3" t="s">
        <v>188</v>
      </c>
      <c r="C66" s="1" t="s">
        <v>29</v>
      </c>
      <c r="D66" s="2" t="s">
        <v>34</v>
      </c>
      <c r="E66" s="1" t="s">
        <v>44</v>
      </c>
      <c r="I66" s="1" t="b">
        <v>1</v>
      </c>
    </row>
    <row r="67">
      <c r="A67" s="3" t="s">
        <v>189</v>
      </c>
      <c r="B67" s="3" t="s">
        <v>190</v>
      </c>
      <c r="C67" s="1" t="s">
        <v>65</v>
      </c>
      <c r="D67" s="2" t="s">
        <v>34</v>
      </c>
      <c r="E67" s="1" t="s">
        <v>35</v>
      </c>
      <c r="G67" s="1" t="s">
        <v>61</v>
      </c>
      <c r="I67" s="1" t="b">
        <v>1</v>
      </c>
    </row>
    <row r="68">
      <c r="A68" s="3" t="s">
        <v>191</v>
      </c>
      <c r="B68" s="3" t="s">
        <v>192</v>
      </c>
      <c r="C68" s="1" t="s">
        <v>57</v>
      </c>
      <c r="D68" s="2" t="s">
        <v>34</v>
      </c>
      <c r="E68" s="1" t="s">
        <v>44</v>
      </c>
      <c r="I68" s="1" t="b">
        <v>1</v>
      </c>
    </row>
    <row r="69">
      <c r="A69" s="3" t="s">
        <v>193</v>
      </c>
      <c r="B69" s="3" t="s">
        <v>194</v>
      </c>
      <c r="C69" s="1" t="s">
        <v>40</v>
      </c>
      <c r="D69" s="2" t="s">
        <v>34</v>
      </c>
      <c r="E69" s="1" t="s">
        <v>44</v>
      </c>
      <c r="G69" s="1" t="s">
        <v>145</v>
      </c>
      <c r="I69" s="1" t="b">
        <v>1</v>
      </c>
    </row>
    <row r="70">
      <c r="A70" s="3" t="s">
        <v>195</v>
      </c>
      <c r="B70" s="3" t="s">
        <v>196</v>
      </c>
      <c r="C70" s="1" t="s">
        <v>65</v>
      </c>
      <c r="D70" s="2" t="s">
        <v>34</v>
      </c>
      <c r="E70" s="1" t="s">
        <v>44</v>
      </c>
      <c r="G70" s="1" t="s">
        <v>113</v>
      </c>
      <c r="I70" s="1" t="b">
        <v>1</v>
      </c>
    </row>
    <row r="71">
      <c r="A71" s="3" t="s">
        <v>197</v>
      </c>
      <c r="B71" s="3" t="s">
        <v>198</v>
      </c>
      <c r="C71" s="1" t="s">
        <v>93</v>
      </c>
      <c r="D71" s="1" t="s">
        <v>199</v>
      </c>
      <c r="I71" s="4" t="b">
        <v>0</v>
      </c>
    </row>
    <row r="72">
      <c r="A72" s="3" t="s">
        <v>200</v>
      </c>
      <c r="B72" s="3" t="s">
        <v>201</v>
      </c>
      <c r="C72" s="1" t="s">
        <v>93</v>
      </c>
      <c r="D72" s="1" t="s">
        <v>199</v>
      </c>
      <c r="I72" s="1" t="b">
        <v>1</v>
      </c>
    </row>
    <row r="73">
      <c r="A73" s="3" t="s">
        <v>202</v>
      </c>
      <c r="B73" s="3" t="s">
        <v>203</v>
      </c>
      <c r="C73" s="1" t="s">
        <v>93</v>
      </c>
      <c r="D73" s="1" t="s">
        <v>199</v>
      </c>
      <c r="H73" s="1" t="s">
        <v>44</v>
      </c>
      <c r="I73" s="4" t="b">
        <v>0</v>
      </c>
    </row>
    <row r="74">
      <c r="A74" s="3" t="s">
        <v>204</v>
      </c>
      <c r="B74" s="3" t="s">
        <v>205</v>
      </c>
      <c r="C74" s="1" t="s">
        <v>93</v>
      </c>
      <c r="D74" s="1" t="s">
        <v>199</v>
      </c>
      <c r="I74" s="1" t="b">
        <v>1</v>
      </c>
    </row>
    <row r="75">
      <c r="A75" s="3" t="s">
        <v>206</v>
      </c>
      <c r="B75" s="3" t="s">
        <v>207</v>
      </c>
      <c r="C75" s="1" t="s">
        <v>93</v>
      </c>
      <c r="D75" s="1" t="s">
        <v>199</v>
      </c>
      <c r="I75" s="1" t="b">
        <v>1</v>
      </c>
    </row>
    <row r="76">
      <c r="A76" s="3" t="s">
        <v>208</v>
      </c>
      <c r="B76" s="3" t="s">
        <v>209</v>
      </c>
      <c r="C76" s="1" t="s">
        <v>93</v>
      </c>
      <c r="D76" s="1" t="s">
        <v>199</v>
      </c>
      <c r="I76" s="1" t="b">
        <v>1</v>
      </c>
    </row>
    <row r="77">
      <c r="A77" s="3" t="s">
        <v>210</v>
      </c>
      <c r="B77" s="5" t="s">
        <v>211</v>
      </c>
      <c r="C77" s="1" t="s">
        <v>93</v>
      </c>
      <c r="D77" s="1" t="s">
        <v>199</v>
      </c>
      <c r="I77" s="1" t="b">
        <v>1</v>
      </c>
    </row>
    <row r="78">
      <c r="A78" s="3" t="s">
        <v>212</v>
      </c>
      <c r="B78" s="5" t="s">
        <v>213</v>
      </c>
      <c r="C78" s="1" t="s">
        <v>93</v>
      </c>
      <c r="D78" s="1" t="s">
        <v>199</v>
      </c>
      <c r="I78" s="1" t="b">
        <v>1</v>
      </c>
    </row>
    <row r="79">
      <c r="A79" s="3" t="s">
        <v>214</v>
      </c>
      <c r="B79" s="3" t="s">
        <v>215</v>
      </c>
      <c r="C79" s="1" t="s">
        <v>93</v>
      </c>
      <c r="D79" s="1" t="s">
        <v>199</v>
      </c>
      <c r="I79" s="1" t="b">
        <v>1</v>
      </c>
    </row>
    <row r="80">
      <c r="A80" s="3" t="s">
        <v>216</v>
      </c>
      <c r="B80" s="3" t="s">
        <v>217</v>
      </c>
      <c r="C80" s="1" t="s">
        <v>93</v>
      </c>
      <c r="D80" s="1" t="s">
        <v>199</v>
      </c>
      <c r="I80" s="1" t="b">
        <v>1</v>
      </c>
    </row>
    <row r="81">
      <c r="A81" s="3" t="s">
        <v>218</v>
      </c>
      <c r="B81" s="3" t="s">
        <v>219</v>
      </c>
      <c r="C81" s="1" t="s">
        <v>93</v>
      </c>
      <c r="D81" s="1" t="s">
        <v>220</v>
      </c>
      <c r="I81" s="1" t="b">
        <v>1</v>
      </c>
    </row>
    <row r="82">
      <c r="A82" s="3" t="s">
        <v>221</v>
      </c>
      <c r="B82" s="3" t="s">
        <v>222</v>
      </c>
      <c r="C82" s="1" t="s">
        <v>93</v>
      </c>
      <c r="D82" s="1" t="s">
        <v>220</v>
      </c>
      <c r="I82" s="1" t="b">
        <v>1</v>
      </c>
    </row>
    <row r="83">
      <c r="A83" s="3" t="s">
        <v>223</v>
      </c>
      <c r="B83" s="3" t="s">
        <v>224</v>
      </c>
      <c r="C83" s="1" t="s">
        <v>93</v>
      </c>
      <c r="D83" s="1" t="s">
        <v>220</v>
      </c>
      <c r="I83" s="1" t="b">
        <v>1</v>
      </c>
    </row>
    <row r="84">
      <c r="A84" s="3" t="s">
        <v>225</v>
      </c>
      <c r="B84" s="3" t="s">
        <v>226</v>
      </c>
      <c r="C84" s="1" t="s">
        <v>93</v>
      </c>
      <c r="D84" s="1" t="s">
        <v>220</v>
      </c>
      <c r="I84" s="1" t="b">
        <v>1</v>
      </c>
    </row>
    <row r="85">
      <c r="A85" s="3" t="s">
        <v>227</v>
      </c>
      <c r="B85" s="3" t="s">
        <v>228</v>
      </c>
      <c r="C85" s="1" t="s">
        <v>93</v>
      </c>
      <c r="D85" s="1" t="s">
        <v>220</v>
      </c>
      <c r="I85" s="1" t="b">
        <v>1</v>
      </c>
    </row>
    <row r="86">
      <c r="A86" s="3" t="s">
        <v>229</v>
      </c>
      <c r="B86" s="5" t="s">
        <v>230</v>
      </c>
      <c r="C86" s="1" t="s">
        <v>93</v>
      </c>
      <c r="D86" s="1" t="s">
        <v>220</v>
      </c>
      <c r="H86" s="1" t="s">
        <v>44</v>
      </c>
      <c r="I86" s="4" t="b">
        <v>0</v>
      </c>
    </row>
    <row r="87">
      <c r="A87" s="3" t="s">
        <v>231</v>
      </c>
      <c r="B87" s="5" t="s">
        <v>232</v>
      </c>
      <c r="C87" s="1" t="s">
        <v>93</v>
      </c>
      <c r="D87" s="1" t="s">
        <v>220</v>
      </c>
      <c r="H87" s="1" t="s">
        <v>44</v>
      </c>
      <c r="I87" s="4" t="b">
        <v>0</v>
      </c>
    </row>
    <row r="88">
      <c r="A88" s="3" t="s">
        <v>233</v>
      </c>
      <c r="B88" s="5" t="s">
        <v>234</v>
      </c>
      <c r="C88" s="1" t="s">
        <v>93</v>
      </c>
      <c r="D88" s="1" t="s">
        <v>220</v>
      </c>
      <c r="I88" s="1" t="b">
        <v>1</v>
      </c>
    </row>
    <row r="89">
      <c r="A89" s="3" t="s">
        <v>235</v>
      </c>
      <c r="B89" s="3" t="s">
        <v>236</v>
      </c>
      <c r="C89" s="1" t="s">
        <v>93</v>
      </c>
      <c r="D89" s="1" t="s">
        <v>220</v>
      </c>
      <c r="I89" s="1" t="b">
        <v>1</v>
      </c>
    </row>
    <row r="90">
      <c r="A90" s="3" t="s">
        <v>237</v>
      </c>
      <c r="B90" s="3" t="s">
        <v>238</v>
      </c>
      <c r="C90" s="1" t="s">
        <v>93</v>
      </c>
      <c r="D90" s="1" t="s">
        <v>220</v>
      </c>
      <c r="H90" s="1" t="s">
        <v>44</v>
      </c>
      <c r="I90" s="4" t="b">
        <v>0</v>
      </c>
    </row>
    <row r="91">
      <c r="A91" s="3" t="s">
        <v>239</v>
      </c>
      <c r="B91" s="3" t="s">
        <v>240</v>
      </c>
      <c r="C91" s="1" t="s">
        <v>93</v>
      </c>
      <c r="D91" s="1" t="s">
        <v>220</v>
      </c>
      <c r="I91" s="1" t="b">
        <v>1</v>
      </c>
    </row>
    <row r="92">
      <c r="A92" s="3" t="s">
        <v>241</v>
      </c>
      <c r="B92" s="3" t="s">
        <v>242</v>
      </c>
      <c r="C92" s="1" t="s">
        <v>93</v>
      </c>
      <c r="D92" s="1" t="s">
        <v>243</v>
      </c>
      <c r="I92" s="1" t="b">
        <v>1</v>
      </c>
    </row>
    <row r="93">
      <c r="A93" s="3" t="s">
        <v>244</v>
      </c>
      <c r="B93" s="3" t="s">
        <v>245</v>
      </c>
      <c r="C93" s="1" t="s">
        <v>93</v>
      </c>
      <c r="D93" s="1" t="s">
        <v>243</v>
      </c>
      <c r="I93" s="1" t="b">
        <v>1</v>
      </c>
    </row>
    <row r="94">
      <c r="A94" s="3" t="s">
        <v>246</v>
      </c>
      <c r="B94" s="3" t="s">
        <v>247</v>
      </c>
      <c r="C94" s="1" t="s">
        <v>93</v>
      </c>
      <c r="D94" s="1" t="s">
        <v>243</v>
      </c>
      <c r="I94" s="1" t="b">
        <v>1</v>
      </c>
    </row>
    <row r="95">
      <c r="A95" s="3" t="s">
        <v>248</v>
      </c>
      <c r="B95" s="3" t="s">
        <v>249</v>
      </c>
      <c r="C95" s="1" t="s">
        <v>93</v>
      </c>
      <c r="D95" s="1" t="s">
        <v>243</v>
      </c>
      <c r="I95" s="1" t="b">
        <v>1</v>
      </c>
    </row>
    <row r="96">
      <c r="A96" s="3" t="s">
        <v>250</v>
      </c>
      <c r="B96" s="3" t="s">
        <v>251</v>
      </c>
      <c r="C96" s="1" t="s">
        <v>93</v>
      </c>
      <c r="D96" s="1" t="s">
        <v>243</v>
      </c>
      <c r="I96" s="1" t="b">
        <v>1</v>
      </c>
    </row>
    <row r="97">
      <c r="A97" s="3" t="s">
        <v>252</v>
      </c>
      <c r="B97" s="3" t="s">
        <v>253</v>
      </c>
      <c r="C97" s="1" t="s">
        <v>254</v>
      </c>
      <c r="D97" s="6"/>
      <c r="I97" s="1" t="b">
        <v>1</v>
      </c>
    </row>
    <row r="98">
      <c r="A98" s="3" t="s">
        <v>255</v>
      </c>
      <c r="B98" s="3" t="s">
        <v>256</v>
      </c>
      <c r="C98" s="1" t="s">
        <v>254</v>
      </c>
      <c r="D98" s="6"/>
      <c r="I98" s="1" t="b">
        <v>1</v>
      </c>
    </row>
    <row r="99">
      <c r="A99" s="3" t="s">
        <v>257</v>
      </c>
      <c r="B99" s="3" t="s">
        <v>258</v>
      </c>
      <c r="C99" s="1" t="s">
        <v>254</v>
      </c>
      <c r="D99" s="6"/>
      <c r="I99" s="1" t="b">
        <v>1</v>
      </c>
    </row>
    <row r="100">
      <c r="A100" s="3" t="s">
        <v>259</v>
      </c>
      <c r="B100" s="3" t="s">
        <v>260</v>
      </c>
      <c r="C100" s="1" t="s">
        <v>254</v>
      </c>
      <c r="D100" s="6"/>
      <c r="I100" s="1" t="b">
        <v>1</v>
      </c>
    </row>
    <row r="101">
      <c r="A101" s="3" t="s">
        <v>261</v>
      </c>
      <c r="B101" s="3" t="s">
        <v>262</v>
      </c>
      <c r="C101" s="1" t="s">
        <v>254</v>
      </c>
      <c r="D101" s="6"/>
      <c r="I101" s="1" t="b">
        <v>1</v>
      </c>
    </row>
    <row r="102">
      <c r="A102" s="3" t="s">
        <v>263</v>
      </c>
      <c r="B102" s="3" t="s">
        <v>264</v>
      </c>
      <c r="C102" s="1" t="s">
        <v>254</v>
      </c>
      <c r="D102" s="6"/>
      <c r="I102" s="1" t="b">
        <v>1</v>
      </c>
    </row>
    <row r="103">
      <c r="A103" s="3" t="s">
        <v>265</v>
      </c>
      <c r="B103" s="3" t="s">
        <v>266</v>
      </c>
      <c r="C103" s="1" t="s">
        <v>254</v>
      </c>
      <c r="D103" s="6"/>
      <c r="I103" s="1" t="b">
        <v>1</v>
      </c>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C2" s="1" t="str">
        <f t="array" ref="C2">IF(NOT(ISBLANK($A2)), (_xlfn.XLOOKUP($A2,Index!$B$2:$B$103,Index!$C$2:$C$103,"Not Found")),"")</f>
        <v/>
      </c>
      <c r="D2" s="1" t="str">
        <f t="array" ref="D2">IF(NOT(ISBLANK(A2)), (_xlfn.XLOOKUP($A2,Index!$B$2:B$103,Index!$A$2:$A$103,"Not Found")),"")</f>
        <v/>
      </c>
      <c r="E2" s="2" t="str">
        <f t="array" ref="E2">IF(NOT(ISBLANK($A2)), (_xlfn.XLOOKUP($A2,Index!$B$2:$B$103,Index!$D$2:$D$103,"Not Found")),"")</f>
        <v/>
      </c>
      <c r="F2" s="1" t="str">
        <f t="array" ref="F2">IF(NOT(ISBLANK($A2)), (_xlfn.XLOOKUP($A2,Index!$B$2:$B$103,Index!$E$2:$E$103,"Not Found")),"")</f>
        <v/>
      </c>
      <c r="G2" s="1" t="str">
        <f t="array" ref="G2">IF(NOT(ISBLANK(A2)), ((_xlfn.XLOOKUP(A2,Index!$B$2:$B$103,Index!$F$2:$F$103,"Not Found"))*B2),"")</f>
        <v/>
      </c>
      <c r="I2" s="4">
        <f>SUM(B2:B38)</f>
        <v>0</v>
      </c>
      <c r="L2" s="4" t="str">
        <f t="shared" ref="L2:L6" si="1">IF(NOT(ISBLANK(K2)), SUM(M2:P2), "")</f>
        <v/>
      </c>
      <c r="M2" s="1" t="str">
        <f t="shared" ref="M2:M5" si="2">IF(NOT(ISBLANK($K2)), SUMIFS($B$2:$B$32, $E$2:$E$32, "B", $C$2:$C$32,$K2), "")</f>
        <v/>
      </c>
      <c r="N2" s="1" t="str">
        <f t="shared" ref="N2:N5" si="3">IF(NOT(ISBLANK($K2)),SUMIFS($B$2:$B$32,$E$2:$E$32, "1", $C$2:$C$32,$K2,$F$2:$F$32,"N"), "")</f>
        <v/>
      </c>
      <c r="O2" s="1" t="str">
        <f t="shared" ref="O2:O5" si="4">IF(NOT(ISBLANK($K2)),SUMIFS($B$2:$B$32,$E$2:$E$32, "1", $C$2:$C$32,$K2,$F$2:$F$32,"Y"), "")</f>
        <v/>
      </c>
      <c r="P2" s="1" t="str">
        <f t="shared" ref="P2:P5" si="5">IF(NOT(ISBLANK($K2)),SUMIFS($B$2:$B$32,$E$2:$E$32, "2", $C$2:$C$32,$K2), "")</f>
        <v/>
      </c>
      <c r="Q2" s="1" t="str">
        <f t="shared" ref="Q2:Q5" si="6">IF(NOT(ISBLANK($K2)),SUMIFS($B$2:$B$32,$E$2:$E$32, "B", $C$2:$C$32,$K2,$F$2:$F$32,"N"), "")</f>
        <v/>
      </c>
    </row>
    <row r="3">
      <c r="C3" s="1" t="str">
        <f t="array" ref="C3">IF(NOT(ISBLANK($A3)), (_xlfn.XLOOKUP($A3,Index!$B$2:$B$103,Index!$C$2:$C$103,"Not Found")),"")</f>
        <v/>
      </c>
      <c r="D3" s="1" t="str">
        <f t="array" ref="D3">IF(NOT(ISBLANK(A3)), (_xlfn.XLOOKUP($A3,Index!$B$2:B$103,Index!$A$2:$A$103,"Not Found")),"")</f>
        <v/>
      </c>
      <c r="E3" s="2" t="str">
        <f t="array" ref="E3">IF(NOT(ISBLANK($A3)), (_xlfn.XLOOKUP($A3,Index!$B$2:$B$103,Index!$D$2:$D$103,"Not Found")),"")</f>
        <v/>
      </c>
      <c r="F3" s="1" t="str">
        <f t="array" ref="F3">IF(NOT(ISBLANK($A3)), (_xlfn.XLOOKUP($A3,Index!$B$2:$B$103,Index!$E$2:$E$103,"Not Found")),"")</f>
        <v/>
      </c>
      <c r="G3" s="1" t="str">
        <f t="array" ref="G3">IF(NOT(ISBLANK(A3)), ((_xlfn.XLOOKUP(A3,Index!$B$2:$B$103,Index!$F$2:$F$103,"Not Found"))*B3),"")</f>
        <v/>
      </c>
      <c r="L3" s="4" t="str">
        <f t="shared" si="1"/>
        <v/>
      </c>
      <c r="M3" s="1" t="str">
        <f t="shared" si="2"/>
        <v/>
      </c>
      <c r="N3" s="1" t="str">
        <f t="shared" si="3"/>
        <v/>
      </c>
      <c r="O3" s="1" t="str">
        <f t="shared" si="4"/>
        <v/>
      </c>
      <c r="P3" s="1" t="str">
        <f t="shared" si="5"/>
        <v/>
      </c>
      <c r="Q3" s="1" t="str">
        <f t="shared" si="6"/>
        <v/>
      </c>
    </row>
    <row r="4">
      <c r="C4" s="1" t="str">
        <f t="array" ref="C4">IF(NOT(ISBLANK($A4)), (_xlfn.XLOOKUP($A4,Index!$B$2:$B$103,Index!$C$2:$C$103,"Not Found")),"")</f>
        <v/>
      </c>
      <c r="D4" s="1" t="str">
        <f t="array" ref="D4">IF(NOT(ISBLANK(A4)), (_xlfn.XLOOKUP($A4,Index!$B$2:B$103,Index!$A$2:$A$103,"Not Found")),"")</f>
        <v/>
      </c>
      <c r="E4" s="2" t="str">
        <f t="array" ref="E4">IF(NOT(ISBLANK($A4)), (_xlfn.XLOOKUP($A4,Index!$B$2:$B$103,Index!$D$2:$D$103,"Not Found")),"")</f>
        <v/>
      </c>
      <c r="F4" s="1" t="str">
        <f t="array" ref="F4">IF(NOT(ISBLANK($A4)), (_xlfn.XLOOKUP($A4,Index!$B$2:$B$103,Index!$E$2:$E$103,"Not Found")),"")</f>
        <v/>
      </c>
      <c r="G4" s="1" t="str">
        <f t="array" ref="G4">IF(NOT(ISBLANK(A4)), ((_xlfn.XLOOKUP(A4,Index!$B$2:$B$103,Index!$F$2:$F$103,"Not Found"))*B4),"")</f>
        <v/>
      </c>
      <c r="L4" s="4" t="str">
        <f t="shared" si="1"/>
        <v/>
      </c>
      <c r="M4" s="1" t="str">
        <f t="shared" si="2"/>
        <v/>
      </c>
      <c r="N4" s="1" t="str">
        <f t="shared" si="3"/>
        <v/>
      </c>
      <c r="O4" s="1" t="str">
        <f t="shared" si="4"/>
        <v/>
      </c>
      <c r="P4" s="1" t="str">
        <f t="shared" si="5"/>
        <v/>
      </c>
      <c r="Q4" s="1" t="str">
        <f t="shared" si="6"/>
        <v/>
      </c>
    </row>
    <row r="5">
      <c r="C5" s="1" t="str">
        <f t="array" ref="C5">IF(NOT(ISBLANK($A5)), (_xlfn.XLOOKUP($A5,Index!$B$2:$B$103,Index!$C$2:$C$103,"Not Found")),"")</f>
        <v/>
      </c>
      <c r="D5" s="1" t="str">
        <f t="array" ref="D5">IF(NOT(ISBLANK(A5)), (_xlfn.XLOOKUP($A5,Index!$B$2:B$103,Index!$A$2:$A$103,"Not Found")),"")</f>
        <v/>
      </c>
      <c r="E5" s="2" t="str">
        <f t="array" ref="E5">IF(NOT(ISBLANK($A5)), (_xlfn.XLOOKUP($A5,Index!$B$2:$B$103,Index!$D$2:$D$103,"Not Found")),"")</f>
        <v/>
      </c>
      <c r="F5" s="1" t="str">
        <f t="array" ref="F5">IF(NOT(ISBLANK($A5)), (_xlfn.XLOOKUP($A5,Index!$B$2:$B$103,Index!$E$2:$E$103,"Not Found")),"")</f>
        <v/>
      </c>
      <c r="G5" s="1" t="str">
        <f t="array" ref="G5">IF(NOT(ISBLANK(A5)), ((_xlfn.XLOOKUP(A5,Index!$B$2:$B$103,Index!$F$2:$F$103,"Not Found"))*B5),"")</f>
        <v/>
      </c>
      <c r="L5" s="4" t="str">
        <f t="shared" si="1"/>
        <v/>
      </c>
      <c r="M5" s="1" t="str">
        <f t="shared" si="2"/>
        <v/>
      </c>
      <c r="N5" s="1" t="str">
        <f t="shared" si="3"/>
        <v/>
      </c>
      <c r="O5" s="1" t="str">
        <f t="shared" si="4"/>
        <v/>
      </c>
      <c r="P5" s="1" t="str">
        <f t="shared" si="5"/>
        <v/>
      </c>
      <c r="Q5" s="1" t="str">
        <f t="shared" si="6"/>
        <v/>
      </c>
    </row>
    <row r="6">
      <c r="C6" s="1" t="str">
        <f t="array" ref="C6">IF(NOT(ISBLANK($A6)), (_xlfn.XLOOKUP($A6,Index!$B$2:$B$103,Index!$C$2:$C$103,"Not Found")),"")</f>
        <v/>
      </c>
      <c r="D6" s="1" t="str">
        <f t="array" ref="D6">IF(NOT(ISBLANK(A6)), (_xlfn.XLOOKUP($A6,Index!$B$2:B$103,Index!$A$2:$A$103,"Not Found")),"")</f>
        <v/>
      </c>
      <c r="E6" s="2" t="str">
        <f t="array" ref="E6">IF(NOT(ISBLANK($A6)), (_xlfn.XLOOKUP($A6,Index!$B$2:$B$103,Index!$D$2:$D$103,"Not Found")),"")</f>
        <v/>
      </c>
      <c r="F6" s="1" t="str">
        <f t="array" ref="F6">IF(NOT(ISBLANK($A6)), (_xlfn.XLOOKUP($A6,Index!$B$2:$B$103,Index!$E$2:$E$103,"Not Found")),"")</f>
        <v/>
      </c>
      <c r="G6" s="1" t="str">
        <f t="array" ref="G6">IF(NOT(ISBLANK(A6)), ((_xlfn.XLOOKUP(A6,Index!$B$2:$B$103,Index!$F$2:$F$103,"Not Found"))*B6),"")</f>
        <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C7" s="1" t="str">
        <f t="array" ref="C7">IF(NOT(ISBLANK($A7)), (_xlfn.XLOOKUP($A7,Index!$B$2:$B$103,Index!$C$2:$C$103,"Not Found")),"")</f>
        <v/>
      </c>
      <c r="D7" s="1" t="str">
        <f t="array" ref="D7">IF(NOT(ISBLANK(A7)), (_xlfn.XLOOKUP($A7,Index!$B$2:B$103,Index!$A$2:$A$103,"Not Found")),"")</f>
        <v/>
      </c>
      <c r="E7" s="2" t="str">
        <f t="array" ref="E7">IF(NOT(ISBLANK($A7)), (_xlfn.XLOOKUP($A7,Index!$B$2:$B$103,Index!$D$2:$D$103,"Not Found")),"")</f>
        <v/>
      </c>
      <c r="F7" s="1" t="str">
        <f t="array" ref="F7">IF(NOT(ISBLANK($A7)), (_xlfn.XLOOKUP($A7,Index!$B$2:$B$103,Index!$E$2:$E$103,"Not Found")),"")</f>
        <v/>
      </c>
      <c r="G7" s="1" t="str">
        <f t="array" ref="G7">IF(NOT(ISBLANK(A7)), ((_xlfn.XLOOKUP(A7,Index!$B$2:$B$103,Index!$F$2:$F$103,"Not Found"))*B7),"")</f>
        <v/>
      </c>
      <c r="K7" s="1" t="s">
        <v>267</v>
      </c>
      <c r="L7" s="4">
        <f t="shared" ref="L7:Q7" si="7">SUM(L2:L6)</f>
        <v>0</v>
      </c>
      <c r="M7" s="4">
        <f t="shared" si="7"/>
        <v>0</v>
      </c>
      <c r="N7" s="4">
        <f t="shared" si="7"/>
        <v>0</v>
      </c>
      <c r="O7" s="4">
        <f t="shared" si="7"/>
        <v>0</v>
      </c>
      <c r="P7" s="4">
        <f t="shared" si="7"/>
        <v>0</v>
      </c>
      <c r="Q7" s="4">
        <f t="shared" si="7"/>
        <v>0</v>
      </c>
    </row>
    <row r="8">
      <c r="C8" s="1" t="str">
        <f t="array" ref="C8">IF(NOT(ISBLANK($A8)), (_xlfn.XLOOKUP($A8,Index!$B$2:$B$103,Index!$C$2:$C$103,"Not Found")),"")</f>
        <v/>
      </c>
      <c r="D8" s="1" t="str">
        <f t="array" ref="D8">IF(NOT(ISBLANK(A8)), (_xlfn.XLOOKUP($A8,Index!$B$2:B$103,Index!$A$2:$A$103,"Not Found")),"")</f>
        <v/>
      </c>
      <c r="E8" s="2" t="str">
        <f t="array" ref="E8">IF(NOT(ISBLANK($A8)), (_xlfn.XLOOKUP($A8,Index!$B$2:$B$103,Index!$D$2:$D$103,"Not Found")),"")</f>
        <v/>
      </c>
      <c r="F8" s="1" t="str">
        <f t="array" ref="F8">IF(NOT(ISBLANK($A8)), (_xlfn.XLOOKUP($A8,Index!$B$2:$B$103,Index!$E$2:$E$103,"Not Found")),"")</f>
        <v/>
      </c>
      <c r="G8" s="1" t="str">
        <f t="array" ref="G8">IF(NOT(ISBLANK(A8)), ((_xlfn.XLOOKUP(A8,Index!$B$2:$B$103,Index!$F$2:$F$103,"Not Found"))*B8),"")</f>
        <v/>
      </c>
    </row>
    <row r="9">
      <c r="C9" s="1" t="str">
        <f t="array" ref="C9">IF(NOT(ISBLANK($A9)), (_xlfn.XLOOKUP($A9,Index!$B$2:$B$103,Index!$C$2:$C$103,"Not Found")),"")</f>
        <v/>
      </c>
      <c r="D9" s="1" t="str">
        <f t="array" ref="D9">IF(NOT(ISBLANK(A9)), (_xlfn.XLOOKUP($A9,Index!$B$2:B$103,Index!$A$2:$A$103,"Not Found")),"")</f>
        <v/>
      </c>
      <c r="E9" s="2" t="str">
        <f t="array" ref="E9">IF(NOT(ISBLANK($A9)), (_xlfn.XLOOKUP($A9,Index!$B$2:$B$103,Index!$D$2:$D$103,"Not Found")),"")</f>
        <v/>
      </c>
      <c r="F9" s="1" t="str">
        <f t="array" ref="F9">IF(NOT(ISBLANK($A9)), (_xlfn.XLOOKUP($A9,Index!$B$2:$B$103,Index!$E$2:$E$103,"Not Found")),"")</f>
        <v/>
      </c>
      <c r="G9" s="1" t="str">
        <f t="array" ref="G9">IF(NOT(ISBLANK(A9)), ((_xlfn.XLOOKUP(A9,Index!$B$2:$B$103,Index!$F$2:$F$103,"Not Found"))*B9),"")</f>
        <v/>
      </c>
      <c r="M9" s="1" t="s">
        <v>268</v>
      </c>
      <c r="N9" s="1" t="s">
        <v>269</v>
      </c>
      <c r="O9" s="1" t="s">
        <v>270</v>
      </c>
    </row>
    <row r="10">
      <c r="C10" s="1" t="str">
        <f t="array" ref="C10">IF(NOT(ISBLANK($A10)), (_xlfn.XLOOKUP($A10,Index!$B$2:$B$103,Index!$C$2:$C$103,"Not Found")),"")</f>
        <v/>
      </c>
      <c r="D10" s="1" t="str">
        <f t="array" ref="D10">IF(NOT(ISBLANK(A10)), (_xlfn.XLOOKUP($A10,Index!$B$2:B$103,Index!$A$2:$A$103,"Not Found")),"")</f>
        <v/>
      </c>
      <c r="E10" s="2" t="str">
        <f t="array" ref="E10">IF(NOT(ISBLANK($A10)), (_xlfn.XLOOKUP($A10,Index!$B$2:$B$103,Index!$D$2:$D$103,"Not Found")),"")</f>
        <v/>
      </c>
      <c r="F10" s="1" t="str">
        <f t="array" ref="F10">IF(NOT(ISBLANK($A10)), (_xlfn.XLOOKUP($A10,Index!$B$2:$B$103,Index!$E$2:$E$103,"Not Found")),"")</f>
        <v/>
      </c>
      <c r="G10" s="1" t="str">
        <f t="array" ref="G10">IF(NOT(ISBLANK(A10)), ((_xlfn.XLOOKUP(A10,Index!$B$2:$B$103,Index!$F$2:$F$103,"Not Found"))*B10),"")</f>
        <v/>
      </c>
      <c r="K10" s="1" t="s">
        <v>271</v>
      </c>
      <c r="L10" s="4">
        <f>SUM(M10:P10)</f>
        <v>0</v>
      </c>
      <c r="M10" s="4">
        <f>IF(NOT(ISBLANK($K10)), SUMIFS($B$2:$B$32,$E$2:$E$32, "C", $C$2:$C$32,"T"), "")</f>
        <v>0</v>
      </c>
      <c r="N10" s="4">
        <f>IF(NOT(ISBLANK($K10)), SUMIFS($B$2:$B$32,$E$2:$E$32, "U", $C$2:$C$32,"T"), "")</f>
        <v>0</v>
      </c>
      <c r="O10" s="4" t="str">
        <f>IF(NOT(ISBLANK($K$2)), SUMIFS($B$2:$B$32,$E$2:$E$32, "R", $C$2:$C$32,"T"), "")</f>
        <v/>
      </c>
    </row>
    <row r="11">
      <c r="C11" s="1" t="str">
        <f t="array" ref="C11">IF(NOT(ISBLANK($A11)), (_xlfn.XLOOKUP($A11,Index!$B$2:$B$103,Index!$C$2:$C$103,"Not Found")),"")</f>
        <v/>
      </c>
      <c r="D11" s="1" t="str">
        <f t="array" ref="D11">IF(NOT(ISBLANK(A11)), (_xlfn.XLOOKUP($A11,Index!$B$2:B$103,Index!$A$2:$A$103,"Not Found")),"")</f>
        <v/>
      </c>
      <c r="E11" s="2" t="str">
        <f t="array" ref="E11">IF(NOT(ISBLANK($A11)), (_xlfn.XLOOKUP($A11,Index!$B$2:$B$103,Index!$D$2:$D$103,"Not Found")),"")</f>
        <v/>
      </c>
      <c r="F11" s="1" t="str">
        <f t="array" ref="F11">IF(NOT(ISBLANK($A11)), (_xlfn.XLOOKUP($A11,Index!$B$2:$B$103,Index!$E$2:$E$103,"Not Found")),"")</f>
        <v/>
      </c>
      <c r="G11" s="1" t="str">
        <f t="array" ref="G11">IF(NOT(ISBLANK(A11)), ((_xlfn.XLOOKUP(A11,Index!$B$2:$B$103,Index!$F$2:$F$103,"Not Found"))*B11),"")</f>
        <v/>
      </c>
      <c r="K11" s="1" t="s">
        <v>254</v>
      </c>
      <c r="L11" s="1" t="str">
        <f>IF(NOT(ISBLANK($K$2)), SUMIFS($B$2:$B$32, $C$2:$C$32,"Energy"), "")</f>
        <v/>
      </c>
    </row>
    <row r="12">
      <c r="C12" s="1" t="str">
        <f t="array" ref="C12">IF(NOT(ISBLANK($A12)), (_xlfn.XLOOKUP($A12,Index!$B$2:$B$103,Index!$C$2:$C$103,"Not Found")),"")</f>
        <v/>
      </c>
      <c r="D12" s="1" t="str">
        <f t="array" ref="D12">IF(NOT(ISBLANK(A12)), (_xlfn.XLOOKUP($A12,Index!$B$2:B$103,Index!$A$2:$A$103,"Not Found")),"")</f>
        <v/>
      </c>
      <c r="E12" s="2" t="str">
        <f t="array" ref="E12">IF(NOT(ISBLANK($A12)), (_xlfn.XLOOKUP($A12,Index!$B$2:$B$103,Index!$D$2:$D$103,"Not Found")),"")</f>
        <v/>
      </c>
      <c r="F12" s="1" t="str">
        <f t="array" ref="F12">IF(NOT(ISBLANK($A12)), (_xlfn.XLOOKUP($A12,Index!$B$2:$B$103,Index!$E$2:$E$103,"Not Found")),"")</f>
        <v/>
      </c>
      <c r="G12" s="1" t="str">
        <f t="array" ref="G12">IF(NOT(ISBLANK(A12)), ((_xlfn.XLOOKUP(A12,Index!$B$2:$B$103,Index!$F$2:$F$103,"Not Found"))*B12),"")</f>
        <v/>
      </c>
      <c r="K12" s="1" t="s">
        <v>272</v>
      </c>
      <c r="L12" s="4">
        <f>L7</f>
        <v>0</v>
      </c>
    </row>
    <row r="13">
      <c r="C13" s="1" t="str">
        <f t="array" ref="C13">IF(NOT(ISBLANK($A13)), (_xlfn.XLOOKUP($A13,Index!$B$2:$B$103,Index!$C$2:$C$103,"Not Found")),"")</f>
        <v/>
      </c>
      <c r="D13" s="1" t="str">
        <f t="array" ref="D13">IF(NOT(ISBLANK(A13)), (_xlfn.XLOOKUP($A13,Index!$B$2:B$103,Index!$A$2:$A$103,"Not Found")),"")</f>
        <v/>
      </c>
      <c r="E13" s="2" t="str">
        <f t="array" ref="E13">IF(NOT(ISBLANK($A13)), (_xlfn.XLOOKUP($A13,Index!$B$2:$B$103,Index!$D$2:$D$103,"Not Found")),"")</f>
        <v/>
      </c>
      <c r="F13" s="1" t="str">
        <f t="array" ref="F13">IF(NOT(ISBLANK($A13)), (_xlfn.XLOOKUP($A13,Index!$B$2:$B$103,Index!$E$2:$E$103,"Not Found")),"")</f>
        <v/>
      </c>
      <c r="G13" s="1" t="str">
        <f t="array" ref="G13">IF(NOT(ISBLANK(A13)), ((_xlfn.XLOOKUP(A13,Index!$B$2:$B$103,Index!$F$2:$F$103,"Not Found"))*B13),"")</f>
        <v/>
      </c>
    </row>
    <row r="14">
      <c r="C14" s="1" t="str">
        <f t="array" ref="C14">IF(NOT(ISBLANK($A14)), (_xlfn.XLOOKUP($A14,Index!$B$2:$B$103,Index!$C$2:$C$103,"Not Found")),"")</f>
        <v/>
      </c>
      <c r="D14" s="1" t="str">
        <f t="array" ref="D14">IF(NOT(ISBLANK(A14)), (_xlfn.XLOOKUP($A14,Index!$B$2:B$103,Index!$A$2:$A$103,"Not Found")),"")</f>
        <v/>
      </c>
      <c r="E14" s="2" t="str">
        <f t="array" ref="E14">IF(NOT(ISBLANK($A14)), (_xlfn.XLOOKUP($A14,Index!$B$2:$B$103,Index!$D$2:$D$103,"Not Found")),"")</f>
        <v/>
      </c>
      <c r="F14" s="1" t="str">
        <f t="array" ref="F14">IF(NOT(ISBLANK($A14)), (_xlfn.XLOOKUP($A14,Index!$B$2:$B$103,Index!$E$2:$E$103,"Not Found")),"")</f>
        <v/>
      </c>
      <c r="G14" s="1" t="str">
        <f t="array" ref="G14">IF(NOT(ISBLANK(A14)), ((_xlfn.XLOOKUP(A14,Index!$B$2:$B$103,Index!$F$2:$F$103,"Not Found"))*B14),"")</f>
        <v/>
      </c>
    </row>
    <row r="15">
      <c r="C15" s="1" t="str">
        <f t="array" ref="C15">IF(NOT(ISBLANK($A15)), (_xlfn.XLOOKUP($A15,Index!$B$2:$B$103,Index!$C$2:$C$103,"Not Found")),"")</f>
        <v/>
      </c>
      <c r="D15" s="1" t="str">
        <f t="array" ref="D15">IF(NOT(ISBLANK(A15)), (_xlfn.XLOOKUP($A15,Index!$B$2:B$103,Index!$A$2:$A$103,"Not Found")),"")</f>
        <v/>
      </c>
      <c r="E15" s="2" t="str">
        <f t="array" ref="E15">IF(NOT(ISBLANK($A15)), (_xlfn.XLOOKUP($A15,Index!$B$2:$B$103,Index!$D$2:$D$103,"Not Found")),"")</f>
        <v/>
      </c>
      <c r="F15" s="1" t="str">
        <f t="array" ref="F15">IF(NOT(ISBLANK($A15)), (_xlfn.XLOOKUP($A15,Index!$B$2:$B$103,Index!$E$2:$E$103,"Not Found")),"")</f>
        <v/>
      </c>
      <c r="G15" s="1" t="str">
        <f t="array" ref="G15">IF(NOT(ISBLANK(A15)), ((_xlfn.XLOOKUP(A15,Index!$B$2:$B$103,Index!$F$2:$F$103,"Not Found"))*B15),"")</f>
        <v/>
      </c>
      <c r="K15" s="1" t="s">
        <v>273</v>
      </c>
    </row>
    <row r="16">
      <c r="C16" s="1" t="str">
        <f t="array" ref="C16">IF(NOT(ISBLANK($A16)), (_xlfn.XLOOKUP($A16,Index!$B$2:$B$103,Index!$C$2:$C$103,"Not Found")),"")</f>
        <v/>
      </c>
      <c r="D16" s="1" t="str">
        <f t="array" ref="D16">IF(NOT(ISBLANK(A16)), (_xlfn.XLOOKUP($A16,Index!$B$2:B$103,Index!$A$2:$A$103,"Not Found")),"")</f>
        <v/>
      </c>
      <c r="E16" s="2" t="str">
        <f t="array" ref="E16">IF(NOT(ISBLANK($A16)), (_xlfn.XLOOKUP($A16,Index!$B$2:$B$103,Index!$D$2:$D$103,"Not Found")),"")</f>
        <v/>
      </c>
      <c r="F16" s="1" t="str">
        <f t="array" ref="F16">IF(NOT(ISBLANK($A16)), (_xlfn.XLOOKUP($A16,Index!$B$2:$B$103,Index!$E$2:$E$103,"Not Found")),"")</f>
        <v/>
      </c>
      <c r="G16" s="1" t="str">
        <f t="array" ref="G16">IF(NOT(ISBLANK(A16)), ((_xlfn.XLOOKUP(A16,Index!$B$2:$B$103,Index!$F$2:$F$103,"Not Found"))*B16),"")</f>
        <v/>
      </c>
      <c r="K16" s="4" t="str">
        <f t="shared" ref="K16:K20" si="8">K2</f>
        <v/>
      </c>
      <c r="L16" s="1" t="str">
        <f t="shared" ref="L16:L19" si="9">IF(NOT(ISBLANK($K2)), SUMIFS($G$2:$G$32, $C$2:$C$32,$K2), "")</f>
        <v/>
      </c>
    </row>
    <row r="17">
      <c r="C17" s="1" t="str">
        <f t="array" ref="C17">IF(NOT(ISBLANK($A17)), (_xlfn.XLOOKUP($A17,Index!$B$2:$B$103,Index!$C$2:$C$103,"Not Found")),"")</f>
        <v/>
      </c>
      <c r="D17" s="1" t="str">
        <f t="array" ref="D17">IF(NOT(ISBLANK(A17)), (_xlfn.XLOOKUP($A17,Index!$B$2:B$103,Index!$A$2:$A$103,"Not Found")),"")</f>
        <v/>
      </c>
      <c r="E17" s="2" t="str">
        <f t="array" ref="E17">IF(NOT(ISBLANK($A17)), (_xlfn.XLOOKUP($A17,Index!$B$2:$B$103,Index!$D$2:$D$103,"Not Found")),"")</f>
        <v/>
      </c>
      <c r="F17" s="1" t="str">
        <f t="array" ref="F17">IF(NOT(ISBLANK($A17)), (_xlfn.XLOOKUP($A17,Index!$B$2:$B$103,Index!$E$2:$E$103,"Not Found")),"")</f>
        <v/>
      </c>
      <c r="G17" s="1" t="str">
        <f t="array" ref="G17">IF(NOT(ISBLANK(A17)), ((_xlfn.XLOOKUP(A17,Index!$B$2:$B$103,Index!$F$2:$F$103,"Not Found"))*B17),"")</f>
        <v/>
      </c>
      <c r="K17" s="4" t="str">
        <f t="shared" si="8"/>
        <v/>
      </c>
      <c r="L17" s="1" t="str">
        <f t="shared" si="9"/>
        <v/>
      </c>
    </row>
    <row r="18">
      <c r="C18" s="1" t="str">
        <f t="array" ref="C18">IF(NOT(ISBLANK($A18)), (_xlfn.XLOOKUP($A18,Index!$B$2:$B$103,Index!$C$2:$C$103,"Not Found")),"")</f>
        <v/>
      </c>
      <c r="D18" s="1" t="str">
        <f t="array" ref="D18">IF(NOT(ISBLANK(A18)), (_xlfn.XLOOKUP($A18,Index!$B$2:B$103,Index!$A$2:$A$103,"Not Found")),"")</f>
        <v/>
      </c>
      <c r="E18" s="2" t="str">
        <f t="array" ref="E18">IF(NOT(ISBLANK($A18)), (_xlfn.XLOOKUP($A18,Index!$B$2:$B$103,Index!$D$2:$D$103,"Not Found")),"")</f>
        <v/>
      </c>
      <c r="F18" s="1" t="str">
        <f t="array" ref="F18">IF(NOT(ISBLANK($A18)), (_xlfn.XLOOKUP($A18,Index!$B$2:$B$103,Index!$E$2:$E$103,"Not Found")),"")</f>
        <v/>
      </c>
      <c r="G18" s="1" t="str">
        <f t="array" ref="G18">IF(NOT(ISBLANK(A18)), ((_xlfn.XLOOKUP(A18,Index!$B$2:$B$103,Index!$F$2:$F$103,"Not Found"))*B18),"")</f>
        <v/>
      </c>
      <c r="K18" s="4" t="str">
        <f t="shared" si="8"/>
        <v/>
      </c>
      <c r="L18" s="1" t="str">
        <f t="shared" si="9"/>
        <v/>
      </c>
    </row>
    <row r="19">
      <c r="C19" s="1" t="str">
        <f t="array" ref="C19">IF(NOT(ISBLANK($A19)), (_xlfn.XLOOKUP($A19,Index!$B$2:$B$103,Index!$C$2:$C$103,"Not Found")),"")</f>
        <v/>
      </c>
      <c r="D19" s="1" t="str">
        <f t="array" ref="D19">IF(NOT(ISBLANK(A19)), (_xlfn.XLOOKUP($A19,Index!$B$2:B$103,Index!$A$2:$A$103,"Not Found")),"")</f>
        <v/>
      </c>
      <c r="E19" s="2" t="str">
        <f t="array" ref="E19">IF(NOT(ISBLANK($A19)), (_xlfn.XLOOKUP($A19,Index!$B$2:$B$103,Index!$D$2:$D$103,"Not Found")),"")</f>
        <v/>
      </c>
      <c r="F19" s="1" t="str">
        <f t="array" ref="F19">IF(NOT(ISBLANK($A19)), (_xlfn.XLOOKUP($A19,Index!$B$2:$B$103,Index!$E$2:$E$103,"Not Found")),"")</f>
        <v/>
      </c>
      <c r="G19" s="1" t="str">
        <f t="array" ref="G19">IF(NOT(ISBLANK(A19)), ((_xlfn.XLOOKUP(A19,Index!$B$2:$B$103,Index!$F$2:$F$103,"Not Found"))*B19),"")</f>
        <v/>
      </c>
      <c r="K19" s="4" t="str">
        <f t="shared" si="8"/>
        <v/>
      </c>
      <c r="L19" s="1" t="str">
        <f t="shared" si="9"/>
        <v/>
      </c>
    </row>
    <row r="20">
      <c r="C20" s="1" t="str">
        <f t="array" ref="C20">IF(NOT(ISBLANK($A20)), (_xlfn.XLOOKUP($A20,Index!$B$2:$B$103,Index!$C$2:$C$103,"Not Found")),"")</f>
        <v/>
      </c>
      <c r="D20" s="1" t="str">
        <f t="array" ref="D20">IF(NOT(ISBLANK(A20)), (_xlfn.XLOOKUP($A20,Index!$B$2:B$103,Index!$A$2:$A$103,"Not Found")),"")</f>
        <v/>
      </c>
      <c r="E20" s="2" t="str">
        <f t="array" ref="E20">IF(NOT(ISBLANK($A20)), (_xlfn.XLOOKUP($A20,Index!$B$2:$B$103,Index!$D$2:$D$103,"Not Found")),"")</f>
        <v/>
      </c>
      <c r="F20" s="1" t="str">
        <f t="array" ref="F20">IF(NOT(ISBLANK($A20)), (_xlfn.XLOOKUP($A20,Index!$B$2:$B$103,Index!$E$2:$E$103,"Not Found")),"")</f>
        <v/>
      </c>
      <c r="G20" s="1" t="str">
        <f t="array" ref="G20">IF(NOT(ISBLANK(A20)), ((_xlfn.XLOOKUP(A20,Index!$B$2:$B$103,Index!$F$2:$F$103,"Not Found"))*B20),"")</f>
        <v/>
      </c>
      <c r="K20" s="4" t="str">
        <f t="shared" si="8"/>
        <v/>
      </c>
    </row>
    <row r="21">
      <c r="C21" s="1" t="str">
        <f t="array" ref="C21">IF(NOT(ISBLANK($A21)), (_xlfn.XLOOKUP($A21,Index!$B$2:$B$103,Index!$C$2:$C$103,"Not Found")),"")</f>
        <v/>
      </c>
      <c r="D21" s="1" t="str">
        <f t="array" ref="D21">IF(NOT(ISBLANK(A21)), (_xlfn.XLOOKUP($A21,Index!$B$2:B$103,Index!$A$2:$A$103,"Not Found")),"")</f>
        <v/>
      </c>
      <c r="E21" s="2" t="str">
        <f t="array" ref="E21">IF(NOT(ISBLANK($A21)), (_xlfn.XLOOKUP($A21,Index!$B$2:$B$103,Index!$D$2:$D$103,"Not Found")),"")</f>
        <v/>
      </c>
      <c r="F21" s="1" t="str">
        <f t="array" ref="F21">IF(NOT(ISBLANK($A21)), (_xlfn.XLOOKUP($A21,Index!$B$2:$B$103,Index!$E$2:$E$103,"Not Found")),"")</f>
        <v/>
      </c>
      <c r="G21" s="1" t="str">
        <f t="array" ref="G21">IF(NOT(ISBLANK(A21)), ((_xlfn.XLOOKUP(A21,Index!$B$2:$B$103,Index!$F$2:$F$103,"Not Found"))*B21),"")</f>
        <v/>
      </c>
      <c r="K21" s="1" t="s">
        <v>274</v>
      </c>
      <c r="L21" s="4">
        <f>SUM(G2:G46)</f>
        <v>0</v>
      </c>
    </row>
    <row r="22">
      <c r="C22" s="1" t="str">
        <f t="array" ref="C22">IF(NOT(ISBLANK($A22)), (_xlfn.XLOOKUP($A22,Index!$B$2:$B$103,Index!$C$2:$C$103,"Not Found")),"")</f>
        <v/>
      </c>
      <c r="D22" s="1" t="str">
        <f t="array" ref="D22">IF(NOT(ISBLANK(A22)), (_xlfn.XLOOKUP($A22,Index!$B$2:B$103,Index!$A$2:$A$103,"Not Found")),"")</f>
        <v/>
      </c>
      <c r="E22" s="2" t="str">
        <f t="array" ref="E22">IF(NOT(ISBLANK($A22)), (_xlfn.XLOOKUP($A22,Index!$B$2:$B$103,Index!$D$2:$D$103,"Not Found")),"")</f>
        <v/>
      </c>
      <c r="F22" s="1" t="str">
        <f t="array" ref="F22">IF(NOT(ISBLANK($A22)), (_xlfn.XLOOKUP($A22,Index!$B$2:$B$103,Index!$E$2:$E$103,"Not Found")),"")</f>
        <v/>
      </c>
      <c r="G22" s="1" t="str">
        <f t="array" ref="G22">IF(NOT(ISBLANK(A22)), ((_xlfn.XLOOKUP(A22,Index!$B$2:$B$103,Index!$F$2:$F$103,"Not Found"))*B22),"")</f>
        <v/>
      </c>
    </row>
    <row r="23">
      <c r="C23" s="1" t="str">
        <f t="array" ref="C23">IF(NOT(ISBLANK($A23)), (_xlfn.XLOOKUP($A23,Index!$B$2:$B$103,Index!$C$2:$C$103,"Not Found")),"")</f>
        <v/>
      </c>
      <c r="D23" s="1" t="str">
        <f t="array" ref="D23">IF(NOT(ISBLANK(A23)), (_xlfn.XLOOKUP($A23,Index!$B$2:B$103,Index!$A$2:$A$103,"Not Found")),"")</f>
        <v/>
      </c>
      <c r="E23" s="2" t="str">
        <f t="array" ref="E23">IF(NOT(ISBLANK($A23)), (_xlfn.XLOOKUP($A23,Index!$B$2:$B$103,Index!$D$2:$D$103,"Not Found")),"")</f>
        <v/>
      </c>
      <c r="F23" s="1" t="str">
        <f t="array" ref="F23">IF(NOT(ISBLANK($A23)), (_xlfn.XLOOKUP($A23,Index!$B$2:$B$103,Index!$E$2:$E$103,"Not Found")),"")</f>
        <v/>
      </c>
      <c r="G23" s="1" t="str">
        <f t="array" ref="G23">IF(NOT(ISBLANK(A23)), ((_xlfn.XLOOKUP(A23,Index!$B$2:$B$103,Index!$F$2:$F$103,"Not Found"))*B23),"")</f>
        <v/>
      </c>
    </row>
    <row r="24">
      <c r="C24" s="1" t="str">
        <f t="array" ref="C24">IF(NOT(ISBLANK($A24)), (_xlfn.XLOOKUP($A24,Index!$B$2:$B$103,Index!$C$2:$C$103,"Not Found")),"")</f>
        <v/>
      </c>
      <c r="D24" s="1" t="str">
        <f t="array" ref="D24">IF(NOT(ISBLANK(A24)), (_xlfn.XLOOKUP($A24,Index!$B$2:B$103,Index!$A$2:$A$103,"Not Found")),"")</f>
        <v/>
      </c>
      <c r="E24" s="2" t="str">
        <f t="array" ref="E24">IF(NOT(ISBLANK($A24)), (_xlfn.XLOOKUP($A24,Index!$B$2:$B$103,Index!$D$2:$D$103,"Not Found")),"")</f>
        <v/>
      </c>
      <c r="F24" s="1" t="str">
        <f t="array" ref="F24">IF(NOT(ISBLANK($A24)), (_xlfn.XLOOKUP($A24,Index!$B$2:$B$103,Index!$E$2:$E$103,"Not Found")),"")</f>
        <v/>
      </c>
      <c r="G24" s="1" t="str">
        <f t="array" ref="G24">IF(NOT(ISBLANK(A24)), ((_xlfn.XLOOKUP(A24,Index!$B$2:$B$103,Index!$F$2:$F$103,"Not Found"))*B24),"")</f>
        <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23</v>
      </c>
      <c r="B2" s="1">
        <v>1.0</v>
      </c>
      <c r="C2" s="1" t="str">
        <f t="array" ref="C2">IF(NOT(ISBLANK($A2)), (_xlfn.XLOOKUP($A2,Index!$B$2:$B$103,Index!$C$2:$C$103,"Not Found")),"")</f>
        <v>F</v>
      </c>
      <c r="D2" s="1" t="str">
        <f t="array" ref="D2">IF(NOT(ISBLANK(A2)), (_xlfn.XLOOKUP($A2,Index!$B$2:B$103,Index!$A$2:$A$103,"Not Found")),"")</f>
        <v>base1-62</v>
      </c>
      <c r="E2" s="2" t="str">
        <f t="array" ref="E2">IF(NOT(ISBLANK($A2)), (_xlfn.XLOOKUP($A2,Index!$B$2:$B$103,Index!$D$2:$D$103,"Not Found")),"")</f>
        <v>b</v>
      </c>
      <c r="F2" s="1" t="str">
        <f t="array" ref="F2">IF(NOT(ISBLANK($A2)), (_xlfn.XLOOKUP($A2,Index!$B$2:$B$103,Index!$E$2:$E$103,"Not Found")),"")</f>
        <v>y</v>
      </c>
      <c r="G2" s="1">
        <f t="array" ref="G2">IF(NOT(ISBLANK(A2)), ((_xlfn.XLOOKUP(A2,Index!$B$2:$B$103,Index!$F$2:$F$103,"Not Found"))*B2),"")</f>
        <v>0</v>
      </c>
      <c r="I2" s="4">
        <f>SUM(B2:B38)</f>
        <v>60</v>
      </c>
      <c r="K2" s="1" t="s">
        <v>50</v>
      </c>
      <c r="L2" s="4">
        <f t="shared" ref="L2:L6" si="1">IF(NOT(ISBLANK(K2)), SUM(M2:P2), "")</f>
        <v>11</v>
      </c>
      <c r="M2" s="1">
        <f t="shared" ref="M2:M5" si="2">IF(NOT(ISBLANK($K2)), SUMIFS($B$2:$B$32, $E$2:$E$32, "B", $C$2:$C$32,$K2), "")</f>
        <v>8</v>
      </c>
      <c r="N2" s="1">
        <f t="shared" ref="N2:N5" si="3">IF(NOT(ISBLANK($K2)),SUMIFS($B$2:$B$32,$E$2:$E$32, "1", $C$2:$C$32,$K2,$F$2:$F$32,"N"), "")</f>
        <v>1</v>
      </c>
      <c r="O2" s="1">
        <f t="shared" ref="O2:O5" si="4">IF(NOT(ISBLANK($K2)),SUMIFS($B$2:$B$32,$E$2:$E$32, "1", $C$2:$C$32,$K2,$F$2:$F$32,"Y"), "")</f>
        <v>2</v>
      </c>
      <c r="P2" s="1">
        <f t="shared" ref="P2:P5" si="5">IF(NOT(ISBLANK($K2)),SUMIFS($B$2:$B$32,$E$2:$E$32, "2", $C$2:$C$32,$K2), "")</f>
        <v>0</v>
      </c>
      <c r="Q2" s="1">
        <f t="shared" ref="Q2:Q5" si="6">IF(NOT(ISBLANK($K2)),SUMIFS($B$2:$B$32,$E$2:$E$32, "B", $C$2:$C$32,$K2,$F$2:$F$32,"N"), "")</f>
        <v>2</v>
      </c>
    </row>
    <row r="3">
      <c r="A3" s="1" t="s">
        <v>162</v>
      </c>
      <c r="B3" s="1">
        <v>2.0</v>
      </c>
      <c r="C3" s="1" t="str">
        <f t="array" ref="C3">IF(NOT(ISBLANK($A3)), (_xlfn.XLOOKUP($A3,Index!$B$2:$B$103,Index!$C$2:$C$103,"Not Found")),"")</f>
        <v>C</v>
      </c>
      <c r="D3" s="1" t="str">
        <f t="array" ref="D3">IF(NOT(ISBLANK(A3)), (_xlfn.XLOOKUP($A3,Index!$B$2:B$103,Index!$A$2:$A$103,"Not Found")),"")</f>
        <v>base1-61</v>
      </c>
      <c r="E3" s="2" t="str">
        <f t="array" ref="E3">IF(NOT(ISBLANK($A3)), (_xlfn.XLOOKUP($A3,Index!$B$2:$B$103,Index!$D$2:$D$103,"Not Found")),"")</f>
        <v>b</v>
      </c>
      <c r="F3" s="1" t="str">
        <f t="array" ref="F3">IF(NOT(ISBLANK($A3)), (_xlfn.XLOOKUP($A3,Index!$B$2:$B$103,Index!$E$2:$E$103,"Not Found")),"")</f>
        <v>y</v>
      </c>
      <c r="G3" s="1">
        <f t="array" ref="G3">IF(NOT(ISBLANK(A3)), ((_xlfn.XLOOKUP(A3,Index!$B$2:$B$103,Index!$F$2:$F$103,"Not Found"))*B3),"")</f>
        <v>0</v>
      </c>
      <c r="K3" s="1" t="s">
        <v>29</v>
      </c>
      <c r="L3" s="4">
        <f t="shared" si="1"/>
        <v>8</v>
      </c>
      <c r="M3" s="1">
        <f t="shared" si="2"/>
        <v>5</v>
      </c>
      <c r="N3" s="1">
        <f t="shared" si="3"/>
        <v>2</v>
      </c>
      <c r="O3" s="1">
        <f t="shared" si="4"/>
        <v>1</v>
      </c>
      <c r="P3" s="1">
        <f t="shared" si="5"/>
        <v>0</v>
      </c>
      <c r="Q3" s="1">
        <f t="shared" si="6"/>
        <v>0</v>
      </c>
    </row>
    <row r="4">
      <c r="A4" s="1" t="s">
        <v>164</v>
      </c>
      <c r="B4" s="1">
        <v>3.0</v>
      </c>
      <c r="C4" s="1" t="str">
        <f t="array" ref="C4">IF(NOT(ISBLANK($A4)), (_xlfn.XLOOKUP($A4,Index!$B$2:$B$103,Index!$C$2:$C$103,"Not Found")),"")</f>
        <v>F</v>
      </c>
      <c r="D4" s="1" t="str">
        <f t="array" ref="D4">IF(NOT(ISBLANK(A4)), (_xlfn.XLOOKUP($A4,Index!$B$2:B$103,Index!$A$2:$A$103,"Not Found")),"")</f>
        <v>base1-52</v>
      </c>
      <c r="E4" s="2" t="str">
        <f t="array" ref="E4">IF(NOT(ISBLANK($A4)), (_xlfn.XLOOKUP($A4,Index!$B$2:$B$103,Index!$D$2:$D$103,"Not Found")),"")</f>
        <v>b</v>
      </c>
      <c r="F4" s="1" t="str">
        <f t="array" ref="F4">IF(NOT(ISBLANK($A4)), (_xlfn.XLOOKUP($A4,Index!$B$2:$B$103,Index!$E$2:$E$103,"Not Found")),"")</f>
        <v>y</v>
      </c>
      <c r="G4" s="1">
        <f t="array" ref="G4">IF(NOT(ISBLANK(A4)), ((_xlfn.XLOOKUP(A4,Index!$B$2:$B$103,Index!$F$2:$F$103,"Not Found"))*B4),"")</f>
        <v>0</v>
      </c>
      <c r="K4" s="1" t="s">
        <v>33</v>
      </c>
      <c r="L4" s="4">
        <f t="shared" si="1"/>
        <v>3</v>
      </c>
      <c r="M4" s="1">
        <f t="shared" si="2"/>
        <v>2</v>
      </c>
      <c r="N4" s="1">
        <f t="shared" si="3"/>
        <v>1</v>
      </c>
      <c r="O4" s="1">
        <f t="shared" si="4"/>
        <v>0</v>
      </c>
      <c r="P4" s="1">
        <f t="shared" si="5"/>
        <v>0</v>
      </c>
      <c r="Q4" s="1">
        <f t="shared" si="6"/>
        <v>0</v>
      </c>
    </row>
    <row r="5">
      <c r="A5" s="1" t="s">
        <v>127</v>
      </c>
      <c r="B5" s="1">
        <v>2.0</v>
      </c>
      <c r="C5" s="1" t="str">
        <f t="array" ref="C5">IF(NOT(ISBLANK($A5)), (_xlfn.XLOOKUP($A5,Index!$B$2:$B$103,Index!$C$2:$C$103,"Not Found")),"")</f>
        <v>F</v>
      </c>
      <c r="D5" s="1" t="str">
        <f t="array" ref="D5">IF(NOT(ISBLANK(A5)), (_xlfn.XLOOKUP($A5,Index!$B$2:B$103,Index!$A$2:$A$103,"Not Found")),"")</f>
        <v>base1-34</v>
      </c>
      <c r="E5" s="2">
        <f t="array" ref="E5">IF(NOT(ISBLANK($A5)), (_xlfn.XLOOKUP($A5,Index!$B$2:$B$103,Index!$D$2:$D$103,"Not Found")),"")</f>
        <v>1</v>
      </c>
      <c r="F5" s="1" t="str">
        <f t="array" ref="F5">IF(NOT(ISBLANK($A5)), (_xlfn.XLOOKUP($A5,Index!$B$2:$B$103,Index!$E$2:$E$103,"Not Found")),"")</f>
        <v>y</v>
      </c>
      <c r="G5" s="1">
        <f t="array" ref="G5">IF(NOT(ISBLANK(A5)), ((_xlfn.XLOOKUP(A5,Index!$B$2:$B$103,Index!$F$2:$F$103,"Not Found"))*B5),"")</f>
        <v>0</v>
      </c>
      <c r="L5" s="4" t="str">
        <f t="shared" si="1"/>
        <v/>
      </c>
      <c r="M5" s="1" t="str">
        <f t="shared" si="2"/>
        <v/>
      </c>
      <c r="N5" s="1" t="str">
        <f t="shared" si="3"/>
        <v/>
      </c>
      <c r="O5" s="1" t="str">
        <f t="shared" si="4"/>
        <v/>
      </c>
      <c r="P5" s="1" t="str">
        <f t="shared" si="5"/>
        <v/>
      </c>
      <c r="Q5" s="1" t="str">
        <f t="shared" si="6"/>
        <v/>
      </c>
    </row>
    <row r="6">
      <c r="A6" s="1" t="s">
        <v>49</v>
      </c>
      <c r="B6" s="1">
        <v>2.0</v>
      </c>
      <c r="C6" s="1" t="str">
        <f t="array" ref="C6">IF(NOT(ISBLANK($A6)), (_xlfn.XLOOKUP($A6,Index!$B$2:$B$103,Index!$C$2:$C$103,"Not Found")),"")</f>
        <v>F</v>
      </c>
      <c r="D6" s="1" t="str">
        <f t="array" ref="D6">IF(NOT(ISBLANK(A6)), (_xlfn.XLOOKUP($A6,Index!$B$2:B$103,Index!$A$2:$A$103,"Not Found")),"")</f>
        <v>base1-7</v>
      </c>
      <c r="E6" s="2" t="str">
        <f t="array" ref="E6">IF(NOT(ISBLANK($A6)), (_xlfn.XLOOKUP($A6,Index!$B$2:$B$103,Index!$D$2:$D$103,"Not Found")),"")</f>
        <v>b</v>
      </c>
      <c r="F6" s="1" t="str">
        <f t="array" ref="F6">IF(NOT(ISBLANK($A6)), (_xlfn.XLOOKUP($A6,Index!$B$2:$B$103,Index!$E$2:$E$103,"Not Found")),"")</f>
        <v>n</v>
      </c>
      <c r="G6" s="1">
        <f t="array" ref="G6">IF(NOT(ISBLANK(A6)), ((_xlfn.XLOOKUP(A6,Index!$B$2:$B$103,Index!$F$2:$F$103,"Not Found"))*B6),"")</f>
        <v>2</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153</v>
      </c>
      <c r="B7" s="1">
        <v>2.0</v>
      </c>
      <c r="C7" s="1" t="str">
        <f t="array" ref="C7">IF(NOT(ISBLANK($A7)), (_xlfn.XLOOKUP($A7,Index!$B$2:$B$103,Index!$C$2:$C$103,"Not Found")),"")</f>
        <v>F</v>
      </c>
      <c r="D7" s="1" t="str">
        <f t="array" ref="D7">IF(NOT(ISBLANK(A7)), (_xlfn.XLOOKUP($A7,Index!$B$2:B$103,Index!$A$2:$A$103,"Not Found")),"")</f>
        <v>base1-47</v>
      </c>
      <c r="E7" s="2" t="str">
        <f t="array" ref="E7">IF(NOT(ISBLANK($A7)), (_xlfn.XLOOKUP($A7,Index!$B$2:$B$103,Index!$D$2:$D$103,"Not Found")),"")</f>
        <v>b</v>
      </c>
      <c r="F7" s="1" t="str">
        <f t="array" ref="F7">IF(NOT(ISBLANK($A7)), (_xlfn.XLOOKUP($A7,Index!$B$2:$B$103,Index!$E$2:$E$103,"Not Found")),"")</f>
        <v>y</v>
      </c>
      <c r="G7" s="1">
        <f t="array" ref="G7">IF(NOT(ISBLANK(A7)), ((_xlfn.XLOOKUP(A7,Index!$B$2:$B$103,Index!$F$2:$F$103,"Not Found"))*B7),"")</f>
        <v>0</v>
      </c>
      <c r="K7" s="1" t="s">
        <v>267</v>
      </c>
      <c r="L7" s="4">
        <f t="shared" ref="L7:Q7" si="7">SUM(L2:L6)</f>
        <v>22</v>
      </c>
      <c r="M7" s="4">
        <f t="shared" si="7"/>
        <v>15</v>
      </c>
      <c r="N7" s="4">
        <f t="shared" si="7"/>
        <v>4</v>
      </c>
      <c r="O7" s="4">
        <f t="shared" si="7"/>
        <v>3</v>
      </c>
      <c r="P7" s="4">
        <f t="shared" si="7"/>
        <v>0</v>
      </c>
      <c r="Q7" s="4">
        <f t="shared" si="7"/>
        <v>2</v>
      </c>
    </row>
    <row r="8">
      <c r="A8" s="1" t="s">
        <v>86</v>
      </c>
      <c r="B8" s="1">
        <v>1.0</v>
      </c>
      <c r="C8" s="1" t="str">
        <f t="array" ref="C8">IF(NOT(ISBLANK($A8)), (_xlfn.XLOOKUP($A8,Index!$B$2:$B$103,Index!$C$2:$C$103,"Not Found")),"")</f>
        <v>F</v>
      </c>
      <c r="D8" s="1" t="str">
        <f t="array" ref="D8">IF(NOT(ISBLANK(A8)), (_xlfn.XLOOKUP($A8,Index!$B$2:B$103,Index!$A$2:$A$103,"Not Found")),"")</f>
        <v>base1-19</v>
      </c>
      <c r="E8" s="2">
        <f t="array" ref="E8">IF(NOT(ISBLANK($A8)), (_xlfn.XLOOKUP($A8,Index!$B$2:$B$103,Index!$D$2:$D$103,"Not Found")),"")</f>
        <v>1</v>
      </c>
      <c r="F8" s="1" t="str">
        <f t="array" ref="F8">IF(NOT(ISBLANK($A8)), (_xlfn.XLOOKUP($A8,Index!$B$2:$B$103,Index!$E$2:$E$103,"Not Found")),"")</f>
        <v>n</v>
      </c>
      <c r="G8" s="1">
        <f t="array" ref="G8">IF(NOT(ISBLANK(A8)), ((_xlfn.XLOOKUP(A8,Index!$B$2:$B$103,Index!$F$2:$F$103,"Not Found"))*B8),"")</f>
        <v>2</v>
      </c>
    </row>
    <row r="9">
      <c r="A9" s="1" t="s">
        <v>188</v>
      </c>
      <c r="B9" s="1">
        <v>3.0</v>
      </c>
      <c r="C9" s="1" t="str">
        <f t="array" ref="C9">IF(NOT(ISBLANK($A9)), (_xlfn.XLOOKUP($A9,Index!$B$2:$B$103,Index!$C$2:$C$103,"Not Found")),"")</f>
        <v>W</v>
      </c>
      <c r="D9" s="1" t="str">
        <f t="array" ref="D9">IF(NOT(ISBLANK(A9)), (_xlfn.XLOOKUP($A9,Index!$B$2:B$103,Index!$A$2:$A$103,"Not Found")),"")</f>
        <v>base1-65</v>
      </c>
      <c r="E9" s="2" t="str">
        <f t="array" ref="E9">IF(NOT(ISBLANK($A9)), (_xlfn.XLOOKUP($A9,Index!$B$2:$B$103,Index!$D$2:$D$103,"Not Found")),"")</f>
        <v>b</v>
      </c>
      <c r="F9" s="1" t="str">
        <f t="array" ref="F9">IF(NOT(ISBLANK($A9)), (_xlfn.XLOOKUP($A9,Index!$B$2:$B$103,Index!$E$2:$E$103,"Not Found")),"")</f>
        <v>y</v>
      </c>
      <c r="G9" s="1">
        <f t="array" ref="G9">IF(NOT(ISBLANK(A9)), ((_xlfn.XLOOKUP(A9,Index!$B$2:$B$103,Index!$F$2:$F$103,"Not Found"))*B9),"")</f>
        <v>0</v>
      </c>
      <c r="M9" s="1" t="s">
        <v>268</v>
      </c>
      <c r="N9" s="1" t="s">
        <v>269</v>
      </c>
      <c r="O9" s="1" t="s">
        <v>270</v>
      </c>
    </row>
    <row r="10">
      <c r="A10" s="1" t="s">
        <v>186</v>
      </c>
      <c r="B10" s="1">
        <v>2.0</v>
      </c>
      <c r="C10" s="1" t="str">
        <f t="array" ref="C10">IF(NOT(ISBLANK($A10)), (_xlfn.XLOOKUP($A10,Index!$B$2:$B$103,Index!$C$2:$C$103,"Not Found")),"")</f>
        <v>W</v>
      </c>
      <c r="D10" s="1" t="str">
        <f t="array" ref="D10">IF(NOT(ISBLANK(A10)), (_xlfn.XLOOKUP($A10,Index!$B$2:B$103,Index!$A$2:$A$103,"Not Found")),"")</f>
        <v>base1-64</v>
      </c>
      <c r="E10" s="2">
        <f t="array" ref="E10">IF(NOT(ISBLANK($A10)), (_xlfn.XLOOKUP($A10,Index!$B$2:$B$103,Index!$D$2:$D$103,"Not Found")),"")</f>
        <v>1</v>
      </c>
      <c r="F10" s="1" t="str">
        <f t="array" ref="F10">IF(NOT(ISBLANK($A10)), (_xlfn.XLOOKUP($A10,Index!$B$2:$B$103,Index!$E$2:$E$103,"Not Found")),"")</f>
        <v>n</v>
      </c>
      <c r="G10" s="1">
        <f t="array" ref="G10">IF(NOT(ISBLANK(A10)), ((_xlfn.XLOOKUP(A10,Index!$B$2:$B$103,Index!$F$2:$F$103,"Not Found"))*B10),"")</f>
        <v>3</v>
      </c>
      <c r="K10" s="1" t="s">
        <v>271</v>
      </c>
      <c r="L10" s="4">
        <f>SUM(M10:P10)</f>
        <v>10</v>
      </c>
      <c r="M10" s="4">
        <f>IF(NOT(ISBLANK($K10)), SUMIFS($B$2:$B$32,$E$2:$E$32, "C", $C$2:$C$32,"T"), "")</f>
        <v>6</v>
      </c>
      <c r="N10" s="4">
        <f>IF(NOT(ISBLANK($K10)), SUMIFS($B$2:$B$32,$E$2:$E$32, "U", $C$2:$C$32,"T"), "")</f>
        <v>3</v>
      </c>
      <c r="O10" s="4">
        <f>IF(NOT(ISBLANK($K$2)), SUMIFS($B$2:$B$32,$E$2:$E$32, "R", $C$2:$C$32,"T"), "")</f>
        <v>1</v>
      </c>
    </row>
    <row r="11">
      <c r="A11" s="1" t="s">
        <v>139</v>
      </c>
      <c r="B11" s="1">
        <v>1.0</v>
      </c>
      <c r="C11" s="1" t="str">
        <f t="array" ref="C11">IF(NOT(ISBLANK($A11)), (_xlfn.XLOOKUP($A11,Index!$B$2:$B$103,Index!$C$2:$C$103,"Not Found")),"")</f>
        <v>C</v>
      </c>
      <c r="D11" s="1" t="str">
        <f t="array" ref="D11">IF(NOT(ISBLANK(A11)), (_xlfn.XLOOKUP($A11,Index!$B$2:B$103,Index!$A$2:$A$103,"Not Found")),"")</f>
        <v>base1-40</v>
      </c>
      <c r="E11" s="2">
        <f t="array" ref="E11">IF(NOT(ISBLANK($A11)), (_xlfn.XLOOKUP($A11,Index!$B$2:$B$103,Index!$D$2:$D$103,"Not Found")),"")</f>
        <v>1</v>
      </c>
      <c r="F11" s="1" t="str">
        <f t="array" ref="F11">IF(NOT(ISBLANK($A11)), (_xlfn.XLOOKUP($A11,Index!$B$2:$B$103,Index!$E$2:$E$103,"Not Found")),"")</f>
        <v>n</v>
      </c>
      <c r="G11" s="1">
        <f t="array" ref="G11">IF(NOT(ISBLANK(A11)), ((_xlfn.XLOOKUP(A11,Index!$B$2:$B$103,Index!$F$2:$F$103,"Not Found"))*B11),"")</f>
        <v>0</v>
      </c>
      <c r="K11" s="1" t="s">
        <v>254</v>
      </c>
      <c r="L11" s="1">
        <f>IF(NOT(ISBLANK($K$2)), SUMIFS($B$2:$B$32, $C$2:$C$32,"Energy"), "")</f>
        <v>28</v>
      </c>
    </row>
    <row r="12">
      <c r="A12" s="1" t="s">
        <v>184</v>
      </c>
      <c r="B12" s="1">
        <v>2.0</v>
      </c>
      <c r="C12" s="1" t="str">
        <f t="array" ref="C12">IF(NOT(ISBLANK($A12)), (_xlfn.XLOOKUP($A12,Index!$B$2:$B$103,Index!$C$2:$C$103,"Not Found")),"")</f>
        <v>W</v>
      </c>
      <c r="D12" s="1" t="str">
        <f t="array" ref="D12">IF(NOT(ISBLANK(A12)), (_xlfn.XLOOKUP($A12,Index!$B$2:B$103,Index!$A$2:$A$103,"Not Found")),"")</f>
        <v>base1-63</v>
      </c>
      <c r="E12" s="2" t="str">
        <f t="array" ref="E12">IF(NOT(ISBLANK($A12)), (_xlfn.XLOOKUP($A12,Index!$B$2:$B$103,Index!$D$2:$D$103,"Not Found")),"")</f>
        <v>b</v>
      </c>
      <c r="F12" s="1" t="str">
        <f t="array" ref="F12">IF(NOT(ISBLANK($A12)), (_xlfn.XLOOKUP($A12,Index!$B$2:$B$103,Index!$E$2:$E$103,"Not Found")),"")</f>
        <v>y</v>
      </c>
      <c r="G12" s="1">
        <f t="array" ref="G12">IF(NOT(ISBLANK(A12)), ((_xlfn.XLOOKUP(A12,Index!$B$2:$B$103,Index!$F$2:$F$103,"Not Found"))*B12),"")</f>
        <v>0</v>
      </c>
      <c r="K12" s="1" t="s">
        <v>272</v>
      </c>
      <c r="L12" s="4">
        <f>L7</f>
        <v>22</v>
      </c>
    </row>
    <row r="13">
      <c r="A13" s="1" t="s">
        <v>143</v>
      </c>
      <c r="B13" s="1">
        <v>1.0</v>
      </c>
      <c r="C13" s="1" t="str">
        <f t="array" ref="C13">IF(NOT(ISBLANK($A13)), (_xlfn.XLOOKUP($A13,Index!$B$2:$B$103,Index!$C$2:$C$103,"Not Found")),"")</f>
        <v>W</v>
      </c>
      <c r="D13" s="1" t="str">
        <f t="array" ref="D13">IF(NOT(ISBLANK(A13)), (_xlfn.XLOOKUP($A13,Index!$B$2:B$103,Index!$A$2:$A$103,"Not Found")),"")</f>
        <v>base1-42</v>
      </c>
      <c r="E13" s="2">
        <f t="array" ref="E13">IF(NOT(ISBLANK($A13)), (_xlfn.XLOOKUP($A13,Index!$B$2:$B$103,Index!$D$2:$D$103,"Not Found")),"")</f>
        <v>1</v>
      </c>
      <c r="F13" s="1" t="str">
        <f t="array" ref="F13">IF(NOT(ISBLANK($A13)), (_xlfn.XLOOKUP($A13,Index!$B$2:$B$103,Index!$E$2:$E$103,"Not Found")),"")</f>
        <v>y</v>
      </c>
      <c r="G13" s="1">
        <f t="array" ref="G13">IF(NOT(ISBLANK(A13)), ((_xlfn.XLOOKUP(A13,Index!$B$2:$B$103,Index!$F$2:$F$103,"Not Found"))*B13),"")</f>
        <v>0</v>
      </c>
    </row>
    <row r="14">
      <c r="A14" s="1" t="s">
        <v>256</v>
      </c>
      <c r="B14" s="1">
        <v>16.0</v>
      </c>
      <c r="C14" s="1" t="str">
        <f t="array" ref="C14">IF(NOT(ISBLANK($A14)), (_xlfn.XLOOKUP($A14,Index!$B$2:$B$103,Index!$C$2:$C$103,"Not Found")),"")</f>
        <v>Energy</v>
      </c>
      <c r="D14" s="1" t="str">
        <f t="array" ref="D14">IF(NOT(ISBLANK(A14)), (_xlfn.XLOOKUP($A14,Index!$B$2:B$103,Index!$A$2:$A$103,"Not Found")),"")</f>
        <v>base1-97</v>
      </c>
      <c r="E14" s="2" t="str">
        <f t="array" ref="E14">IF(NOT(ISBLANK($A14)), (_xlfn.XLOOKUP($A14,Index!$B$2:$B$103,Index!$D$2:$D$103,"Not Found")),"")</f>
        <v/>
      </c>
      <c r="F14" s="1" t="str">
        <f t="array" ref="F14">IF(NOT(ISBLANK($A14)), (_xlfn.XLOOKUP($A14,Index!$B$2:$B$103,Index!$E$2:$E$103,"Not Found")),"")</f>
        <v/>
      </c>
      <c r="G14" s="1">
        <f t="array" ref="G14">IF(NOT(ISBLANK(A14)), ((_xlfn.XLOOKUP(A14,Index!$B$2:$B$103,Index!$F$2:$F$103,"Not Found"))*B14),"")</f>
        <v>0</v>
      </c>
    </row>
    <row r="15">
      <c r="A15" s="1" t="s">
        <v>266</v>
      </c>
      <c r="B15" s="1">
        <v>12.0</v>
      </c>
      <c r="C15" s="1" t="str">
        <f t="array" ref="C15">IF(NOT(ISBLANK($A15)), (_xlfn.XLOOKUP($A15,Index!$B$2:$B$103,Index!$C$2:$C$103,"Not Found")),"")</f>
        <v>Energy</v>
      </c>
      <c r="D15" s="1" t="str">
        <f t="array" ref="D15">IF(NOT(ISBLANK(A15)), (_xlfn.XLOOKUP($A15,Index!$B$2:B$103,Index!$A$2:$A$103,"Not Found")),"")</f>
        <v>base1-102</v>
      </c>
      <c r="E15" s="2" t="str">
        <f t="array" ref="E15">IF(NOT(ISBLANK($A15)), (_xlfn.XLOOKUP($A15,Index!$B$2:$B$103,Index!$D$2:$D$103,"Not Found")),"")</f>
        <v/>
      </c>
      <c r="F15" s="1" t="str">
        <f t="array" ref="F15">IF(NOT(ISBLANK($A15)), (_xlfn.XLOOKUP($A15,Index!$B$2:$B$103,Index!$E$2:$E$103,"Not Found")),"")</f>
        <v/>
      </c>
      <c r="G15" s="1">
        <f t="array" ref="G15">IF(NOT(ISBLANK(A15)), ((_xlfn.XLOOKUP(A15,Index!$B$2:$B$103,Index!$F$2:$F$103,"Not Found"))*B15),"")</f>
        <v>0</v>
      </c>
      <c r="K15" s="1" t="s">
        <v>273</v>
      </c>
    </row>
    <row r="16">
      <c r="A16" s="1" t="s">
        <v>201</v>
      </c>
      <c r="B16" s="1">
        <v>1.0</v>
      </c>
      <c r="C16" s="1" t="str">
        <f t="array" ref="C16">IF(NOT(ISBLANK($A16)), (_xlfn.XLOOKUP($A16,Index!$B$2:$B$103,Index!$C$2:$C$103,"Not Found")),"")</f>
        <v>T</v>
      </c>
      <c r="D16" s="1" t="str">
        <f t="array" ref="D16">IF(NOT(ISBLANK(A16)), (_xlfn.XLOOKUP($A16,Index!$B$2:B$103,Index!$A$2:$A$103,"Not Found")),"")</f>
        <v>base1-71</v>
      </c>
      <c r="E16" s="2" t="str">
        <f t="array" ref="E16">IF(NOT(ISBLANK($A16)), (_xlfn.XLOOKUP($A16,Index!$B$2:$B$103,Index!$D$2:$D$103,"Not Found")),"")</f>
        <v>r</v>
      </c>
      <c r="F16" s="1" t="str">
        <f t="array" ref="F16">IF(NOT(ISBLANK($A16)), (_xlfn.XLOOKUP($A16,Index!$B$2:$B$103,Index!$E$2:$E$103,"Not Found")),"")</f>
        <v/>
      </c>
      <c r="G16" s="1">
        <f t="array" ref="G16">IF(NOT(ISBLANK(A16)), ((_xlfn.XLOOKUP(A16,Index!$B$2:$B$103,Index!$F$2:$F$103,"Not Found"))*B16),"")</f>
        <v>0</v>
      </c>
      <c r="K16" s="4" t="str">
        <f t="shared" ref="K16:K20" si="8">K2</f>
        <v>F</v>
      </c>
      <c r="L16" s="1">
        <f t="shared" ref="L16:L19" si="9">IF(NOT(ISBLANK($K2)), SUMIFS($G$2:$G$32, $C$2:$C$32,$K2), "")</f>
        <v>4</v>
      </c>
    </row>
    <row r="17">
      <c r="A17" s="1" t="s">
        <v>236</v>
      </c>
      <c r="B17" s="1">
        <v>1.0</v>
      </c>
      <c r="C17" s="1" t="str">
        <f t="array" ref="C17">IF(NOT(ISBLANK($A17)), (_xlfn.XLOOKUP($A17,Index!$B$2:$B$103,Index!$C$2:$C$103,"Not Found")),"")</f>
        <v>T</v>
      </c>
      <c r="D17" s="1" t="str">
        <f t="array" ref="D17">IF(NOT(ISBLANK(A17)), (_xlfn.XLOOKUP($A17,Index!$B$2:B$103,Index!$A$2:$A$103,"Not Found")),"")</f>
        <v>base1-88</v>
      </c>
      <c r="E17" s="2" t="str">
        <f t="array" ref="E17">IF(NOT(ISBLANK($A17)), (_xlfn.XLOOKUP($A17,Index!$B$2:$B$103,Index!$D$2:$D$103,"Not Found")),"")</f>
        <v>u</v>
      </c>
      <c r="F17" s="1" t="str">
        <f t="array" ref="F17">IF(NOT(ISBLANK($A17)), (_xlfn.XLOOKUP($A17,Index!$B$2:$B$103,Index!$E$2:$E$103,"Not Found")),"")</f>
        <v/>
      </c>
      <c r="G17" s="1">
        <f t="array" ref="G17">IF(NOT(ISBLANK(A17)), ((_xlfn.XLOOKUP(A17,Index!$B$2:$B$103,Index!$F$2:$F$103,"Not Found"))*B17),"")</f>
        <v>0</v>
      </c>
      <c r="K17" s="4" t="str">
        <f t="shared" si="8"/>
        <v>W</v>
      </c>
      <c r="L17" s="1">
        <f t="shared" si="9"/>
        <v>3</v>
      </c>
    </row>
    <row r="18">
      <c r="A18" s="1" t="s">
        <v>222</v>
      </c>
      <c r="B18" s="1">
        <v>1.0</v>
      </c>
      <c r="C18" s="1" t="str">
        <f t="array" ref="C18">IF(NOT(ISBLANK($A18)), (_xlfn.XLOOKUP($A18,Index!$B$2:$B$103,Index!$C$2:$C$103,"Not Found")),"")</f>
        <v>T</v>
      </c>
      <c r="D18" s="1" t="str">
        <f t="array" ref="D18">IF(NOT(ISBLANK(A18)), (_xlfn.XLOOKUP($A18,Index!$B$2:B$103,Index!$A$2:$A$103,"Not Found")),"")</f>
        <v>base1-81</v>
      </c>
      <c r="E18" s="2" t="str">
        <f t="array" ref="E18">IF(NOT(ISBLANK($A18)), (_xlfn.XLOOKUP($A18,Index!$B$2:$B$103,Index!$D$2:$D$103,"Not Found")),"")</f>
        <v>u</v>
      </c>
      <c r="F18" s="1" t="str">
        <f t="array" ref="F18">IF(NOT(ISBLANK($A18)), (_xlfn.XLOOKUP($A18,Index!$B$2:$B$103,Index!$E$2:$E$103,"Not Found")),"")</f>
        <v/>
      </c>
      <c r="G18" s="1">
        <f t="array" ref="G18">IF(NOT(ISBLANK(A18)), ((_xlfn.XLOOKUP(A18,Index!$B$2:$B$103,Index!$F$2:$F$103,"Not Found"))*B18),"")</f>
        <v>0</v>
      </c>
      <c r="K18" s="4" t="str">
        <f t="shared" si="8"/>
        <v>C</v>
      </c>
      <c r="L18" s="1">
        <f t="shared" si="9"/>
        <v>0</v>
      </c>
    </row>
    <row r="19">
      <c r="A19" s="1" t="s">
        <v>242</v>
      </c>
      <c r="B19" s="1">
        <v>2.0</v>
      </c>
      <c r="C19" s="1" t="str">
        <f t="array" ref="C19">IF(NOT(ISBLANK($A19)), (_xlfn.XLOOKUP($A19,Index!$B$2:$B$103,Index!$C$2:$C$103,"Not Found")),"")</f>
        <v>T</v>
      </c>
      <c r="D19" s="1" t="str">
        <f t="array" ref="D19">IF(NOT(ISBLANK(A19)), (_xlfn.XLOOKUP($A19,Index!$B$2:B$103,Index!$A$2:$A$103,"Not Found")),"")</f>
        <v>base1-91</v>
      </c>
      <c r="E19" s="2" t="str">
        <f t="array" ref="E19">IF(NOT(ISBLANK($A19)), (_xlfn.XLOOKUP($A19,Index!$B$2:$B$103,Index!$D$2:$D$103,"Not Found")),"")</f>
        <v>c</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249</v>
      </c>
      <c r="B20" s="1">
        <v>2.0</v>
      </c>
      <c r="C20" s="1" t="str">
        <f t="array" ref="C20">IF(NOT(ISBLANK($A20)), (_xlfn.XLOOKUP($A20,Index!$B$2:$B$103,Index!$C$2:$C$103,"Not Found")),"")</f>
        <v>T</v>
      </c>
      <c r="D20" s="1" t="str">
        <f t="array" ref="D20">IF(NOT(ISBLANK(A20)), (_xlfn.XLOOKUP($A20,Index!$B$2:B$103,Index!$A$2:$A$103,"Not Found")),"")</f>
        <v>base1-94</v>
      </c>
      <c r="E20" s="2" t="str">
        <f t="array" ref="E20">IF(NOT(ISBLANK($A20)), (_xlfn.XLOOKUP($A20,Index!$B$2:$B$103,Index!$D$2:$D$103,"Not Found")),"")</f>
        <v>c</v>
      </c>
      <c r="F20" s="1" t="str">
        <f t="array" ref="F20">IF(NOT(ISBLANK($A20)), (_xlfn.XLOOKUP($A20,Index!$B$2:$B$103,Index!$E$2:$E$103,"Not Found")),"")</f>
        <v/>
      </c>
      <c r="G20" s="1">
        <f t="array" ref="G20">IF(NOT(ISBLANK(A20)), ((_xlfn.XLOOKUP(A20,Index!$B$2:$B$103,Index!$F$2:$F$103,"Not Found"))*B20),"")</f>
        <v>0</v>
      </c>
      <c r="K20" s="4" t="str">
        <f t="shared" si="8"/>
        <v/>
      </c>
    </row>
    <row r="21">
      <c r="A21" s="1" t="s">
        <v>251</v>
      </c>
      <c r="B21" s="1">
        <v>1.0</v>
      </c>
      <c r="C21" s="1" t="str">
        <f t="array" ref="C21">IF(NOT(ISBLANK($A21)), (_xlfn.XLOOKUP($A21,Index!$B$2:$B$103,Index!$C$2:$C$103,"Not Found")),"")</f>
        <v>T</v>
      </c>
      <c r="D21" s="1" t="str">
        <f t="array" ref="D21">IF(NOT(ISBLANK(A21)), (_xlfn.XLOOKUP($A21,Index!$B$2:B$103,Index!$A$2:$A$103,"Not Found")),"")</f>
        <v>base1-95</v>
      </c>
      <c r="E21" s="2" t="str">
        <f t="array" ref="E21">IF(NOT(ISBLANK($A21)), (_xlfn.XLOOKUP($A21,Index!$B$2:$B$103,Index!$D$2:$D$103,"Not Found")),"")</f>
        <v>c</v>
      </c>
      <c r="F21" s="1" t="str">
        <f t="array" ref="F21">IF(NOT(ISBLANK($A21)), (_xlfn.XLOOKUP($A21,Index!$B$2:$B$103,Index!$E$2:$E$103,"Not Found")),"")</f>
        <v/>
      </c>
      <c r="G21" s="1">
        <f t="array" ref="G21">IF(NOT(ISBLANK(A21)), ((_xlfn.XLOOKUP(A21,Index!$B$2:$B$103,Index!$F$2:$F$103,"Not Found"))*B21),"")</f>
        <v>0</v>
      </c>
      <c r="K21" s="1" t="s">
        <v>274</v>
      </c>
      <c r="L21" s="4">
        <f>SUM(G2:G46)</f>
        <v>7</v>
      </c>
    </row>
    <row r="22">
      <c r="A22" s="1" t="s">
        <v>247</v>
      </c>
      <c r="B22" s="1">
        <v>1.0</v>
      </c>
      <c r="C22" s="1" t="str">
        <f t="array" ref="C22">IF(NOT(ISBLANK($A22)), (_xlfn.XLOOKUP($A22,Index!$B$2:$B$103,Index!$C$2:$C$103,"Not Found")),"")</f>
        <v>T</v>
      </c>
      <c r="D22" s="1" t="str">
        <f t="array" ref="D22">IF(NOT(ISBLANK(A22)), (_xlfn.XLOOKUP($A22,Index!$B$2:B$103,Index!$A$2:$A$103,"Not Found")),"")</f>
        <v>base1-93</v>
      </c>
      <c r="E22" s="2" t="str">
        <f t="array" ref="E22">IF(NOT(ISBLANK($A22)), (_xlfn.XLOOKUP($A22,Index!$B$2:$B$103,Index!$D$2:$D$103,"Not Found")),"")</f>
        <v>c</v>
      </c>
      <c r="F22" s="1" t="str">
        <f t="array" ref="F22">IF(NOT(ISBLANK($A22)), (_xlfn.XLOOKUP($A22,Index!$B$2:$B$103,Index!$E$2:$E$103,"Not Found")),"")</f>
        <v/>
      </c>
      <c r="G22" s="1">
        <f t="array" ref="G22">IF(NOT(ISBLANK(A22)), ((_xlfn.XLOOKUP(A22,Index!$B$2:$B$103,Index!$F$2:$F$103,"Not Found"))*B22),"")</f>
        <v>0</v>
      </c>
    </row>
    <row r="23">
      <c r="A23" s="1" t="s">
        <v>226</v>
      </c>
      <c r="B23" s="1">
        <v>1.0</v>
      </c>
      <c r="C23" s="1" t="str">
        <f t="array" ref="C23">IF(NOT(ISBLANK($A23)), (_xlfn.XLOOKUP($A23,Index!$B$2:$B$103,Index!$C$2:$C$103,"Not Found")),"")</f>
        <v>T</v>
      </c>
      <c r="D23" s="1" t="str">
        <f t="array" ref="D23">IF(NOT(ISBLANK(A23)), (_xlfn.XLOOKUP($A23,Index!$B$2:B$103,Index!$A$2:$A$103,"Not Found")),"")</f>
        <v>base1-83</v>
      </c>
      <c r="E23" s="2" t="str">
        <f t="array" ref="E23">IF(NOT(ISBLANK($A23)), (_xlfn.XLOOKUP($A23,Index!$B$2:$B$103,Index!$D$2:$D$103,"Not Found")),"")</f>
        <v>u</v>
      </c>
      <c r="F23" s="1" t="str">
        <f t="array" ref="F23">IF(NOT(ISBLANK($A23)), (_xlfn.XLOOKUP($A23,Index!$B$2:$B$103,Index!$E$2:$E$103,"Not Found")),"")</f>
        <v/>
      </c>
      <c r="G23" s="1">
        <f t="array" ref="G23">IF(NOT(ISBLANK(A23)), ((_xlfn.XLOOKUP(A23,Index!$B$2:$B$103,Index!$F$2:$F$103,"Not Found"))*B23),"")</f>
        <v>0</v>
      </c>
    </row>
    <row r="24">
      <c r="C24" s="1" t="str">
        <f t="array" ref="C24">IF(NOT(ISBLANK($A24)), (_xlfn.XLOOKUP($A24,Index!$B$2:$B$103,Index!$C$2:$C$103,"Not Found")),"")</f>
        <v/>
      </c>
      <c r="D24" s="1" t="str">
        <f t="array" ref="D24">IF(NOT(ISBLANK(A24)), (_xlfn.XLOOKUP($A24,Index!$B$2:B$103,Index!$A$2:$A$103,"Not Found")),"")</f>
        <v/>
      </c>
      <c r="E24" s="2" t="str">
        <f t="array" ref="E24">IF(NOT(ISBLANK($A24)), (_xlfn.XLOOKUP($A24,Index!$B$2:$B$103,Index!$D$2:$D$103,"Not Found")),"")</f>
        <v/>
      </c>
      <c r="F24" s="1" t="str">
        <f t="array" ref="F24">IF(NOT(ISBLANK($A24)), (_xlfn.XLOOKUP($A24,Index!$B$2:$B$103,Index!$E$2:$E$103,"Not Found")),"")</f>
        <v/>
      </c>
      <c r="G24" s="1" t="str">
        <f t="array" ref="G24">IF(NOT(ISBLANK(A24)), ((_xlfn.XLOOKUP(A24,Index!$B$2:$B$103,Index!$F$2:$F$103,"Not Found"))*B24),"")</f>
        <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24</v>
      </c>
      <c r="B2" s="1">
        <v>3.0</v>
      </c>
      <c r="C2" s="1" t="str">
        <f t="array" ref="C2">IF(NOT(ISBLANK($A2)), (_xlfn.XLOOKUP($A2,Index!$B$2:$B$103,Index!$C$2:$C$103,"Not Found")),"")</f>
        <v>P</v>
      </c>
      <c r="D2" s="1" t="str">
        <f t="array" ref="D2">IF(NOT(ISBLANK(A2)), (_xlfn.XLOOKUP($A2,Index!$B$2:B$103,Index!$A$2:$A$103,"Not Found")),"")</f>
        <v>base1-43</v>
      </c>
      <c r="E2" s="2" t="str">
        <f t="array" ref="E2">IF(NOT(ISBLANK($A2)), (_xlfn.XLOOKUP($A2,Index!$B$2:$B$103,Index!$D$2:$D$103,"Not Found")),"")</f>
        <v>b</v>
      </c>
      <c r="F2" s="1" t="str">
        <f t="array" ref="F2">IF(NOT(ISBLANK($A2)), (_xlfn.XLOOKUP($A2,Index!$B$2:$B$103,Index!$E$2:$E$103,"Not Found")),"")</f>
        <v>y</v>
      </c>
      <c r="G2" s="1">
        <f t="array" ref="G2">IF(NOT(ISBLANK(A2)), ((_xlfn.XLOOKUP(A2,Index!$B$2:$B$103,Index!$F$2:$F$103,"Not Found"))*B2),"")</f>
        <v>0</v>
      </c>
      <c r="I2" s="4">
        <f>SUM(B2:B38)</f>
        <v>60</v>
      </c>
      <c r="K2" s="1" t="s">
        <v>22</v>
      </c>
      <c r="L2" s="4">
        <f t="shared" ref="L2:L6" si="1">IF(NOT(ISBLANK(K2)), SUM(M2:P2), "")</f>
        <v>12</v>
      </c>
      <c r="M2" s="1">
        <f t="shared" ref="M2:M5" si="2">IF(NOT(ISBLANK($K2)), SUMIFS($B$2:$B$32, $E$2:$E$32, "B", $C$2:$C$32,$K2), "")</f>
        <v>8</v>
      </c>
      <c r="N2" s="1">
        <f t="shared" ref="N2:N5" si="3">IF(NOT(ISBLANK($K2)),SUMIFS($B$2:$B$32,$E$2:$E$32, "1", $C$2:$C$32,$K2,$F$2:$F$32,"N"), "")</f>
        <v>0</v>
      </c>
      <c r="O2" s="1">
        <f t="shared" ref="O2:O5" si="4">IF(NOT(ISBLANK($K2)),SUMIFS($B$2:$B$32,$E$2:$E$32, "1", $C$2:$C$32,$K2,$F$2:$F$32,"Y"), "")</f>
        <v>3</v>
      </c>
      <c r="P2" s="1">
        <f t="shared" ref="P2:P5" si="5">IF(NOT(ISBLANK($K2)),SUMIFS($B$2:$B$32,$E$2:$E$32, "2", $C$2:$C$32,$K2), "")</f>
        <v>1</v>
      </c>
      <c r="Q2" s="1">
        <f t="shared" ref="Q2:Q5" si="6">IF(NOT(ISBLANK($K2)),SUMIFS($B$2:$B$32,$E$2:$E$32, "B", $C$2:$C$32,$K2,$F$2:$F$32,"N"), "")</f>
        <v>3</v>
      </c>
    </row>
    <row r="3">
      <c r="A3" s="1" t="s">
        <v>123</v>
      </c>
      <c r="B3" s="1">
        <v>2.0</v>
      </c>
      <c r="C3" s="1" t="str">
        <f t="array" ref="C3">IF(NOT(ISBLANK($A3)), (_xlfn.XLOOKUP($A3,Index!$B$2:$B$103,Index!$C$2:$C$103,"Not Found")),"")</f>
        <v>P</v>
      </c>
      <c r="D3" s="1" t="str">
        <f t="array" ref="D3">IF(NOT(ISBLANK(A3)), (_xlfn.XLOOKUP($A3,Index!$B$2:B$103,Index!$A$2:$A$103,"Not Found")),"")</f>
        <v>base1-32</v>
      </c>
      <c r="E3" s="2">
        <f t="array" ref="E3">IF(NOT(ISBLANK($A3)), (_xlfn.XLOOKUP($A3,Index!$B$2:$B$103,Index!$D$2:$D$103,"Not Found")),"")</f>
        <v>1</v>
      </c>
      <c r="F3" s="1" t="str">
        <f t="array" ref="F3">IF(NOT(ISBLANK($A3)), (_xlfn.XLOOKUP($A3,Index!$B$2:$B$103,Index!$E$2:$E$103,"Not Found")),"")</f>
        <v>y</v>
      </c>
      <c r="G3" s="1">
        <f t="array" ref="G3">IF(NOT(ISBLANK(A3)), ((_xlfn.XLOOKUP(A3,Index!$B$2:$B$103,Index!$F$2:$F$103,"Not Found"))*B3),"")</f>
        <v>0</v>
      </c>
      <c r="K3" s="1" t="s">
        <v>40</v>
      </c>
      <c r="L3" s="4">
        <f t="shared" si="1"/>
        <v>6</v>
      </c>
      <c r="M3" s="1">
        <f t="shared" si="2"/>
        <v>5</v>
      </c>
      <c r="N3" s="1">
        <f t="shared" si="3"/>
        <v>1</v>
      </c>
      <c r="O3" s="1">
        <f t="shared" si="4"/>
        <v>0</v>
      </c>
      <c r="P3" s="1">
        <f t="shared" si="5"/>
        <v>0</v>
      </c>
      <c r="Q3" s="1">
        <f t="shared" si="6"/>
        <v>2</v>
      </c>
    </row>
    <row r="4">
      <c r="A4" s="1" t="s">
        <v>21</v>
      </c>
      <c r="B4" s="1">
        <v>1.0</v>
      </c>
      <c r="C4" s="1" t="str">
        <f t="array" ref="C4">IF(NOT(ISBLANK($A4)), (_xlfn.XLOOKUP($A4,Index!$B$2:$B$103,Index!$C$2:$C$103,"Not Found")),"")</f>
        <v>P</v>
      </c>
      <c r="D4" s="1" t="str">
        <f t="array" ref="D4">IF(NOT(ISBLANK(A4)), (_xlfn.XLOOKUP($A4,Index!$B$2:B$103,Index!$A$2:$A$103,"Not Found")),"")</f>
        <v>base1-1</v>
      </c>
      <c r="E4" s="2">
        <f t="array" ref="E4">IF(NOT(ISBLANK($A4)), (_xlfn.XLOOKUP($A4,Index!$B$2:$B$103,Index!$D$2:$D$103,"Not Found")),"")</f>
        <v>2</v>
      </c>
      <c r="F4" s="1" t="str">
        <f t="array" ref="F4">IF(NOT(ISBLANK($A4)), (_xlfn.XLOOKUP($A4,Index!$B$2:$B$103,Index!$E$2:$E$103,"Not Found")),"")</f>
        <v/>
      </c>
      <c r="G4" s="1">
        <f t="array" ref="G4">IF(NOT(ISBLANK(A4)), ((_xlfn.XLOOKUP(A4,Index!$B$2:$B$103,Index!$F$2:$F$103,"Not Found"))*B4),"")</f>
        <v>2.5</v>
      </c>
      <c r="K4" s="1" t="s">
        <v>33</v>
      </c>
      <c r="L4" s="4">
        <f t="shared" si="1"/>
        <v>3</v>
      </c>
      <c r="M4" s="1">
        <f t="shared" si="2"/>
        <v>3</v>
      </c>
      <c r="N4" s="1">
        <f t="shared" si="3"/>
        <v>0</v>
      </c>
      <c r="O4" s="1">
        <f t="shared" si="4"/>
        <v>0</v>
      </c>
      <c r="P4" s="1">
        <f t="shared" si="5"/>
        <v>0</v>
      </c>
      <c r="Q4" s="1">
        <f t="shared" si="6"/>
        <v>3</v>
      </c>
    </row>
    <row r="5">
      <c r="A5" s="1" t="s">
        <v>159</v>
      </c>
      <c r="B5" s="1">
        <v>2.0</v>
      </c>
      <c r="C5" s="1" t="str">
        <f t="array" ref="C5">IF(NOT(ISBLANK($A5)), (_xlfn.XLOOKUP($A5,Index!$B$2:$B$103,Index!$C$2:$C$103,"Not Found")),"")</f>
        <v>P</v>
      </c>
      <c r="D5" s="1" t="str">
        <f t="array" ref="D5">IF(NOT(ISBLANK(A5)), (_xlfn.XLOOKUP($A5,Index!$B$2:B$103,Index!$A$2:$A$103,"Not Found")),"")</f>
        <v>base1-50</v>
      </c>
      <c r="E5" s="2" t="str">
        <f t="array" ref="E5">IF(NOT(ISBLANK($A5)), (_xlfn.XLOOKUP($A5,Index!$B$2:$B$103,Index!$D$2:$D$103,"Not Found")),"")</f>
        <v>b</v>
      </c>
      <c r="F5" s="1" t="str">
        <f t="array" ref="F5">IF(NOT(ISBLANK($A5)), (_xlfn.XLOOKUP($A5,Index!$B$2:$B$103,Index!$E$2:$E$103,"Not Found")),"")</f>
        <v>y</v>
      </c>
      <c r="G5" s="1">
        <f t="array" ref="G5">IF(NOT(ISBLANK(A5)), ((_xlfn.XLOOKUP(A5,Index!$B$2:$B$103,Index!$F$2:$F$103,"Not Found"))*B5),"")</f>
        <v>0</v>
      </c>
      <c r="L5" s="4" t="str">
        <f t="shared" si="1"/>
        <v/>
      </c>
      <c r="M5" s="1" t="str">
        <f t="shared" si="2"/>
        <v/>
      </c>
      <c r="N5" s="1" t="str">
        <f t="shared" si="3"/>
        <v/>
      </c>
      <c r="O5" s="1" t="str">
        <f t="shared" si="4"/>
        <v/>
      </c>
      <c r="P5" s="1" t="str">
        <f t="shared" si="5"/>
        <v/>
      </c>
      <c r="Q5" s="1" t="str">
        <f t="shared" si="6"/>
        <v/>
      </c>
    </row>
    <row r="6">
      <c r="A6" s="1" t="s">
        <v>117</v>
      </c>
      <c r="B6" s="1">
        <v>1.0</v>
      </c>
      <c r="C6" s="1" t="str">
        <f t="array" ref="C6">IF(NOT(ISBLANK($A6)), (_xlfn.XLOOKUP($A6,Index!$B$2:$B$103,Index!$C$2:$C$103,"Not Found")),"")</f>
        <v>P</v>
      </c>
      <c r="D6" s="1" t="str">
        <f t="array" ref="D6">IF(NOT(ISBLANK(A6)), (_xlfn.XLOOKUP($A6,Index!$B$2:B$103,Index!$A$2:$A$103,"Not Found")),"")</f>
        <v>base1-29</v>
      </c>
      <c r="E6" s="2">
        <f t="array" ref="E6">IF(NOT(ISBLANK($A6)), (_xlfn.XLOOKUP($A6,Index!$B$2:$B$103,Index!$D$2:$D$103,"Not Found")),"")</f>
        <v>1</v>
      </c>
      <c r="F6" s="1" t="str">
        <f t="array" ref="F6">IF(NOT(ISBLANK($A6)), (_xlfn.XLOOKUP($A6,Index!$B$2:$B$103,Index!$E$2:$E$103,"Not Found")),"")</f>
        <v>y</v>
      </c>
      <c r="G6" s="1">
        <f t="array" ref="G6">IF(NOT(ISBLANK(A6)), ((_xlfn.XLOOKUP(A6,Index!$B$2:$B$103,Index!$F$2:$F$103,"Not Found"))*B6),"")</f>
        <v>0</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60</v>
      </c>
      <c r="B7" s="1">
        <v>1.0</v>
      </c>
      <c r="C7" s="1" t="str">
        <f t="array" ref="C7">IF(NOT(ISBLANK($A7)), (_xlfn.XLOOKUP($A7,Index!$B$2:$B$103,Index!$C$2:$C$103,"Not Found")),"")</f>
        <v>P</v>
      </c>
      <c r="D7" s="1" t="str">
        <f t="array" ref="D7">IF(NOT(ISBLANK(A7)), (_xlfn.XLOOKUP($A7,Index!$B$2:B$103,Index!$A$2:$A$103,"Not Found")),"")</f>
        <v>base1-10</v>
      </c>
      <c r="E7" s="2" t="str">
        <f t="array" ref="E7">IF(NOT(ISBLANK($A7)), (_xlfn.XLOOKUP($A7,Index!$B$2:$B$103,Index!$D$2:$D$103,"Not Found")),"")</f>
        <v>b</v>
      </c>
      <c r="F7" s="1" t="str">
        <f t="array" ref="F7">IF(NOT(ISBLANK($A7)), (_xlfn.XLOOKUP($A7,Index!$B$2:$B$103,Index!$E$2:$E$103,"Not Found")),"")</f>
        <v>n</v>
      </c>
      <c r="G7" s="1">
        <f t="array" ref="G7">IF(NOT(ISBLANK(A7)), ((_xlfn.XLOOKUP(A7,Index!$B$2:$B$103,Index!$F$2:$F$103,"Not Found"))*B7),"")</f>
        <v>1</v>
      </c>
      <c r="K7" s="1" t="s">
        <v>267</v>
      </c>
      <c r="L7" s="4">
        <f t="shared" ref="L7:Q7" si="7">SUM(L2:L6)</f>
        <v>21</v>
      </c>
      <c r="M7" s="4">
        <f t="shared" si="7"/>
        <v>16</v>
      </c>
      <c r="N7" s="4">
        <f t="shared" si="7"/>
        <v>1</v>
      </c>
      <c r="O7" s="4">
        <f t="shared" si="7"/>
        <v>3</v>
      </c>
      <c r="P7" s="4">
        <f t="shared" si="7"/>
        <v>1</v>
      </c>
      <c r="Q7" s="4">
        <f t="shared" si="7"/>
        <v>8</v>
      </c>
    </row>
    <row r="8">
      <c r="A8" s="1" t="s">
        <v>121</v>
      </c>
      <c r="B8" s="1">
        <v>2.0</v>
      </c>
      <c r="C8" s="1" t="str">
        <f t="array" ref="C8">IF(NOT(ISBLANK($A8)), (_xlfn.XLOOKUP($A8,Index!$B$2:$B$103,Index!$C$2:$C$103,"Not Found")),"")</f>
        <v>P</v>
      </c>
      <c r="D8" s="1" t="str">
        <f t="array" ref="D8">IF(NOT(ISBLANK(A8)), (_xlfn.XLOOKUP($A8,Index!$B$2:B$103,Index!$A$2:$A$103,"Not Found")),"")</f>
        <v>base1-31</v>
      </c>
      <c r="E8" s="2" t="str">
        <f t="array" ref="E8">IF(NOT(ISBLANK($A8)), (_xlfn.XLOOKUP($A8,Index!$B$2:$B$103,Index!$D$2:$D$103,"Not Found")),"")</f>
        <v>b</v>
      </c>
      <c r="F8" s="1" t="str">
        <f t="array" ref="F8">IF(NOT(ISBLANK($A8)), (_xlfn.XLOOKUP($A8,Index!$B$2:$B$103,Index!$E$2:$E$103,"Not Found")),"")</f>
        <v>n</v>
      </c>
      <c r="G8" s="1">
        <f t="array" ref="G8">IF(NOT(ISBLANK(A8)), ((_xlfn.XLOOKUP(A8,Index!$B$2:$B$103,Index!$F$2:$F$103,"Not Found"))*B8),"")</f>
        <v>2</v>
      </c>
    </row>
    <row r="9">
      <c r="A9" s="1" t="s">
        <v>131</v>
      </c>
      <c r="B9" s="1">
        <v>2.0</v>
      </c>
      <c r="C9" s="1" t="str">
        <f t="array" ref="C9">IF(NOT(ISBLANK($A9)), (_xlfn.XLOOKUP($A9,Index!$B$2:$B$103,Index!$C$2:$C$103,"Not Found")),"")</f>
        <v>R</v>
      </c>
      <c r="D9" s="1" t="str">
        <f t="array" ref="D9">IF(NOT(ISBLANK(A9)), (_xlfn.XLOOKUP($A9,Index!$B$2:B$103,Index!$A$2:$A$103,"Not Found")),"")</f>
        <v>base1-36</v>
      </c>
      <c r="E9" s="2" t="str">
        <f t="array" ref="E9">IF(NOT(ISBLANK($A9)), (_xlfn.XLOOKUP($A9,Index!$B$2:$B$103,Index!$D$2:$D$103,"Not Found")),"")</f>
        <v>b</v>
      </c>
      <c r="F9" s="1" t="str">
        <f t="array" ref="F9">IF(NOT(ISBLANK($A9)), (_xlfn.XLOOKUP($A9,Index!$B$2:$B$103,Index!$E$2:$E$103,"Not Found")),"")</f>
        <v>n</v>
      </c>
      <c r="G9" s="1">
        <f t="array" ref="G9">IF(NOT(ISBLANK(A9)), ((_xlfn.XLOOKUP(A9,Index!$B$2:$B$103,Index!$F$2:$F$103,"Not Found"))*B9),"")</f>
        <v>0</v>
      </c>
      <c r="M9" s="1" t="s">
        <v>268</v>
      </c>
      <c r="N9" s="1" t="s">
        <v>269</v>
      </c>
      <c r="O9" s="1" t="s">
        <v>270</v>
      </c>
    </row>
    <row r="10">
      <c r="A10" s="1" t="s">
        <v>115</v>
      </c>
      <c r="B10" s="1">
        <v>2.0</v>
      </c>
      <c r="C10" s="1" t="str">
        <f t="array" ref="C10">IF(NOT(ISBLANK($A10)), (_xlfn.XLOOKUP($A10,Index!$B$2:$B$103,Index!$C$2:$C$103,"Not Found")),"")</f>
        <v>R</v>
      </c>
      <c r="D10" s="1" t="str">
        <f t="array" ref="D10">IF(NOT(ISBLANK(A10)), (_xlfn.XLOOKUP($A10,Index!$B$2:B$103,Index!$A$2:$A$103,"Not Found")),"")</f>
        <v>base1-28</v>
      </c>
      <c r="E10" s="2" t="str">
        <f t="array" ref="E10">IF(NOT(ISBLANK($A10)), (_xlfn.XLOOKUP($A10,Index!$B$2:$B$103,Index!$D$2:$D$103,"Not Found")),"")</f>
        <v>b</v>
      </c>
      <c r="F10" s="1" t="str">
        <f t="array" ref="F10">IF(NOT(ISBLANK($A10)), (_xlfn.XLOOKUP($A10,Index!$B$2:$B$103,Index!$E$2:$E$103,"Not Found")),"")</f>
        <v>y</v>
      </c>
      <c r="G10" s="1">
        <f t="array" ref="G10">IF(NOT(ISBLANK(A10)), ((_xlfn.XLOOKUP(A10,Index!$B$2:$B$103,Index!$F$2:$F$103,"Not Found"))*B10),"")</f>
        <v>0</v>
      </c>
      <c r="K10" s="1" t="s">
        <v>271</v>
      </c>
      <c r="L10" s="4">
        <f>SUM(M10:P10)</f>
        <v>11</v>
      </c>
      <c r="M10" s="4">
        <f>IF(NOT(ISBLANK($K10)), SUMIFS($B$2:$B$32,$E$2:$E$32, "C", $C$2:$C$32,"T"), "")</f>
        <v>7</v>
      </c>
      <c r="N10" s="4">
        <f>IF(NOT(ISBLANK($K10)), SUMIFS($B$2:$B$32,$E$2:$E$32, "U", $C$2:$C$32,"T"), "")</f>
        <v>3</v>
      </c>
      <c r="O10" s="4">
        <f>IF(NOT(ISBLANK($K$2)), SUMIFS($B$2:$B$32,$E$2:$E$32, "R", $C$2:$C$32,"T"), "")</f>
        <v>1</v>
      </c>
    </row>
    <row r="11">
      <c r="A11" s="1" t="s">
        <v>99</v>
      </c>
      <c r="B11" s="1">
        <v>1.0</v>
      </c>
      <c r="C11" s="1" t="str">
        <f t="array" ref="C11">IF(NOT(ISBLANK($A11)), (_xlfn.XLOOKUP($A11,Index!$B$2:$B$103,Index!$C$2:$C$103,"Not Found")),"")</f>
        <v>R</v>
      </c>
      <c r="D11" s="1" t="str">
        <f t="array" ref="D11">IF(NOT(ISBLANK(A11)), (_xlfn.XLOOKUP($A11,Index!$B$2:B$103,Index!$A$2:$A$103,"Not Found")),"")</f>
        <v>base1-23</v>
      </c>
      <c r="E11" s="2">
        <f t="array" ref="E11">IF(NOT(ISBLANK($A11)), (_xlfn.XLOOKUP($A11,Index!$B$2:$B$103,Index!$D$2:$D$103,"Not Found")),"")</f>
        <v>1</v>
      </c>
      <c r="F11" s="1" t="str">
        <f t="array" ref="F11">IF(NOT(ISBLANK($A11)), (_xlfn.XLOOKUP($A11,Index!$B$2:$B$103,Index!$E$2:$E$103,"Not Found")),"")</f>
        <v>n</v>
      </c>
      <c r="G11" s="1">
        <f t="array" ref="G11">IF(NOT(ISBLANK(A11)), ((_xlfn.XLOOKUP(A11,Index!$B$2:$B$103,Index!$F$2:$F$103,"Not Found"))*B11),"")</f>
        <v>2</v>
      </c>
      <c r="K11" s="1" t="s">
        <v>254</v>
      </c>
      <c r="L11" s="1">
        <f>IF(NOT(ISBLANK($K$2)), SUMIFS($B$2:$B$32, $C$2:$C$32,"Energy"), "")</f>
        <v>28</v>
      </c>
    </row>
    <row r="12">
      <c r="A12" s="1" t="s">
        <v>112</v>
      </c>
      <c r="B12" s="1">
        <v>3.0</v>
      </c>
      <c r="C12" s="1" t="str">
        <f t="array" ref="C12">IF(NOT(ISBLANK($A12)), (_xlfn.XLOOKUP($A12,Index!$B$2:$B$103,Index!$C$2:$C$103,"Not Found")),"")</f>
        <v>C</v>
      </c>
      <c r="D12" s="1" t="str">
        <f t="array" ref="D12">IF(NOT(ISBLANK(A12)), (_xlfn.XLOOKUP($A12,Index!$B$2:B$103,Index!$A$2:$A$103,"Not Found")),"")</f>
        <v>base1-27</v>
      </c>
      <c r="E12" s="2" t="str">
        <f t="array" ref="E12">IF(NOT(ISBLANK($A12)), (_xlfn.XLOOKUP($A12,Index!$B$2:$B$103,Index!$D$2:$D$103,"Not Found")),"")</f>
        <v>b</v>
      </c>
      <c r="F12" s="1" t="str">
        <f t="array" ref="F12">IF(NOT(ISBLANK($A12)), (_xlfn.XLOOKUP($A12,Index!$B$2:$B$103,Index!$E$2:$E$103,"Not Found")),"")</f>
        <v>n</v>
      </c>
      <c r="G12" s="1">
        <f t="array" ref="G12">IF(NOT(ISBLANK(A12)), ((_xlfn.XLOOKUP(A12,Index!$B$2:$B$103,Index!$F$2:$F$103,"Not Found"))*B12),"")</f>
        <v>0</v>
      </c>
      <c r="K12" s="1" t="s">
        <v>272</v>
      </c>
      <c r="L12" s="4">
        <f>L7</f>
        <v>21</v>
      </c>
    </row>
    <row r="13">
      <c r="A13" s="1" t="s">
        <v>180</v>
      </c>
      <c r="B13" s="1">
        <v>1.0</v>
      </c>
      <c r="C13" s="1" t="str">
        <f t="array" ref="C13">IF(NOT(ISBLANK($A13)), (_xlfn.XLOOKUP($A13,Index!$B$2:$B$103,Index!$C$2:$C$103,"Not Found")),"")</f>
        <v>R</v>
      </c>
      <c r="D13" s="1" t="str">
        <f t="array" ref="D13">IF(NOT(ISBLANK(A13)), (_xlfn.XLOOKUP($A13,Index!$B$2:B$103,Index!$A$2:$A$103,"Not Found")),"")</f>
        <v>base1-60</v>
      </c>
      <c r="E13" s="2" t="str">
        <f t="array" ref="E13">IF(NOT(ISBLANK($A13)), (_xlfn.XLOOKUP($A13,Index!$B$2:$B$103,Index!$D$2:$D$103,"Not Found")),"")</f>
        <v>b</v>
      </c>
      <c r="F13" s="1" t="str">
        <f t="array" ref="F13">IF(NOT(ISBLANK($A13)), (_xlfn.XLOOKUP($A13,Index!$B$2:$B$103,Index!$E$2:$E$103,"Not Found")),"")</f>
        <v>y</v>
      </c>
      <c r="G13" s="1">
        <f t="array" ref="G13">IF(NOT(ISBLANK(A13)), ((_xlfn.XLOOKUP(A13,Index!$B$2:$B$103,Index!$F$2:$F$103,"Not Found"))*B13),"")</f>
        <v>0</v>
      </c>
    </row>
    <row r="14">
      <c r="A14" s="7" t="s">
        <v>264</v>
      </c>
      <c r="B14" s="8">
        <v>18.0</v>
      </c>
      <c r="C14" s="1" t="str">
        <f t="array" ref="C14">IF(NOT(ISBLANK($A14)), (_xlfn.XLOOKUP($A14,Index!$B$2:$B$103,Index!$C$2:$C$103,"Not Found")),"")</f>
        <v>Energy</v>
      </c>
      <c r="D14" s="1" t="str">
        <f t="array" ref="D14">IF(NOT(ISBLANK(A14)), (_xlfn.XLOOKUP($A14,Index!$B$2:B$103,Index!$A$2:$A$103,"Not Found")),"")</f>
        <v>base1-101</v>
      </c>
      <c r="E14" s="2" t="str">
        <f t="array" ref="E14">IF(NOT(ISBLANK($A14)), (_xlfn.XLOOKUP($A14,Index!$B$2:$B$103,Index!$D$2:$D$103,"Not Found")),"")</f>
        <v/>
      </c>
      <c r="F14" s="1" t="str">
        <f t="array" ref="F14">IF(NOT(ISBLANK($A14)), (_xlfn.XLOOKUP($A14,Index!$B$2:$B$103,Index!$E$2:$E$103,"Not Found")),"")</f>
        <v/>
      </c>
      <c r="G14" s="1">
        <f t="array" ref="G14">IF(NOT(ISBLANK(A14)), ((_xlfn.XLOOKUP(A14,Index!$B$2:$B$103,Index!$F$2:$F$103,"Not Found"))*B14),"")</f>
        <v>0</v>
      </c>
    </row>
    <row r="15">
      <c r="A15" s="3" t="s">
        <v>258</v>
      </c>
      <c r="B15" s="9">
        <v>10.0</v>
      </c>
      <c r="C15" s="1" t="str">
        <f t="array" ref="C15">IF(NOT(ISBLANK($A15)), (_xlfn.XLOOKUP($A15,Index!$B$2:$B$103,Index!$C$2:$C$103,"Not Found")),"")</f>
        <v>Energy</v>
      </c>
      <c r="D15" s="1" t="str">
        <f t="array" ref="D15">IF(NOT(ISBLANK(A15)), (_xlfn.XLOOKUP($A15,Index!$B$2:B$103,Index!$A$2:$A$103,"Not Found")),"")</f>
        <v>base1-98</v>
      </c>
      <c r="E15" s="2" t="str">
        <f t="array" ref="E15">IF(NOT(ISBLANK($A15)), (_xlfn.XLOOKUP($A15,Index!$B$2:$B$103,Index!$D$2:$D$103,"Not Found")),"")</f>
        <v/>
      </c>
      <c r="F15" s="1" t="str">
        <f t="array" ref="F15">IF(NOT(ISBLANK($A15)), (_xlfn.XLOOKUP($A15,Index!$B$2:$B$103,Index!$E$2:$E$103,"Not Found")),"")</f>
        <v/>
      </c>
      <c r="G15" s="1">
        <f t="array" ref="G15">IF(NOT(ISBLANK(A15)), ((_xlfn.XLOOKUP(A15,Index!$B$2:$B$103,Index!$F$2:$F$103,"Not Found"))*B15),"")</f>
        <v>0</v>
      </c>
      <c r="K15" s="1" t="s">
        <v>273</v>
      </c>
    </row>
    <row r="16">
      <c r="A16" s="1" t="s">
        <v>209</v>
      </c>
      <c r="B16" s="1">
        <v>1.0</v>
      </c>
      <c r="C16" s="1" t="str">
        <f t="array" ref="C16">IF(NOT(ISBLANK($A16)), (_xlfn.XLOOKUP($A16,Index!$B$2:$B$103,Index!$C$2:$C$103,"Not Found")),"")</f>
        <v>T</v>
      </c>
      <c r="D16" s="1" t="str">
        <f t="array" ref="D16">IF(NOT(ISBLANK(A16)), (_xlfn.XLOOKUP($A16,Index!$B$2:B$103,Index!$A$2:$A$103,"Not Found")),"")</f>
        <v>base1-75</v>
      </c>
      <c r="E16" s="2" t="str">
        <f t="array" ref="E16">IF(NOT(ISBLANK($A16)), (_xlfn.XLOOKUP($A16,Index!$B$2:$B$103,Index!$D$2:$D$103,"Not Found")),"")</f>
        <v>r</v>
      </c>
      <c r="F16" s="1" t="str">
        <f t="array" ref="F16">IF(NOT(ISBLANK($A16)), (_xlfn.XLOOKUP($A16,Index!$B$2:$B$103,Index!$E$2:$E$103,"Not Found")),"")</f>
        <v/>
      </c>
      <c r="G16" s="1">
        <f t="array" ref="G16">IF(NOT(ISBLANK(A16)), ((_xlfn.XLOOKUP(A16,Index!$B$2:$B$103,Index!$F$2:$F$103,"Not Found"))*B16),"")</f>
        <v>0</v>
      </c>
      <c r="K16" s="4" t="str">
        <f t="shared" ref="K16:K20" si="8">K2</f>
        <v>P</v>
      </c>
      <c r="L16" s="1">
        <f t="shared" ref="L16:L19" si="9">IF(NOT(ISBLANK($K2)), SUMIFS($G$2:$G$32, $C$2:$C$32,$K2), "")</f>
        <v>5.5</v>
      </c>
    </row>
    <row r="17">
      <c r="A17" s="1" t="s">
        <v>224</v>
      </c>
      <c r="B17" s="1">
        <v>1.0</v>
      </c>
      <c r="C17" s="1" t="str">
        <f t="array" ref="C17">IF(NOT(ISBLANK($A17)), (_xlfn.XLOOKUP($A17,Index!$B$2:$B$103,Index!$C$2:$C$103,"Not Found")),"")</f>
        <v>T</v>
      </c>
      <c r="D17" s="1" t="str">
        <f t="array" ref="D17">IF(NOT(ISBLANK(A17)), (_xlfn.XLOOKUP($A17,Index!$B$2:B$103,Index!$A$2:$A$103,"Not Found")),"")</f>
        <v>base1-82</v>
      </c>
      <c r="E17" s="2" t="str">
        <f t="array" ref="E17">IF(NOT(ISBLANK($A17)), (_xlfn.XLOOKUP($A17,Index!$B$2:$B$103,Index!$D$2:$D$103,"Not Found")),"")</f>
        <v>u</v>
      </c>
      <c r="F17" s="1" t="str">
        <f t="array" ref="F17">IF(NOT(ISBLANK($A17)), (_xlfn.XLOOKUP($A17,Index!$B$2:$B$103,Index!$E$2:$E$103,"Not Found")),"")</f>
        <v/>
      </c>
      <c r="G17" s="1">
        <f t="array" ref="G17">IF(NOT(ISBLANK(A17)), ((_xlfn.XLOOKUP(A17,Index!$B$2:$B$103,Index!$F$2:$F$103,"Not Found"))*B17),"")</f>
        <v>0</v>
      </c>
      <c r="K17" s="4" t="str">
        <f t="shared" si="8"/>
        <v>R</v>
      </c>
      <c r="L17" s="1">
        <f t="shared" si="9"/>
        <v>2</v>
      </c>
    </row>
    <row r="18">
      <c r="A18" s="1" t="s">
        <v>236</v>
      </c>
      <c r="B18" s="1">
        <v>1.0</v>
      </c>
      <c r="C18" s="1" t="str">
        <f t="array" ref="C18">IF(NOT(ISBLANK($A18)), (_xlfn.XLOOKUP($A18,Index!$B$2:$B$103,Index!$C$2:$C$103,"Not Found")),"")</f>
        <v>T</v>
      </c>
      <c r="D18" s="1" t="str">
        <f t="array" ref="D18">IF(NOT(ISBLANK(A18)), (_xlfn.XLOOKUP($A18,Index!$B$2:B$103,Index!$A$2:$A$103,"Not Found")),"")</f>
        <v>base1-88</v>
      </c>
      <c r="E18" s="2" t="str">
        <f t="array" ref="E18">IF(NOT(ISBLANK($A18)), (_xlfn.XLOOKUP($A18,Index!$B$2:$B$103,Index!$D$2:$D$103,"Not Found")),"")</f>
        <v>u</v>
      </c>
      <c r="F18" s="1" t="str">
        <f t="array" ref="F18">IF(NOT(ISBLANK($A18)), (_xlfn.XLOOKUP($A18,Index!$B$2:$B$103,Index!$E$2:$E$103,"Not Found")),"")</f>
        <v/>
      </c>
      <c r="G18" s="1">
        <f t="array" ref="G18">IF(NOT(ISBLANK(A18)), ((_xlfn.XLOOKUP(A18,Index!$B$2:$B$103,Index!$F$2:$F$103,"Not Found"))*B18),"")</f>
        <v>0</v>
      </c>
      <c r="K18" s="4" t="str">
        <f t="shared" si="8"/>
        <v>C</v>
      </c>
      <c r="L18" s="1">
        <f t="shared" si="9"/>
        <v>0</v>
      </c>
    </row>
    <row r="19">
      <c r="A19" s="1" t="s">
        <v>242</v>
      </c>
      <c r="B19" s="1">
        <v>2.0</v>
      </c>
      <c r="C19" s="1" t="str">
        <f t="array" ref="C19">IF(NOT(ISBLANK($A19)), (_xlfn.XLOOKUP($A19,Index!$B$2:$B$103,Index!$C$2:$C$103,"Not Found")),"")</f>
        <v>T</v>
      </c>
      <c r="D19" s="1" t="str">
        <f t="array" ref="D19">IF(NOT(ISBLANK(A19)), (_xlfn.XLOOKUP($A19,Index!$B$2:B$103,Index!$A$2:$A$103,"Not Found")),"")</f>
        <v>base1-91</v>
      </c>
      <c r="E19" s="2" t="str">
        <f t="array" ref="E19">IF(NOT(ISBLANK($A19)), (_xlfn.XLOOKUP($A19,Index!$B$2:$B$103,Index!$D$2:$D$103,"Not Found")),"")</f>
        <v>c</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251</v>
      </c>
      <c r="B20" s="1">
        <v>1.0</v>
      </c>
      <c r="C20" s="1" t="str">
        <f t="array" ref="C20">IF(NOT(ISBLANK($A20)), (_xlfn.XLOOKUP($A20,Index!$B$2:$B$103,Index!$C$2:$C$103,"Not Found")),"")</f>
        <v>T</v>
      </c>
      <c r="D20" s="1" t="str">
        <f t="array" ref="D20">IF(NOT(ISBLANK(A20)), (_xlfn.XLOOKUP($A20,Index!$B$2:B$103,Index!$A$2:$A$103,"Not Found")),"")</f>
        <v>base1-95</v>
      </c>
      <c r="E20" s="2" t="str">
        <f t="array" ref="E20">IF(NOT(ISBLANK($A20)), (_xlfn.XLOOKUP($A20,Index!$B$2:$B$103,Index!$D$2:$D$103,"Not Found")),"")</f>
        <v>c</v>
      </c>
      <c r="F20" s="1" t="str">
        <f t="array" ref="F20">IF(NOT(ISBLANK($A20)), (_xlfn.XLOOKUP($A20,Index!$B$2:$B$103,Index!$E$2:$E$103,"Not Found")),"")</f>
        <v/>
      </c>
      <c r="G20" s="1">
        <f t="array" ref="G20">IF(NOT(ISBLANK(A20)), ((_xlfn.XLOOKUP(A20,Index!$B$2:$B$103,Index!$F$2:$F$103,"Not Found"))*B20),"")</f>
        <v>0</v>
      </c>
      <c r="K20" s="4" t="str">
        <f t="shared" si="8"/>
        <v/>
      </c>
    </row>
    <row r="21">
      <c r="A21" s="1" t="s">
        <v>247</v>
      </c>
      <c r="B21" s="1">
        <v>1.0</v>
      </c>
      <c r="C21" s="1" t="str">
        <f t="array" ref="C21">IF(NOT(ISBLANK($A21)), (_xlfn.XLOOKUP($A21,Index!$B$2:$B$103,Index!$C$2:$C$103,"Not Found")),"")</f>
        <v>T</v>
      </c>
      <c r="D21" s="1" t="str">
        <f t="array" ref="D21">IF(NOT(ISBLANK(A21)), (_xlfn.XLOOKUP($A21,Index!$B$2:B$103,Index!$A$2:$A$103,"Not Found")),"")</f>
        <v>base1-93</v>
      </c>
      <c r="E21" s="2" t="str">
        <f t="array" ref="E21">IF(NOT(ISBLANK($A21)), (_xlfn.XLOOKUP($A21,Index!$B$2:$B$103,Index!$D$2:$D$103,"Not Found")),"")</f>
        <v>c</v>
      </c>
      <c r="F21" s="1" t="str">
        <f t="array" ref="F21">IF(NOT(ISBLANK($A21)), (_xlfn.XLOOKUP($A21,Index!$B$2:$B$103,Index!$E$2:$E$103,"Not Found")),"")</f>
        <v/>
      </c>
      <c r="G21" s="1">
        <f t="array" ref="G21">IF(NOT(ISBLANK(A21)), ((_xlfn.XLOOKUP(A21,Index!$B$2:$B$103,Index!$F$2:$F$103,"Not Found"))*B21),"")</f>
        <v>0</v>
      </c>
      <c r="K21" s="1" t="s">
        <v>274</v>
      </c>
      <c r="L21" s="4">
        <f>SUM(G2:G46)</f>
        <v>7.5</v>
      </c>
    </row>
    <row r="22">
      <c r="A22" s="1" t="s">
        <v>249</v>
      </c>
      <c r="B22" s="1">
        <v>2.0</v>
      </c>
      <c r="C22" s="1" t="str">
        <f t="array" ref="C22">IF(NOT(ISBLANK($A22)), (_xlfn.XLOOKUP($A22,Index!$B$2:$B$103,Index!$C$2:$C$103,"Not Found")),"")</f>
        <v>T</v>
      </c>
      <c r="D22" s="1" t="str">
        <f t="array" ref="D22">IF(NOT(ISBLANK(A22)), (_xlfn.XLOOKUP($A22,Index!$B$2:B$103,Index!$A$2:$A$103,"Not Found")),"")</f>
        <v>base1-94</v>
      </c>
      <c r="E22" s="2" t="str">
        <f t="array" ref="E22">IF(NOT(ISBLANK($A22)), (_xlfn.XLOOKUP($A22,Index!$B$2:$B$103,Index!$D$2:$D$103,"Not Found")),"")</f>
        <v>c</v>
      </c>
      <c r="F22" s="1" t="str">
        <f t="array" ref="F22">IF(NOT(ISBLANK($A22)), (_xlfn.XLOOKUP($A22,Index!$B$2:$B$103,Index!$E$2:$E$103,"Not Found")),"")</f>
        <v/>
      </c>
      <c r="G22" s="1">
        <f t="array" ref="G22">IF(NOT(ISBLANK(A22)), ((_xlfn.XLOOKUP(A22,Index!$B$2:$B$103,Index!$F$2:$F$103,"Not Found"))*B22),"")</f>
        <v>0</v>
      </c>
    </row>
    <row r="23">
      <c r="A23" s="1" t="s">
        <v>245</v>
      </c>
      <c r="B23" s="1">
        <v>1.0</v>
      </c>
      <c r="C23" s="1" t="str">
        <f t="array" ref="C23">IF(NOT(ISBLANK($A23)), (_xlfn.XLOOKUP($A23,Index!$B$2:$B$103,Index!$C$2:$C$103,"Not Found")),"")</f>
        <v>T</v>
      </c>
      <c r="D23" s="1" t="str">
        <f t="array" ref="D23">IF(NOT(ISBLANK(A23)), (_xlfn.XLOOKUP($A23,Index!$B$2:B$103,Index!$A$2:$A$103,"Not Found")),"")</f>
        <v>base1-92</v>
      </c>
      <c r="E23" s="2" t="str">
        <f t="array" ref="E23">IF(NOT(ISBLANK($A23)), (_xlfn.XLOOKUP($A23,Index!$B$2:$B$103,Index!$D$2:$D$103,"Not Found")),"")</f>
        <v>c</v>
      </c>
      <c r="F23" s="1" t="str">
        <f t="array" ref="F23">IF(NOT(ISBLANK($A23)), (_xlfn.XLOOKUP($A23,Index!$B$2:$B$103,Index!$E$2:$E$103,"Not Found")),"")</f>
        <v/>
      </c>
      <c r="G23" s="1">
        <f t="array" ref="G23">IF(NOT(ISBLANK(A23)), ((_xlfn.XLOOKUP(A23,Index!$B$2:$B$103,Index!$F$2:$F$103,"Not Found"))*B23),"")</f>
        <v>0</v>
      </c>
    </row>
    <row r="24">
      <c r="A24" s="1" t="s">
        <v>228</v>
      </c>
      <c r="B24" s="1">
        <v>1.0</v>
      </c>
      <c r="C24" s="1" t="str">
        <f t="array" ref="C24">IF(NOT(ISBLANK($A24)), (_xlfn.XLOOKUP($A24,Index!$B$2:$B$103,Index!$C$2:$C$103,"Not Found")),"")</f>
        <v>T</v>
      </c>
      <c r="D24" s="1" t="str">
        <f t="array" ref="D24">IF(NOT(ISBLANK(A24)), (_xlfn.XLOOKUP($A24,Index!$B$2:B$103,Index!$A$2:$A$103,"Not Found")),"")</f>
        <v>base1-84</v>
      </c>
      <c r="E24" s="2" t="str">
        <f t="array" ref="E24">IF(NOT(ISBLANK($A24)), (_xlfn.XLOOKUP($A24,Index!$B$2:$B$103,Index!$D$2:$D$103,"Not Found")),"")</f>
        <v>u</v>
      </c>
      <c r="F24" s="1" t="str">
        <f t="array" ref="F24">IF(NOT(ISBLANK($A24)), (_xlfn.XLOOKUP($A24,Index!$B$2:$B$103,Index!$E$2:$E$103,"Not Found")),"")</f>
        <v/>
      </c>
      <c r="G24" s="1">
        <f t="array" ref="G24">IF(NOT(ISBLANK(A24)), ((_xlfn.XLOOKUP(A24,Index!$B$2:$B$103,Index!$F$2:$F$103,"Not Found"))*B24),"")</f>
        <v>0</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t="str">
        <f t="array" ref="C38">IF(NOT(ISBLANK($A38)), (_xlfn.XLOOKUP($A38,Index!$B$2:$B$103,Index!$C$2:$C$103,"Not Found")),"")</f>
        <v/>
      </c>
      <c r="D38" s="1" t="str">
        <f t="array" ref="D38">IF(NOT(ISBLANK(A38)), (_xlfn.XLOOKUP($A38,Index!$B$2:B$103,Index!$A$2:$A$103,"Not Found")),"")</f>
        <v/>
      </c>
      <c r="E38" s="1" t="str">
        <f t="array" ref="E38">IF(NOT(ISBLANK($A38)), (_xlfn.XLOOKUP($A38,Index!$B$2:$B$103,Index!$D$2:$D$103,"Not Found")),"")</f>
        <v/>
      </c>
    </row>
    <row r="39">
      <c r="C39" s="1" t="str">
        <f t="array" ref="C39">IF(NOT(ISBLANK($A39)), (_xlfn.XLOOKUP($A39,Index!$B$2:$B$103,Index!$C$2:$C$103,"Not Found")),"")</f>
        <v/>
      </c>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196</v>
      </c>
      <c r="B2" s="1">
        <v>4.0</v>
      </c>
      <c r="C2" s="1" t="str">
        <f t="array" ref="C2">IF(NOT(ISBLANK($A2)), (_xlfn.XLOOKUP($A2,Index!$B$2:$B$103,Index!$C$2:$C$103,"Not Found")),"")</f>
        <v>G</v>
      </c>
      <c r="D2" s="1" t="str">
        <f t="array" ref="D2">IF(NOT(ISBLANK(A2)), (_xlfn.XLOOKUP($A2,Index!$B$2:B$103,Index!$A$2:$A$103,"Not Found")),"")</f>
        <v>base1-69</v>
      </c>
      <c r="E2" s="2" t="str">
        <f t="array" ref="E2">IF(NOT(ISBLANK($A2)), (_xlfn.XLOOKUP($A2,Index!$B$2:$B$103,Index!$D$2:$D$103,"Not Found")),"")</f>
        <v>b</v>
      </c>
      <c r="F2" s="1" t="str">
        <f t="array" ref="F2">IF(NOT(ISBLANK($A2)), (_xlfn.XLOOKUP($A2,Index!$B$2:$B$103,Index!$E$2:$E$103,"Not Found")),"")</f>
        <v>y</v>
      </c>
      <c r="G2" s="1">
        <f t="array" ref="G2">IF(NOT(ISBLANK(A2)), ((_xlfn.XLOOKUP(A2,Index!$B$2:$B$103,Index!$F$2:$F$103,"Not Found"))*B2),"")</f>
        <v>0</v>
      </c>
      <c r="I2" s="4">
        <f>SUM(B2:B38)</f>
        <v>60</v>
      </c>
      <c r="K2" s="1" t="s">
        <v>65</v>
      </c>
      <c r="L2" s="4">
        <f t="shared" ref="L2:L6" si="1">IF(NOT(ISBLANK(K2)), SUM(M2:P2), "")</f>
        <v>13</v>
      </c>
      <c r="M2" s="1">
        <f t="shared" ref="M2:M5" si="2">IF(NOT(ISBLANK($K2)), SUMIFS($B$2:$B$32, $E$2:$E$32, "B", $C$2:$C$32,$K2), "")</f>
        <v>8</v>
      </c>
      <c r="N2" s="1">
        <f t="shared" ref="N2:N5" si="3">IF(NOT(ISBLANK($K2)),SUMIFS($B$2:$B$32,$E$2:$E$32, "1", $C$2:$C$32,$K2,$F$2:$F$32,"N"), "")</f>
        <v>0</v>
      </c>
      <c r="O2" s="1">
        <f t="shared" ref="O2:O5" si="4">IF(NOT(ISBLANK($K2)),SUMIFS($B$2:$B$32,$E$2:$E$32, "1", $C$2:$C$32,$K2,$F$2:$F$32,"Y"), "")</f>
        <v>4</v>
      </c>
      <c r="P2" s="1">
        <f t="shared" ref="P2:P5" si="5">IF(NOT(ISBLANK($K2)),SUMIFS($B$2:$B$32,$E$2:$E$32, "2", $C$2:$C$32,$K2), "")</f>
        <v>1</v>
      </c>
      <c r="Q2" s="1">
        <f t="shared" ref="Q2:Q5" si="6">IF(NOT(ISBLANK($K2)),SUMIFS($B$2:$B$32,$E$2:$E$32, "B", $C$2:$C$32,$K2,$F$2:$F$32,"N"), "")</f>
        <v>1</v>
      </c>
    </row>
    <row r="3">
      <c r="A3" s="1" t="s">
        <v>125</v>
      </c>
      <c r="B3" s="1">
        <v>3.0</v>
      </c>
      <c r="C3" s="1" t="str">
        <f t="array" ref="C3">IF(NOT(ISBLANK($A3)), (_xlfn.XLOOKUP($A3,Index!$B$2:$B$103,Index!$C$2:$C$103,"Not Found")),"")</f>
        <v>G</v>
      </c>
      <c r="D3" s="1" t="str">
        <f t="array" ref="D3">IF(NOT(ISBLANK(A3)), (_xlfn.XLOOKUP($A3,Index!$B$2:B$103,Index!$A$2:$A$103,"Not Found")),"")</f>
        <v>base1-33</v>
      </c>
      <c r="E3" s="2">
        <f t="array" ref="E3">IF(NOT(ISBLANK($A3)), (_xlfn.XLOOKUP($A3,Index!$B$2:$B$103,Index!$D$2:$D$103,"Not Found")),"")</f>
        <v>1</v>
      </c>
      <c r="F3" s="1" t="str">
        <f t="array" ref="F3">IF(NOT(ISBLANK($A3)), (_xlfn.XLOOKUP($A3,Index!$B$2:$B$103,Index!$E$2:$E$103,"Not Found")),"")</f>
        <v>y</v>
      </c>
      <c r="G3" s="1">
        <f t="array" ref="G3">IF(NOT(ISBLANK(A3)), ((_xlfn.XLOOKUP(A3,Index!$B$2:$B$103,Index!$F$2:$F$103,"Not Found"))*B3),"")</f>
        <v>0</v>
      </c>
      <c r="K3" s="1" t="s">
        <v>57</v>
      </c>
      <c r="L3" s="4">
        <f t="shared" si="1"/>
        <v>8</v>
      </c>
      <c r="M3" s="1">
        <f t="shared" si="2"/>
        <v>7</v>
      </c>
      <c r="N3" s="1">
        <f t="shared" si="3"/>
        <v>1</v>
      </c>
      <c r="O3" s="1">
        <f t="shared" si="4"/>
        <v>0</v>
      </c>
      <c r="P3" s="1">
        <f t="shared" si="5"/>
        <v>0</v>
      </c>
      <c r="Q3" s="1">
        <f t="shared" si="6"/>
        <v>2</v>
      </c>
    </row>
    <row r="4">
      <c r="A4" s="1" t="s">
        <v>81</v>
      </c>
      <c r="B4" s="1">
        <v>1.0</v>
      </c>
      <c r="C4" s="1" t="str">
        <f t="array" ref="C4">IF(NOT(ISBLANK($A4)), (_xlfn.XLOOKUP($A4,Index!$B$2:$B$103,Index!$C$2:$C$103,"Not Found")),"")</f>
        <v>G</v>
      </c>
      <c r="D4" s="1" t="str">
        <f t="array" ref="D4">IF(NOT(ISBLANK(A4)), (_xlfn.XLOOKUP($A4,Index!$B$2:B$103,Index!$A$2:$A$103,"Not Found")),"")</f>
        <v>base1-17</v>
      </c>
      <c r="E4" s="2">
        <f t="array" ref="E4">IF(NOT(ISBLANK($A4)), (_xlfn.XLOOKUP($A4,Index!$B$2:$B$103,Index!$D$2:$D$103,"Not Found")),"")</f>
        <v>2</v>
      </c>
      <c r="F4" s="1" t="str">
        <f t="array" ref="F4">IF(NOT(ISBLANK($A4)), (_xlfn.XLOOKUP($A4,Index!$B$2:$B$103,Index!$E$2:$E$103,"Not Found")),"")</f>
        <v/>
      </c>
      <c r="G4" s="1">
        <f t="array" ref="G4">IF(NOT(ISBLANK(A4)), ((_xlfn.XLOOKUP(A4,Index!$B$2:$B$103,Index!$F$2:$F$103,"Not Found"))*B4),"")</f>
        <v>3</v>
      </c>
      <c r="K4" s="1" t="s">
        <v>33</v>
      </c>
      <c r="L4" s="4">
        <f t="shared" si="1"/>
        <v>1</v>
      </c>
      <c r="M4" s="1">
        <f t="shared" si="2"/>
        <v>1</v>
      </c>
      <c r="N4" s="1">
        <f t="shared" si="3"/>
        <v>0</v>
      </c>
      <c r="O4" s="1">
        <f t="shared" si="4"/>
        <v>0</v>
      </c>
      <c r="P4" s="1">
        <f t="shared" si="5"/>
        <v>0</v>
      </c>
      <c r="Q4" s="1">
        <f t="shared" si="6"/>
        <v>0</v>
      </c>
    </row>
    <row r="5">
      <c r="A5" s="1" t="s">
        <v>190</v>
      </c>
      <c r="B5" s="1">
        <v>1.0</v>
      </c>
      <c r="C5" s="1" t="str">
        <f t="array" ref="C5">IF(NOT(ISBLANK($A5)), (_xlfn.XLOOKUP($A5,Index!$B$2:$B$103,Index!$C$2:$C$103,"Not Found")),"")</f>
        <v>G</v>
      </c>
      <c r="D5" s="1" t="str">
        <f t="array" ref="D5">IF(NOT(ISBLANK(A5)), (_xlfn.XLOOKUP($A5,Index!$B$2:B$103,Index!$A$2:$A$103,"Not Found")),"")</f>
        <v>base1-66</v>
      </c>
      <c r="E5" s="2" t="str">
        <f t="array" ref="E5">IF(NOT(ISBLANK($A5)), (_xlfn.XLOOKUP($A5,Index!$B$2:$B$103,Index!$D$2:$D$103,"Not Found")),"")</f>
        <v>b</v>
      </c>
      <c r="F5" s="1" t="str">
        <f t="array" ref="F5">IF(NOT(ISBLANK($A5)), (_xlfn.XLOOKUP($A5,Index!$B$2:$B$103,Index!$E$2:$E$103,"Not Found")),"")</f>
        <v>n</v>
      </c>
      <c r="G5" s="1">
        <f t="array" ref="G5">IF(NOT(ISBLANK(A5)), ((_xlfn.XLOOKUP(A5,Index!$B$2:$B$103,Index!$F$2:$F$103,"Not Found"))*B5),"")</f>
        <v>0</v>
      </c>
      <c r="L5" s="4" t="str">
        <f t="shared" si="1"/>
        <v/>
      </c>
      <c r="M5" s="1" t="str">
        <f t="shared" si="2"/>
        <v/>
      </c>
      <c r="N5" s="1" t="str">
        <f t="shared" si="3"/>
        <v/>
      </c>
      <c r="O5" s="1" t="str">
        <f t="shared" si="4"/>
        <v/>
      </c>
      <c r="P5" s="1" t="str">
        <f t="shared" si="5"/>
        <v/>
      </c>
      <c r="Q5" s="1" t="str">
        <f t="shared" si="6"/>
        <v/>
      </c>
    </row>
    <row r="6">
      <c r="A6" s="1" t="s">
        <v>149</v>
      </c>
      <c r="B6" s="1">
        <v>2.0</v>
      </c>
      <c r="C6" s="1" t="str">
        <f t="array" ref="C6">IF(NOT(ISBLANK($A6)), (_xlfn.XLOOKUP($A6,Index!$B$2:$B$103,Index!$C$2:$C$103,"Not Found")),"")</f>
        <v>G</v>
      </c>
      <c r="D6" s="1" t="str">
        <f t="array" ref="D6">IF(NOT(ISBLANK(A6)), (_xlfn.XLOOKUP($A6,Index!$B$2:B$103,Index!$A$2:$A$103,"Not Found")),"")</f>
        <v>base1-45</v>
      </c>
      <c r="E6" s="2" t="str">
        <f t="array" ref="E6">IF(NOT(ISBLANK($A6)), (_xlfn.XLOOKUP($A6,Index!$B$2:$B$103,Index!$D$2:$D$103,"Not Found")),"")</f>
        <v>b</v>
      </c>
      <c r="F6" s="1" t="str">
        <f t="array" ref="F6">IF(NOT(ISBLANK($A6)), (_xlfn.XLOOKUP($A6,Index!$B$2:$B$103,Index!$E$2:$E$103,"Not Found")),"")</f>
        <v>y</v>
      </c>
      <c r="G6" s="1">
        <f t="array" ref="G6">IF(NOT(ISBLANK(A6)), ((_xlfn.XLOOKUP(A6,Index!$B$2:$B$103,Index!$F$2:$F$103,"Not Found"))*B6),"")</f>
        <v>0</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168</v>
      </c>
      <c r="B7" s="1">
        <v>1.0</v>
      </c>
      <c r="C7" s="1" t="str">
        <f t="array" ref="C7">IF(NOT(ISBLANK($A7)), (_xlfn.XLOOKUP($A7,Index!$B$2:$B$103,Index!$C$2:$C$103,"Not Found")),"")</f>
        <v>G</v>
      </c>
      <c r="D7" s="1" t="str">
        <f t="array" ref="D7">IF(NOT(ISBLANK(A7)), (_xlfn.XLOOKUP($A7,Index!$B$2:B$103,Index!$A$2:$A$103,"Not Found")),"")</f>
        <v>base1-54</v>
      </c>
      <c r="E7" s="2">
        <f t="array" ref="E7">IF(NOT(ISBLANK($A7)), (_xlfn.XLOOKUP($A7,Index!$B$2:$B$103,Index!$D$2:$D$103,"Not Found")),"")</f>
        <v>1</v>
      </c>
      <c r="F7" s="1" t="str">
        <f t="array" ref="F7">IF(NOT(ISBLANK($A7)), (_xlfn.XLOOKUP($A7,Index!$B$2:$B$103,Index!$E$2:$E$103,"Not Found")),"")</f>
        <v>y</v>
      </c>
      <c r="G7" s="1">
        <f t="array" ref="G7">IF(NOT(ISBLANK(A7)), ((_xlfn.XLOOKUP(A7,Index!$B$2:$B$103,Index!$F$2:$F$103,"Not Found"))*B7),"")</f>
        <v>0</v>
      </c>
      <c r="K7" s="1" t="s">
        <v>267</v>
      </c>
      <c r="L7" s="4">
        <f t="shared" ref="L7:Q7" si="7">SUM(L2:L6)</f>
        <v>22</v>
      </c>
      <c r="M7" s="4">
        <f t="shared" si="7"/>
        <v>16</v>
      </c>
      <c r="N7" s="4">
        <f t="shared" si="7"/>
        <v>1</v>
      </c>
      <c r="O7" s="4">
        <f t="shared" si="7"/>
        <v>4</v>
      </c>
      <c r="P7" s="4">
        <f t="shared" si="7"/>
        <v>1</v>
      </c>
      <c r="Q7" s="4">
        <f t="shared" si="7"/>
        <v>3</v>
      </c>
    </row>
    <row r="8">
      <c r="A8" s="1" t="s">
        <v>176</v>
      </c>
      <c r="B8" s="1">
        <v>3.0</v>
      </c>
      <c r="C8" s="1" t="str">
        <f t="array" ref="C8">IF(NOT(ISBLANK($A8)), (_xlfn.XLOOKUP($A8,Index!$B$2:$B$103,Index!$C$2:$C$103,"Not Found")),"")</f>
        <v>E</v>
      </c>
      <c r="D8" s="1" t="str">
        <f t="array" ref="D8">IF(NOT(ISBLANK(A8)), (_xlfn.XLOOKUP($A8,Index!$B$2:B$103,Index!$A$2:$A$103,"Not Found")),"")</f>
        <v>base1-58</v>
      </c>
      <c r="E8" s="2" t="str">
        <f t="array" ref="E8">IF(NOT(ISBLANK($A8)), (_xlfn.XLOOKUP($A8,Index!$B$2:$B$103,Index!$D$2:$D$103,"Not Found")),"")</f>
        <v>b</v>
      </c>
      <c r="F8" s="1" t="str">
        <f t="array" ref="F8">IF(NOT(ISBLANK($A8)), (_xlfn.XLOOKUP($A8,Index!$B$2:$B$103,Index!$E$2:$E$103,"Not Found")),"")</f>
        <v>y</v>
      </c>
      <c r="G8" s="1">
        <f t="array" ref="G8">IF(NOT(ISBLANK(A8)), ((_xlfn.XLOOKUP(A8,Index!$B$2:$B$103,Index!$F$2:$F$103,"Not Found"))*B8),"")</f>
        <v>0</v>
      </c>
    </row>
    <row r="9">
      <c r="A9" s="1" t="s">
        <v>74</v>
      </c>
      <c r="B9" s="1">
        <v>1.0</v>
      </c>
      <c r="C9" s="1" t="str">
        <f t="array" ref="C9">IF(NOT(ISBLANK($A9)), (_xlfn.XLOOKUP($A9,Index!$B$2:$B$103,Index!$C$2:$C$103,"Not Found")),"")</f>
        <v>E</v>
      </c>
      <c r="D9" s="1" t="str">
        <f t="array" ref="D9">IF(NOT(ISBLANK(A9)), (_xlfn.XLOOKUP($A9,Index!$B$2:B$103,Index!$A$2:$A$103,"Not Found")),"")</f>
        <v>base1-14</v>
      </c>
      <c r="E9" s="2">
        <f t="array" ref="E9">IF(NOT(ISBLANK($A9)), (_xlfn.XLOOKUP($A9,Index!$B$2:$B$103,Index!$D$2:$D$103,"Not Found")),"")</f>
        <v>1</v>
      </c>
      <c r="F9" s="1" t="str">
        <f t="array" ref="F9">IF(NOT(ISBLANK($A9)), (_xlfn.XLOOKUP($A9,Index!$B$2:$B$103,Index!$E$2:$E$103,"Not Found")),"")</f>
        <v>n</v>
      </c>
      <c r="G9" s="1">
        <f t="array" ref="G9">IF(NOT(ISBLANK(A9)), ((_xlfn.XLOOKUP(A9,Index!$B$2:$B$103,Index!$F$2:$F$103,"Not Found"))*B9),"")</f>
        <v>2</v>
      </c>
      <c r="M9" s="1" t="s">
        <v>268</v>
      </c>
      <c r="N9" s="1" t="s">
        <v>269</v>
      </c>
      <c r="O9" s="1" t="s">
        <v>270</v>
      </c>
    </row>
    <row r="10">
      <c r="A10" s="1" t="s">
        <v>192</v>
      </c>
      <c r="B10" s="1">
        <v>2.0</v>
      </c>
      <c r="C10" s="1" t="str">
        <f t="array" ref="C10">IF(NOT(ISBLANK($A10)), (_xlfn.XLOOKUP($A10,Index!$B$2:$B$103,Index!$C$2:$C$103,"Not Found")),"")</f>
        <v>E</v>
      </c>
      <c r="D10" s="1" t="str">
        <f t="array" ref="D10">IF(NOT(ISBLANK(A10)), (_xlfn.XLOOKUP($A10,Index!$B$2:B$103,Index!$A$2:$A$103,"Not Found")),"")</f>
        <v>base1-67</v>
      </c>
      <c r="E10" s="2" t="str">
        <f t="array" ref="E10">IF(NOT(ISBLANK($A10)), (_xlfn.XLOOKUP($A10,Index!$B$2:$B$103,Index!$D$2:$D$103,"Not Found")),"")</f>
        <v>b</v>
      </c>
      <c r="F10" s="1" t="str">
        <f t="array" ref="F10">IF(NOT(ISBLANK($A10)), (_xlfn.XLOOKUP($A10,Index!$B$2:$B$103,Index!$E$2:$E$103,"Not Found")),"")</f>
        <v>y</v>
      </c>
      <c r="G10" s="1">
        <f t="array" ref="G10">IF(NOT(ISBLANK(A10)), ((_xlfn.XLOOKUP(A10,Index!$B$2:$B$103,Index!$F$2:$F$103,"Not Found"))*B10),"")</f>
        <v>0</v>
      </c>
      <c r="K10" s="1" t="s">
        <v>271</v>
      </c>
      <c r="L10" s="4">
        <f>SUM(M10:P10)</f>
        <v>10</v>
      </c>
      <c r="M10" s="4">
        <f>IF(NOT(ISBLANK($K10)), SUMIFS($B$2:$B$32,$E$2:$E$32, "C", $C$2:$C$32,"T"), "")</f>
        <v>6</v>
      </c>
      <c r="N10" s="4">
        <f>IF(NOT(ISBLANK($K10)), SUMIFS($B$2:$B$32,$E$2:$E$32, "U", $C$2:$C$32,"T"), "")</f>
        <v>3</v>
      </c>
      <c r="O10" s="4">
        <f>IF(NOT(ISBLANK($K$2)), SUMIFS($B$2:$B$32,$E$2:$E$32, "R", $C$2:$C$32,"T"), "")</f>
        <v>1</v>
      </c>
    </row>
    <row r="11">
      <c r="A11" s="1" t="s">
        <v>88</v>
      </c>
      <c r="B11" s="1">
        <v>1.0</v>
      </c>
      <c r="C11" s="1" t="str">
        <f t="array" ref="C11">IF(NOT(ISBLANK($A11)), (_xlfn.XLOOKUP($A11,Index!$B$2:$B$103,Index!$C$2:$C$103,"Not Found")),"")</f>
        <v>E</v>
      </c>
      <c r="D11" s="1" t="str">
        <f t="array" ref="D11">IF(NOT(ISBLANK(A11)), (_xlfn.XLOOKUP($A11,Index!$B$2:B$103,Index!$A$2:$A$103,"Not Found")),"")</f>
        <v>base1-20</v>
      </c>
      <c r="E11" s="2" t="str">
        <f t="array" ref="E11">IF(NOT(ISBLANK($A11)), (_xlfn.XLOOKUP($A11,Index!$B$2:$B$103,Index!$D$2:$D$103,"Not Found")),"")</f>
        <v>b</v>
      </c>
      <c r="F11" s="1" t="str">
        <f t="array" ref="F11">IF(NOT(ISBLANK($A11)), (_xlfn.XLOOKUP($A11,Index!$B$2:$B$103,Index!$E$2:$E$103,"Not Found")),"")</f>
        <v>n</v>
      </c>
      <c r="G11" s="1">
        <f t="array" ref="G11">IF(NOT(ISBLANK(A11)), ((_xlfn.XLOOKUP(A11,Index!$B$2:$B$103,Index!$F$2:$F$103,"Not Found"))*B11),"")</f>
        <v>1</v>
      </c>
      <c r="K11" s="1" t="s">
        <v>254</v>
      </c>
      <c r="L11" s="1">
        <f>IF(NOT(ISBLANK($K$2)), SUMIFS($B$2:$B$32, $C$2:$C$32,"Energy"), "")</f>
        <v>28</v>
      </c>
    </row>
    <row r="12">
      <c r="A12" s="1" t="s">
        <v>155</v>
      </c>
      <c r="B12" s="1">
        <v>1.0</v>
      </c>
      <c r="C12" s="1" t="str">
        <f t="array" ref="C12">IF(NOT(ISBLANK($A12)), (_xlfn.XLOOKUP($A12,Index!$B$2:$B$103,Index!$C$2:$C$103,"Not Found")),"")</f>
        <v>C</v>
      </c>
      <c r="D12" s="1" t="str">
        <f t="array" ref="D12">IF(NOT(ISBLANK(A12)), (_xlfn.XLOOKUP($A12,Index!$B$2:B$103,Index!$A$2:$A$103,"Not Found")),"")</f>
        <v>base1-48</v>
      </c>
      <c r="E12" s="2" t="str">
        <f t="array" ref="E12">IF(NOT(ISBLANK($A12)), (_xlfn.XLOOKUP($A12,Index!$B$2:$B$103,Index!$D$2:$D$103,"Not Found")),"")</f>
        <v>b</v>
      </c>
      <c r="F12" s="1" t="str">
        <f t="array" ref="F12">IF(NOT(ISBLANK($A12)), (_xlfn.XLOOKUP($A12,Index!$B$2:$B$103,Index!$E$2:$E$103,"Not Found")),"")</f>
        <v>y</v>
      </c>
      <c r="G12" s="1">
        <f t="array" ref="G12">IF(NOT(ISBLANK(A12)), ((_xlfn.XLOOKUP(A12,Index!$B$2:$B$103,Index!$F$2:$F$103,"Not Found"))*B12),"")</f>
        <v>0</v>
      </c>
      <c r="K12" s="1" t="s">
        <v>272</v>
      </c>
      <c r="L12" s="4">
        <f>L7</f>
        <v>22</v>
      </c>
    </row>
    <row r="13">
      <c r="A13" s="1" t="s">
        <v>260</v>
      </c>
      <c r="B13" s="1">
        <v>16.0</v>
      </c>
      <c r="C13" s="1" t="str">
        <f t="array" ref="C13">IF(NOT(ISBLANK($A13)), (_xlfn.XLOOKUP($A13,Index!$B$2:$B$103,Index!$C$2:$C$103,"Not Found")),"")</f>
        <v>Energy</v>
      </c>
      <c r="D13" s="1" t="str">
        <f t="array" ref="D13">IF(NOT(ISBLANK(A13)), (_xlfn.XLOOKUP($A13,Index!$B$2:B$103,Index!$A$2:$A$103,"Not Found")),"")</f>
        <v>base1-99</v>
      </c>
      <c r="E13" s="2" t="str">
        <f t="array" ref="E13">IF(NOT(ISBLANK($A13)), (_xlfn.XLOOKUP($A13,Index!$B$2:$B$103,Index!$D$2:$D$103,"Not Found")),"")</f>
        <v/>
      </c>
      <c r="F13" s="1" t="str">
        <f t="array" ref="F13">IF(NOT(ISBLANK($A13)), (_xlfn.XLOOKUP($A13,Index!$B$2:$B$103,Index!$E$2:$E$103,"Not Found")),"")</f>
        <v/>
      </c>
      <c r="G13" s="1">
        <f t="array" ref="G13">IF(NOT(ISBLANK(A13)), ((_xlfn.XLOOKUP(A13,Index!$B$2:$B$103,Index!$F$2:$F$103,"Not Found"))*B13),"")</f>
        <v>0</v>
      </c>
    </row>
    <row r="14">
      <c r="A14" s="1" t="s">
        <v>262</v>
      </c>
      <c r="B14" s="1">
        <v>12.0</v>
      </c>
      <c r="C14" s="1" t="str">
        <f t="array" ref="C14">IF(NOT(ISBLANK($A14)), (_xlfn.XLOOKUP($A14,Index!$B$2:$B$103,Index!$C$2:$C$103,"Not Found")),"")</f>
        <v>Energy</v>
      </c>
      <c r="D14" s="1" t="str">
        <f t="array" ref="D14">IF(NOT(ISBLANK(A14)), (_xlfn.XLOOKUP($A14,Index!$B$2:B$103,Index!$A$2:$A$103,"Not Found")),"")</f>
        <v>base1-100</v>
      </c>
      <c r="E14" s="2" t="str">
        <f t="array" ref="E14">IF(NOT(ISBLANK($A14)), (_xlfn.XLOOKUP($A14,Index!$B$2:$B$103,Index!$D$2:$D$103,"Not Found")),"")</f>
        <v/>
      </c>
      <c r="F14" s="1" t="str">
        <f t="array" ref="F14">IF(NOT(ISBLANK($A14)), (_xlfn.XLOOKUP($A14,Index!$B$2:$B$103,Index!$E$2:$E$103,"Not Found")),"")</f>
        <v/>
      </c>
      <c r="G14" s="1">
        <f t="array" ref="G14">IF(NOT(ISBLANK(A14)), ((_xlfn.XLOOKUP(A14,Index!$B$2:$B$103,Index!$F$2:$F$103,"Not Found"))*B14),"")</f>
        <v>0</v>
      </c>
    </row>
    <row r="15">
      <c r="A15" s="5" t="s">
        <v>215</v>
      </c>
      <c r="B15" s="1">
        <v>1.0</v>
      </c>
      <c r="C15" s="1" t="str">
        <f t="array" ref="C15">IF(NOT(ISBLANK($A15)), (_xlfn.XLOOKUP($A15,Index!$B$2:$B$103,Index!$C$2:$C$103,"Not Found")),"")</f>
        <v>T</v>
      </c>
      <c r="D15" s="1" t="str">
        <f t="array" ref="D15">IF(NOT(ISBLANK(A15)), (_xlfn.XLOOKUP($A15,Index!$B$2:B$103,Index!$A$2:$A$103,"Not Found")),"")</f>
        <v>base1-78</v>
      </c>
      <c r="E15" s="2" t="str">
        <f t="array" ref="E15">IF(NOT(ISBLANK($A15)), (_xlfn.XLOOKUP($A15,Index!$B$2:$B$103,Index!$D$2:$D$103,"Not Found")),"")</f>
        <v>r</v>
      </c>
      <c r="F15" s="1" t="str">
        <f t="array" ref="F15">IF(NOT(ISBLANK($A15)), (_xlfn.XLOOKUP($A15,Index!$B$2:$B$103,Index!$E$2:$E$103,"Not Found")),"")</f>
        <v/>
      </c>
      <c r="G15" s="1">
        <f t="array" ref="G15">IF(NOT(ISBLANK(A15)), ((_xlfn.XLOOKUP(A15,Index!$B$2:$B$103,Index!$F$2:$F$103,"Not Found"))*B15),"")</f>
        <v>0</v>
      </c>
      <c r="K15" s="1" t="s">
        <v>273</v>
      </c>
    </row>
    <row r="16">
      <c r="A16" s="1" t="s">
        <v>219</v>
      </c>
      <c r="B16" s="1">
        <v>1.0</v>
      </c>
      <c r="C16" s="1" t="str">
        <f t="array" ref="C16">IF(NOT(ISBLANK($A16)), (_xlfn.XLOOKUP($A16,Index!$B$2:$B$103,Index!$C$2:$C$103,"Not Found")),"")</f>
        <v>T</v>
      </c>
      <c r="D16" s="1" t="str">
        <f t="array" ref="D16">IF(NOT(ISBLANK(A16)), (_xlfn.XLOOKUP($A16,Index!$B$2:B$103,Index!$A$2:$A$103,"Not Found")),"")</f>
        <v>base1-80</v>
      </c>
      <c r="E16" s="2" t="str">
        <f t="array" ref="E16">IF(NOT(ISBLANK($A16)), (_xlfn.XLOOKUP($A16,Index!$B$2:$B$103,Index!$D$2:$D$103,"Not Found")),"")</f>
        <v>u</v>
      </c>
      <c r="F16" s="1" t="str">
        <f t="array" ref="F16">IF(NOT(ISBLANK($A16)), (_xlfn.XLOOKUP($A16,Index!$B$2:$B$103,Index!$E$2:$E$103,"Not Found")),"")</f>
        <v/>
      </c>
      <c r="G16" s="1">
        <f t="array" ref="G16">IF(NOT(ISBLANK(A16)), ((_xlfn.XLOOKUP(A16,Index!$B$2:$B$103,Index!$F$2:$F$103,"Not Found"))*B16),"")</f>
        <v>0</v>
      </c>
      <c r="K16" s="4" t="str">
        <f t="shared" ref="K16:K20" si="8">K2</f>
        <v>G</v>
      </c>
      <c r="L16" s="1">
        <f t="shared" ref="L16:L19" si="9">IF(NOT(ISBLANK($K2)), SUMIFS($G$2:$G$32, $C$2:$C$32,$K2), "")</f>
        <v>3</v>
      </c>
    </row>
    <row r="17">
      <c r="A17" s="1" t="s">
        <v>240</v>
      </c>
      <c r="B17" s="1">
        <v>1.0</v>
      </c>
      <c r="C17" s="1" t="str">
        <f t="array" ref="C17">IF(NOT(ISBLANK($A17)), (_xlfn.XLOOKUP($A17,Index!$B$2:$B$103,Index!$C$2:$C$103,"Not Found")),"")</f>
        <v>T</v>
      </c>
      <c r="D17" s="1" t="str">
        <f t="array" ref="D17">IF(NOT(ISBLANK(A17)), (_xlfn.XLOOKUP($A17,Index!$B$2:B$103,Index!$A$2:$A$103,"Not Found")),"")</f>
        <v>base1-90</v>
      </c>
      <c r="E17" s="2" t="str">
        <f t="array" ref="E17">IF(NOT(ISBLANK($A17)), (_xlfn.XLOOKUP($A17,Index!$B$2:$B$103,Index!$D$2:$D$103,"Not Found")),"")</f>
        <v>u</v>
      </c>
      <c r="F17" s="1" t="str">
        <f t="array" ref="F17">IF(NOT(ISBLANK($A17)), (_xlfn.XLOOKUP($A17,Index!$B$2:$B$103,Index!$E$2:$E$103,"Not Found")),"")</f>
        <v/>
      </c>
      <c r="G17" s="1">
        <f t="array" ref="G17">IF(NOT(ISBLANK(A17)), ((_xlfn.XLOOKUP(A17,Index!$B$2:$B$103,Index!$F$2:$F$103,"Not Found"))*B17),"")</f>
        <v>0</v>
      </c>
      <c r="K17" s="4" t="str">
        <f t="shared" si="8"/>
        <v>E</v>
      </c>
      <c r="L17" s="1">
        <f t="shared" si="9"/>
        <v>4.5</v>
      </c>
    </row>
    <row r="18">
      <c r="A18" s="1" t="s">
        <v>236</v>
      </c>
      <c r="B18" s="1">
        <v>1.0</v>
      </c>
      <c r="C18" s="1" t="str">
        <f t="array" ref="C18">IF(NOT(ISBLANK($A18)), (_xlfn.XLOOKUP($A18,Index!$B$2:$B$103,Index!$C$2:$C$103,"Not Found")),"")</f>
        <v>T</v>
      </c>
      <c r="D18" s="1" t="str">
        <f t="array" ref="D18">IF(NOT(ISBLANK(A18)), (_xlfn.XLOOKUP($A18,Index!$B$2:B$103,Index!$A$2:$A$103,"Not Found")),"")</f>
        <v>base1-88</v>
      </c>
      <c r="E18" s="2" t="str">
        <f t="array" ref="E18">IF(NOT(ISBLANK($A18)), (_xlfn.XLOOKUP($A18,Index!$B$2:$B$103,Index!$D$2:$D$103,"Not Found")),"")</f>
        <v>u</v>
      </c>
      <c r="F18" s="1" t="str">
        <f t="array" ref="F18">IF(NOT(ISBLANK($A18)), (_xlfn.XLOOKUP($A18,Index!$B$2:$B$103,Index!$E$2:$E$103,"Not Found")),"")</f>
        <v/>
      </c>
      <c r="G18" s="1">
        <f t="array" ref="G18">IF(NOT(ISBLANK(A18)), ((_xlfn.XLOOKUP(A18,Index!$B$2:$B$103,Index!$F$2:$F$103,"Not Found"))*B18),"")</f>
        <v>0</v>
      </c>
      <c r="K18" s="4" t="str">
        <f t="shared" si="8"/>
        <v>C</v>
      </c>
      <c r="L18" s="1">
        <f t="shared" si="9"/>
        <v>0</v>
      </c>
    </row>
    <row r="19">
      <c r="A19" s="1" t="s">
        <v>242</v>
      </c>
      <c r="B19" s="1">
        <v>2.0</v>
      </c>
      <c r="C19" s="1" t="str">
        <f t="array" ref="C19">IF(NOT(ISBLANK($A19)), (_xlfn.XLOOKUP($A19,Index!$B$2:$B$103,Index!$C$2:$C$103,"Not Found")),"")</f>
        <v>T</v>
      </c>
      <c r="D19" s="1" t="str">
        <f t="array" ref="D19">IF(NOT(ISBLANK(A19)), (_xlfn.XLOOKUP($A19,Index!$B$2:B$103,Index!$A$2:$A$103,"Not Found")),"")</f>
        <v>base1-91</v>
      </c>
      <c r="E19" s="2" t="str">
        <f t="array" ref="E19">IF(NOT(ISBLANK($A19)), (_xlfn.XLOOKUP($A19,Index!$B$2:$B$103,Index!$D$2:$D$103,"Not Found")),"")</f>
        <v>c</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251</v>
      </c>
      <c r="B20" s="1">
        <v>2.0</v>
      </c>
      <c r="C20" s="1" t="str">
        <f t="array" ref="C20">IF(NOT(ISBLANK($A20)), (_xlfn.XLOOKUP($A20,Index!$B$2:$B$103,Index!$C$2:$C$103,"Not Found")),"")</f>
        <v>T</v>
      </c>
      <c r="D20" s="1" t="str">
        <f t="array" ref="D20">IF(NOT(ISBLANK(A20)), (_xlfn.XLOOKUP($A20,Index!$B$2:B$103,Index!$A$2:$A$103,"Not Found")),"")</f>
        <v>base1-95</v>
      </c>
      <c r="E20" s="2" t="str">
        <f t="array" ref="E20">IF(NOT(ISBLANK($A20)), (_xlfn.XLOOKUP($A20,Index!$B$2:$B$103,Index!$D$2:$D$103,"Not Found")),"")</f>
        <v>c</v>
      </c>
      <c r="F20" s="1" t="str">
        <f t="array" ref="F20">IF(NOT(ISBLANK($A20)), (_xlfn.XLOOKUP($A20,Index!$B$2:$B$103,Index!$E$2:$E$103,"Not Found")),"")</f>
        <v/>
      </c>
      <c r="G20" s="1">
        <f t="array" ref="G20">IF(NOT(ISBLANK(A20)), ((_xlfn.XLOOKUP(A20,Index!$B$2:$B$103,Index!$F$2:$F$103,"Not Found"))*B20),"")</f>
        <v>0</v>
      </c>
      <c r="K20" s="4" t="str">
        <f t="shared" si="8"/>
        <v/>
      </c>
    </row>
    <row r="21">
      <c r="A21" s="1" t="s">
        <v>249</v>
      </c>
      <c r="B21" s="1">
        <v>1.0</v>
      </c>
      <c r="C21" s="1" t="str">
        <f t="array" ref="C21">IF(NOT(ISBLANK($A21)), (_xlfn.XLOOKUP($A21,Index!$B$2:$B$103,Index!$C$2:$C$103,"Not Found")),"")</f>
        <v>T</v>
      </c>
      <c r="D21" s="1" t="str">
        <f t="array" ref="D21">IF(NOT(ISBLANK(A21)), (_xlfn.XLOOKUP($A21,Index!$B$2:B$103,Index!$A$2:$A$103,"Not Found")),"")</f>
        <v>base1-94</v>
      </c>
      <c r="E21" s="2" t="str">
        <f t="array" ref="E21">IF(NOT(ISBLANK($A21)), (_xlfn.XLOOKUP($A21,Index!$B$2:$B$103,Index!$D$2:$D$103,"Not Found")),"")</f>
        <v>c</v>
      </c>
      <c r="F21" s="1" t="str">
        <f t="array" ref="F21">IF(NOT(ISBLANK($A21)), (_xlfn.XLOOKUP($A21,Index!$B$2:$B$103,Index!$E$2:$E$103,"Not Found")),"")</f>
        <v/>
      </c>
      <c r="G21" s="1">
        <f t="array" ref="G21">IF(NOT(ISBLANK(A21)), ((_xlfn.XLOOKUP(A21,Index!$B$2:$B$103,Index!$F$2:$F$103,"Not Found"))*B21),"")</f>
        <v>0</v>
      </c>
      <c r="K21" s="1" t="s">
        <v>274</v>
      </c>
      <c r="L21" s="4">
        <f>SUM(G2:G46)</f>
        <v>7.5</v>
      </c>
    </row>
    <row r="22">
      <c r="A22" s="1" t="s">
        <v>245</v>
      </c>
      <c r="B22" s="1">
        <v>1.0</v>
      </c>
      <c r="C22" s="1" t="str">
        <f t="array" ref="C22">IF(NOT(ISBLANK($A22)), (_xlfn.XLOOKUP($A22,Index!$B$2:$B$103,Index!$C$2:$C$103,"Not Found")),"")</f>
        <v>T</v>
      </c>
      <c r="D22" s="1" t="str">
        <f t="array" ref="D22">IF(NOT(ISBLANK(A22)), (_xlfn.XLOOKUP($A22,Index!$B$2:B$103,Index!$A$2:$A$103,"Not Found")),"")</f>
        <v>base1-92</v>
      </c>
      <c r="E22" s="2" t="str">
        <f t="array" ref="E22">IF(NOT(ISBLANK($A22)), (_xlfn.XLOOKUP($A22,Index!$B$2:$B$103,Index!$D$2:$D$103,"Not Found")),"")</f>
        <v>c</v>
      </c>
      <c r="F22" s="1" t="str">
        <f t="array" ref="F22">IF(NOT(ISBLANK($A22)), (_xlfn.XLOOKUP($A22,Index!$B$2:$B$103,Index!$E$2:$E$103,"Not Found")),"")</f>
        <v/>
      </c>
      <c r="G22" s="1">
        <f t="array" ref="G22">IF(NOT(ISBLANK(A22)), ((_xlfn.XLOOKUP(A22,Index!$B$2:$B$103,Index!$F$2:$F$103,"Not Found"))*B22),"")</f>
        <v>0</v>
      </c>
    </row>
    <row r="23">
      <c r="A23" s="1" t="s">
        <v>78</v>
      </c>
      <c r="B23" s="1">
        <v>1.0</v>
      </c>
      <c r="C23" s="1" t="str">
        <f t="array" ref="C23">IF(NOT(ISBLANK($A23)), (_xlfn.XLOOKUP($A23,Index!$B$2:$B$103,Index!$C$2:$C$103,"Not Found")),"")</f>
        <v>E</v>
      </c>
      <c r="D23" s="1" t="str">
        <f t="array" ref="D23">IF(NOT(ISBLANK(A23)), (_xlfn.XLOOKUP($A23,Index!$B$2:B$103,Index!$A$2:$A$103,"Not Found")),"")</f>
        <v>base1-16</v>
      </c>
      <c r="E23" s="2" t="str">
        <f t="array" ref="E23">IF(NOT(ISBLANK($A23)), (_xlfn.XLOOKUP($A23,Index!$B$2:$B$103,Index!$D$2:$D$103,"Not Found")),"")</f>
        <v>b</v>
      </c>
      <c r="F23" s="1" t="str">
        <f t="array" ref="F23">IF(NOT(ISBLANK($A23)), (_xlfn.XLOOKUP($A23,Index!$B$2:$B$103,Index!$E$2:$E$103,"Not Found")),"")</f>
        <v>n</v>
      </c>
      <c r="G23" s="1">
        <f t="array" ref="G23">IF(NOT(ISBLANK(A23)), ((_xlfn.XLOOKUP(A23,Index!$B$2:$B$103,Index!$F$2:$F$103,"Not Found"))*B23),"")</f>
        <v>1.5</v>
      </c>
    </row>
    <row r="24">
      <c r="A24" s="1" t="s">
        <v>161</v>
      </c>
      <c r="B24" s="1">
        <v>1.0</v>
      </c>
      <c r="C24" s="1" t="str">
        <f t="array" ref="C24">IF(NOT(ISBLANK($A24)), (_xlfn.XLOOKUP($A24,Index!$B$2:$B$103,Index!$C$2:$C$103,"Not Found")),"")</f>
        <v>G</v>
      </c>
      <c r="D24" s="1" t="str">
        <f t="array" ref="D24">IF(NOT(ISBLANK(A24)), (_xlfn.XLOOKUP($A24,Index!$B$2:B$103,Index!$A$2:$A$103,"Not Found")),"")</f>
        <v>base1-51</v>
      </c>
      <c r="E24" s="2" t="str">
        <f t="array" ref="E24">IF(NOT(ISBLANK($A24)), (_xlfn.XLOOKUP($A24,Index!$B$2:$B$103,Index!$D$2:$D$103,"Not Found")),"")</f>
        <v>b</v>
      </c>
      <c r="F24" s="1" t="str">
        <f t="array" ref="F24">IF(NOT(ISBLANK($A24)), (_xlfn.XLOOKUP($A24,Index!$B$2:$B$103,Index!$E$2:$E$103,"Not Found")),"")</f>
        <v>y</v>
      </c>
      <c r="G24" s="1">
        <f t="array" ref="G24">IF(NOT(ISBLANK(A24)), ((_xlfn.XLOOKUP(A24,Index!$B$2:$B$103,Index!$F$2:$F$103,"Not Found"))*B24),"")</f>
        <v>0</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166</v>
      </c>
      <c r="B2" s="1">
        <v>3.0</v>
      </c>
      <c r="C2" s="1" t="str">
        <f t="array" ref="C2">IF(NOT(ISBLANK($A2)), (_xlfn.XLOOKUP($A2,Index!$B$2:$B$103,Index!$C$2:$C$103,"Not Found")),"")</f>
        <v>E</v>
      </c>
      <c r="D2" s="1" t="str">
        <f t="array" ref="D2">IF(NOT(ISBLANK(A2)), (_xlfn.XLOOKUP($A2,Index!$B$2:B$103,Index!$A$2:$A$103,"Not Found")),"")</f>
        <v>base1-53</v>
      </c>
      <c r="E2" s="2" t="str">
        <f t="array" ref="E2">IF(NOT(ISBLANK($A2)), (_xlfn.XLOOKUP($A2,Index!$B$2:$B$103,Index!$D$2:$D$103,"Not Found")),"")</f>
        <v>b</v>
      </c>
      <c r="F2" s="1" t="str">
        <f t="array" ref="F2">IF(NOT(ISBLANK($A2)), (_xlfn.XLOOKUP($A2,Index!$B$2:$B$103,Index!$E$2:$E$103,"Not Found")),"")</f>
        <v>y</v>
      </c>
      <c r="G2" s="1">
        <f t="array" ref="G2">IF(NOT(ISBLANK(A2)), ((_xlfn.XLOOKUP(A2,Index!$B$2:$B$103,Index!$F$2:$F$103,"Not Found"))*B2),"")</f>
        <v>0</v>
      </c>
      <c r="I2" s="4">
        <f>SUM(B2:B38)</f>
        <v>60</v>
      </c>
      <c r="K2" s="1" t="s">
        <v>57</v>
      </c>
      <c r="L2" s="4">
        <f t="shared" ref="L2:L6" si="1">IF(NOT(ISBLANK(K2)), SUM(M2:P2), "")</f>
        <v>8</v>
      </c>
      <c r="M2" s="1">
        <f t="shared" ref="M2:M5" si="2">IF(NOT(ISBLANK($K2)), SUMIFS($B$2:$B$32, $E$2:$E$32, "B", $C$2:$C$32,$K2), "")</f>
        <v>6</v>
      </c>
      <c r="N2" s="1">
        <f t="shared" ref="N2:N5" si="3">IF(NOT(ISBLANK($K2)),SUMIFS($B$2:$B$32,$E$2:$E$32, "1", $C$2:$C$32,$K2,$F$2:$F$32,"N"), "")</f>
        <v>2</v>
      </c>
      <c r="O2" s="1">
        <f t="shared" ref="O2:O5" si="4">IF(NOT(ISBLANK($K2)),SUMIFS($B$2:$B$32,$E$2:$E$32, "1", $C$2:$C$32,$K2,$F$2:$F$32,"Y"), "")</f>
        <v>0</v>
      </c>
      <c r="P2" s="1">
        <f t="shared" ref="P2:P5" si="5">IF(NOT(ISBLANK($K2)),SUMIFS($B$2:$B$32,$E$2:$E$32, "2", $C$2:$C$32,$K2), "")</f>
        <v>0</v>
      </c>
      <c r="Q2" s="1">
        <f t="shared" ref="Q2:Q5" si="6">IF(NOT(ISBLANK($K2)),SUMIFS($B$2:$B$32,$E$2:$E$32, "B", $C$2:$C$32,$K2,$F$2:$F$32,"N"), "")</f>
        <v>0</v>
      </c>
    </row>
    <row r="3">
      <c r="A3" s="1" t="s">
        <v>56</v>
      </c>
      <c r="B3" s="1">
        <v>1.0</v>
      </c>
      <c r="C3" s="1" t="str">
        <f t="array" ref="C3">IF(NOT(ISBLANK($A3)), (_xlfn.XLOOKUP($A3,Index!$B$2:$B$103,Index!$C$2:$C$103,"Not Found")),"")</f>
        <v>E</v>
      </c>
      <c r="D3" s="1" t="str">
        <f t="array" ref="D3">IF(NOT(ISBLANK(A3)), (_xlfn.XLOOKUP($A3,Index!$B$2:B$103,Index!$A$2:$A$103,"Not Found")),"")</f>
        <v>base1-9</v>
      </c>
      <c r="E3" s="2">
        <f t="array" ref="E3">IF(NOT(ISBLANK($A3)), (_xlfn.XLOOKUP($A3,Index!$B$2:$B$103,Index!$D$2:$D$103,"Not Found")),"")</f>
        <v>1</v>
      </c>
      <c r="F3" s="1" t="str">
        <f t="array" ref="F3">IF(NOT(ISBLANK($A3)), (_xlfn.XLOOKUP($A3,Index!$B$2:$B$103,Index!$E$2:$E$103,"Not Found")),"")</f>
        <v>n</v>
      </c>
      <c r="G3" s="1">
        <f t="array" ref="G3">IF(NOT(ISBLANK(A3)), ((_xlfn.XLOOKUP(A3,Index!$B$2:$B$103,Index!$F$2:$F$103,"Not Found"))*B3),"")</f>
        <v>2</v>
      </c>
      <c r="K3" s="1" t="s">
        <v>50</v>
      </c>
      <c r="L3" s="4">
        <f t="shared" si="1"/>
        <v>7</v>
      </c>
      <c r="M3" s="1">
        <f t="shared" si="2"/>
        <v>4</v>
      </c>
      <c r="N3" s="1">
        <f t="shared" si="3"/>
        <v>0</v>
      </c>
      <c r="O3" s="1">
        <f t="shared" si="4"/>
        <v>2</v>
      </c>
      <c r="P3" s="1">
        <f t="shared" si="5"/>
        <v>1</v>
      </c>
      <c r="Q3" s="1">
        <f t="shared" si="6"/>
        <v>1</v>
      </c>
    </row>
    <row r="4">
      <c r="A4" s="1" t="s">
        <v>192</v>
      </c>
      <c r="B4" s="1">
        <v>3.0</v>
      </c>
      <c r="C4" s="1" t="str">
        <f t="array" ref="C4">IF(NOT(ISBLANK($A4)), (_xlfn.XLOOKUP($A4,Index!$B$2:$B$103,Index!$C$2:$C$103,"Not Found")),"")</f>
        <v>E</v>
      </c>
      <c r="D4" s="1" t="str">
        <f t="array" ref="D4">IF(NOT(ISBLANK(A4)), (_xlfn.XLOOKUP($A4,Index!$B$2:B$103,Index!$A$2:$A$103,"Not Found")),"")</f>
        <v>base1-67</v>
      </c>
      <c r="E4" s="2" t="str">
        <f t="array" ref="E4">IF(NOT(ISBLANK($A4)), (_xlfn.XLOOKUP($A4,Index!$B$2:$B$103,Index!$D$2:$D$103,"Not Found")),"")</f>
        <v>b</v>
      </c>
      <c r="F4" s="1" t="str">
        <f t="array" ref="F4">IF(NOT(ISBLANK($A4)), (_xlfn.XLOOKUP($A4,Index!$B$2:$B$103,Index!$E$2:$E$103,"Not Found")),"")</f>
        <v>y</v>
      </c>
      <c r="G4" s="1">
        <f t="array" ref="G4">IF(NOT(ISBLANK(A4)), ((_xlfn.XLOOKUP(A4,Index!$B$2:$B$103,Index!$F$2:$F$103,"Not Found"))*B4),"")</f>
        <v>0</v>
      </c>
      <c r="K4" s="1" t="s">
        <v>33</v>
      </c>
      <c r="L4" s="4">
        <f t="shared" si="1"/>
        <v>8</v>
      </c>
      <c r="M4" s="1">
        <f t="shared" si="2"/>
        <v>5</v>
      </c>
      <c r="N4" s="1">
        <f t="shared" si="3"/>
        <v>2</v>
      </c>
      <c r="O4" s="1">
        <f t="shared" si="4"/>
        <v>1</v>
      </c>
      <c r="P4" s="1">
        <f t="shared" si="5"/>
        <v>0</v>
      </c>
      <c r="Q4" s="1">
        <f t="shared" si="6"/>
        <v>0</v>
      </c>
    </row>
    <row r="5">
      <c r="A5" s="1" t="s">
        <v>92</v>
      </c>
      <c r="B5" s="1">
        <v>1.0</v>
      </c>
      <c r="C5" s="1" t="str">
        <f t="array" ref="C5">IF(NOT(ISBLANK($A5)), (_xlfn.XLOOKUP($A5,Index!$B$2:$B$103,Index!$C$2:$C$103,"Not Found")),"")</f>
        <v>E</v>
      </c>
      <c r="D5" s="1" t="str">
        <f t="array" ref="D5">IF(NOT(ISBLANK(A5)), (_xlfn.XLOOKUP($A5,Index!$B$2:B$103,Index!$A$2:$A$103,"Not Found")),"")</f>
        <v>base1-21</v>
      </c>
      <c r="E5" s="2">
        <f t="array" ref="E5">IF(NOT(ISBLANK($A5)), (_xlfn.XLOOKUP($A5,Index!$B$2:$B$103,Index!$D$2:$D$103,"Not Found")),"")</f>
        <v>1</v>
      </c>
      <c r="F5" s="1" t="str">
        <f t="array" ref="F5">IF(NOT(ISBLANK($A5)), (_xlfn.XLOOKUP($A5,Index!$B$2:$B$103,Index!$E$2:$E$103,"Not Found")),"")</f>
        <v>n</v>
      </c>
      <c r="G5" s="1">
        <f t="array" ref="G5">IF(NOT(ISBLANK(A5)), ((_xlfn.XLOOKUP(A5,Index!$B$2:$B$103,Index!$F$2:$F$103,"Not Found"))*B5),"")</f>
        <v>2</v>
      </c>
      <c r="L5" s="4" t="str">
        <f t="shared" si="1"/>
        <v/>
      </c>
      <c r="M5" s="1" t="str">
        <f t="shared" si="2"/>
        <v/>
      </c>
      <c r="N5" s="1" t="str">
        <f t="shared" si="3"/>
        <v/>
      </c>
      <c r="O5" s="1" t="str">
        <f t="shared" si="4"/>
        <v/>
      </c>
      <c r="P5" s="1" t="str">
        <f t="shared" si="5"/>
        <v/>
      </c>
      <c r="Q5" s="1" t="str">
        <f t="shared" si="6"/>
        <v/>
      </c>
    </row>
    <row r="6">
      <c r="A6" s="1" t="s">
        <v>164</v>
      </c>
      <c r="B6" s="1">
        <v>3.0</v>
      </c>
      <c r="C6" s="1" t="str">
        <f t="array" ref="C6">IF(NOT(ISBLANK($A6)), (_xlfn.XLOOKUP($A6,Index!$B$2:$B$103,Index!$C$2:$C$103,"Not Found")),"")</f>
        <v>F</v>
      </c>
      <c r="D6" s="1" t="str">
        <f t="array" ref="D6">IF(NOT(ISBLANK(A6)), (_xlfn.XLOOKUP($A6,Index!$B$2:B$103,Index!$A$2:$A$103,"Not Found")),"")</f>
        <v>base1-52</v>
      </c>
      <c r="E6" s="2" t="str">
        <f t="array" ref="E6">IF(NOT(ISBLANK($A6)), (_xlfn.XLOOKUP($A6,Index!$B$2:$B$103,Index!$D$2:$D$103,"Not Found")),"")</f>
        <v>b</v>
      </c>
      <c r="F6" s="1" t="str">
        <f t="array" ref="F6">IF(NOT(ISBLANK($A6)), (_xlfn.XLOOKUP($A6,Index!$B$2:$B$103,Index!$E$2:$E$103,"Not Found")),"")</f>
        <v>y</v>
      </c>
      <c r="G6" s="1">
        <f t="array" ref="G6">IF(NOT(ISBLANK(A6)), ((_xlfn.XLOOKUP(A6,Index!$B$2:$B$103,Index!$F$2:$F$103,"Not Found"))*B6),"")</f>
        <v>0</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127</v>
      </c>
      <c r="B7" s="1">
        <v>2.0</v>
      </c>
      <c r="C7" s="1" t="str">
        <f t="array" ref="C7">IF(NOT(ISBLANK($A7)), (_xlfn.XLOOKUP($A7,Index!$B$2:$B$103,Index!$C$2:$C$103,"Not Found")),"")</f>
        <v>F</v>
      </c>
      <c r="D7" s="1" t="str">
        <f t="array" ref="D7">IF(NOT(ISBLANK(A7)), (_xlfn.XLOOKUP($A7,Index!$B$2:B$103,Index!$A$2:$A$103,"Not Found")),"")</f>
        <v>base1-34</v>
      </c>
      <c r="E7" s="2">
        <f t="array" ref="E7">IF(NOT(ISBLANK($A7)), (_xlfn.XLOOKUP($A7,Index!$B$2:$B$103,Index!$D$2:$D$103,"Not Found")),"")</f>
        <v>1</v>
      </c>
      <c r="F7" s="1" t="str">
        <f t="array" ref="F7">IF(NOT(ISBLANK($A7)), (_xlfn.XLOOKUP($A7,Index!$B$2:$B$103,Index!$E$2:$E$103,"Not Found")),"")</f>
        <v>y</v>
      </c>
      <c r="G7" s="1">
        <f t="array" ref="G7">IF(NOT(ISBLANK(A7)), ((_xlfn.XLOOKUP(A7,Index!$B$2:$B$103,Index!$F$2:$F$103,"Not Found"))*B7),"")</f>
        <v>0</v>
      </c>
      <c r="K7" s="1" t="s">
        <v>267</v>
      </c>
      <c r="L7" s="4">
        <f t="shared" ref="L7:Q7" si="7">SUM(L2:L6)</f>
        <v>23</v>
      </c>
      <c r="M7" s="4">
        <f t="shared" si="7"/>
        <v>15</v>
      </c>
      <c r="N7" s="4">
        <f t="shared" si="7"/>
        <v>4</v>
      </c>
      <c r="O7" s="4">
        <f t="shared" si="7"/>
        <v>3</v>
      </c>
      <c r="P7" s="4">
        <f t="shared" si="7"/>
        <v>1</v>
      </c>
      <c r="Q7" s="4">
        <f t="shared" si="7"/>
        <v>1</v>
      </c>
    </row>
    <row r="8">
      <c r="A8" s="1" t="s">
        <v>53</v>
      </c>
      <c r="B8" s="1">
        <v>1.0</v>
      </c>
      <c r="C8" s="1" t="str">
        <f t="array" ref="C8">IF(NOT(ISBLANK($A8)), (_xlfn.XLOOKUP($A8,Index!$B$2:$B$103,Index!$C$2:$C$103,"Not Found")),"")</f>
        <v>F</v>
      </c>
      <c r="D8" s="1" t="str">
        <f t="array" ref="D8">IF(NOT(ISBLANK(A8)), (_xlfn.XLOOKUP($A8,Index!$B$2:B$103,Index!$A$2:$A$103,"Not Found")),"")</f>
        <v>base1-8</v>
      </c>
      <c r="E8" s="2">
        <f t="array" ref="E8">IF(NOT(ISBLANK($A8)), (_xlfn.XLOOKUP($A8,Index!$B$2:$B$103,Index!$D$2:$D$103,"Not Found")),"")</f>
        <v>2</v>
      </c>
      <c r="F8" s="1" t="str">
        <f t="array" ref="F8">IF(NOT(ISBLANK($A8)), (_xlfn.XLOOKUP($A8,Index!$B$2:$B$103,Index!$E$2:$E$103,"Not Found")),"")</f>
        <v/>
      </c>
      <c r="G8" s="1">
        <f t="array" ref="G8">IF(NOT(ISBLANK(A8)), ((_xlfn.XLOOKUP(A8,Index!$B$2:$B$103,Index!$F$2:$F$103,"Not Found"))*B8),"")</f>
        <v>3</v>
      </c>
    </row>
    <row r="9">
      <c r="A9" s="1" t="s">
        <v>174</v>
      </c>
      <c r="B9" s="1">
        <v>2.0</v>
      </c>
      <c r="C9" s="1" t="str">
        <f t="array" ref="C9">IF(NOT(ISBLANK($A9)), (_xlfn.XLOOKUP($A9,Index!$B$2:$B$103,Index!$C$2:$C$103,"Not Found")),"")</f>
        <v>C</v>
      </c>
      <c r="D9" s="1" t="str">
        <f t="array" ref="D9">IF(NOT(ISBLANK(A9)), (_xlfn.XLOOKUP($A9,Index!$B$2:B$103,Index!$A$2:$A$103,"Not Found")),"")</f>
        <v>base1-57</v>
      </c>
      <c r="E9" s="2" t="str">
        <f t="array" ref="E9">IF(NOT(ISBLANK($A9)), (_xlfn.XLOOKUP($A9,Index!$B$2:$B$103,Index!$D$2:$D$103,"Not Found")),"")</f>
        <v>b</v>
      </c>
      <c r="F9" s="1" t="str">
        <f t="array" ref="F9">IF(NOT(ISBLANK($A9)), (_xlfn.XLOOKUP($A9,Index!$B$2:$B$103,Index!$E$2:$E$103,"Not Found")),"")</f>
        <v>y</v>
      </c>
      <c r="G9" s="1">
        <f t="array" ref="G9">IF(NOT(ISBLANK(A9)), ((_xlfn.XLOOKUP(A9,Index!$B$2:$B$103,Index!$F$2:$F$103,"Not Found"))*B9),"")</f>
        <v>0</v>
      </c>
      <c r="M9" s="1" t="s">
        <v>268</v>
      </c>
      <c r="N9" s="1" t="s">
        <v>269</v>
      </c>
      <c r="O9" s="1" t="s">
        <v>270</v>
      </c>
    </row>
    <row r="10">
      <c r="A10" s="1" t="s">
        <v>96</v>
      </c>
      <c r="B10" s="1">
        <v>1.0</v>
      </c>
      <c r="C10" s="1" t="str">
        <f t="array" ref="C10">IF(NOT(ISBLANK($A10)), (_xlfn.XLOOKUP($A10,Index!$B$2:$B$103,Index!$C$2:$C$103,"Not Found")),"")</f>
        <v>C</v>
      </c>
      <c r="D10" s="1" t="str">
        <f t="array" ref="D10">IF(NOT(ISBLANK(A10)), (_xlfn.XLOOKUP($A10,Index!$B$2:B$103,Index!$A$2:$A$103,"Not Found")),"")</f>
        <v>base1-22</v>
      </c>
      <c r="E10" s="2">
        <f t="array" ref="E10">IF(NOT(ISBLANK($A10)), (_xlfn.XLOOKUP($A10,Index!$B$2:$B$103,Index!$D$2:$D$103,"Not Found")),"")</f>
        <v>1</v>
      </c>
      <c r="F10" s="1" t="str">
        <f t="array" ref="F10">IF(NOT(ISBLANK($A10)), (_xlfn.XLOOKUP($A10,Index!$B$2:$B$103,Index!$E$2:$E$103,"Not Found")),"")</f>
        <v>y</v>
      </c>
      <c r="G10" s="1">
        <f t="array" ref="G10">IF(NOT(ISBLANK(A10)), ((_xlfn.XLOOKUP(A10,Index!$B$2:$B$103,Index!$F$2:$F$103,"Not Found"))*B10),"")</f>
        <v>0</v>
      </c>
      <c r="K10" s="1" t="s">
        <v>271</v>
      </c>
      <c r="L10" s="4">
        <f>SUM(M10:P10)</f>
        <v>9</v>
      </c>
      <c r="M10" s="4">
        <f>IF(NOT(ISBLANK($K10)), SUMIFS($B$2:$B$32,$E$2:$E$32, "C", $C$2:$C$32,"T"), "")</f>
        <v>5</v>
      </c>
      <c r="N10" s="4">
        <f>IF(NOT(ISBLANK($K10)), SUMIFS($B$2:$B$32,$E$2:$E$32, "U", $C$2:$C$32,"T"), "")</f>
        <v>3</v>
      </c>
      <c r="O10" s="4">
        <f>IF(NOT(ISBLANK($K$2)), SUMIFS($B$2:$B$32,$E$2:$E$32, "R", $C$2:$C$32,"T"), "")</f>
        <v>1</v>
      </c>
    </row>
    <row r="11">
      <c r="A11" s="1" t="s">
        <v>162</v>
      </c>
      <c r="B11" s="1">
        <v>3.0</v>
      </c>
      <c r="C11" s="1" t="str">
        <f t="array" ref="C11">IF(NOT(ISBLANK($A11)), (_xlfn.XLOOKUP($A11,Index!$B$2:$B$103,Index!$C$2:$C$103,"Not Found")),"")</f>
        <v>C</v>
      </c>
      <c r="D11" s="1" t="str">
        <f t="array" ref="D11">IF(NOT(ISBLANK(A11)), (_xlfn.XLOOKUP($A11,Index!$B$2:B$103,Index!$A$2:$A$103,"Not Found")),"")</f>
        <v>base1-61</v>
      </c>
      <c r="E11" s="2" t="str">
        <f t="array" ref="E11">IF(NOT(ISBLANK($A11)), (_xlfn.XLOOKUP($A11,Index!$B$2:$B$103,Index!$D$2:$D$103,"Not Found")),"")</f>
        <v>b</v>
      </c>
      <c r="F11" s="1" t="str">
        <f t="array" ref="F11">IF(NOT(ISBLANK($A11)), (_xlfn.XLOOKUP($A11,Index!$B$2:$B$103,Index!$E$2:$E$103,"Not Found")),"")</f>
        <v>y</v>
      </c>
      <c r="G11" s="1">
        <f t="array" ref="G11">IF(NOT(ISBLANK(A11)), ((_xlfn.XLOOKUP(A11,Index!$B$2:$B$103,Index!$F$2:$F$103,"Not Found"))*B11),"")</f>
        <v>0</v>
      </c>
      <c r="K11" s="1" t="s">
        <v>254</v>
      </c>
      <c r="L11" s="1">
        <f>IF(NOT(ISBLANK($K$2)), SUMIFS($B$2:$B$32, $C$2:$C$32,"Energy"), "")</f>
        <v>28</v>
      </c>
    </row>
    <row r="12">
      <c r="A12" s="1" t="s">
        <v>139</v>
      </c>
      <c r="B12" s="1">
        <v>2.0</v>
      </c>
      <c r="C12" s="1" t="str">
        <f t="array" ref="C12">IF(NOT(ISBLANK($A12)), (_xlfn.XLOOKUP($A12,Index!$B$2:$B$103,Index!$C$2:$C$103,"Not Found")),"")</f>
        <v>C</v>
      </c>
      <c r="D12" s="1" t="str">
        <f t="array" ref="D12">IF(NOT(ISBLANK(A12)), (_xlfn.XLOOKUP($A12,Index!$B$2:B$103,Index!$A$2:$A$103,"Not Found")),"")</f>
        <v>base1-40</v>
      </c>
      <c r="E12" s="2">
        <f t="array" ref="E12">IF(NOT(ISBLANK($A12)), (_xlfn.XLOOKUP($A12,Index!$B$2:$B$103,Index!$D$2:$D$103,"Not Found")),"")</f>
        <v>1</v>
      </c>
      <c r="F12" s="1" t="str">
        <f t="array" ref="F12">IF(NOT(ISBLANK($A12)), (_xlfn.XLOOKUP($A12,Index!$B$2:$B$103,Index!$E$2:$E$103,"Not Found")),"")</f>
        <v>n</v>
      </c>
      <c r="G12" s="1">
        <f t="array" ref="G12">IF(NOT(ISBLANK(A12)), ((_xlfn.XLOOKUP(A12,Index!$B$2:$B$103,Index!$F$2:$F$103,"Not Found"))*B12),"")</f>
        <v>0</v>
      </c>
      <c r="K12" s="1" t="s">
        <v>272</v>
      </c>
      <c r="L12" s="4">
        <f>L7</f>
        <v>23</v>
      </c>
    </row>
    <row r="13">
      <c r="A13" s="1" t="s">
        <v>262</v>
      </c>
      <c r="B13" s="1">
        <v>15.0</v>
      </c>
      <c r="C13" s="1" t="str">
        <f t="array" ref="C13">IF(NOT(ISBLANK($A13)), (_xlfn.XLOOKUP($A13,Index!$B$2:$B$103,Index!$C$2:$C$103,"Not Found")),"")</f>
        <v>Energy</v>
      </c>
      <c r="D13" s="1" t="str">
        <f t="array" ref="D13">IF(NOT(ISBLANK(A13)), (_xlfn.XLOOKUP($A13,Index!$B$2:B$103,Index!$A$2:$A$103,"Not Found")),"")</f>
        <v>base1-100</v>
      </c>
      <c r="E13" s="2" t="str">
        <f t="array" ref="E13">IF(NOT(ISBLANK($A13)), (_xlfn.XLOOKUP($A13,Index!$B$2:$B$103,Index!$D$2:$D$103,"Not Found")),"")</f>
        <v/>
      </c>
      <c r="F13" s="1" t="str">
        <f t="array" ref="F13">IF(NOT(ISBLANK($A13)), (_xlfn.XLOOKUP($A13,Index!$B$2:$B$103,Index!$E$2:$E$103,"Not Found")),"")</f>
        <v/>
      </c>
      <c r="G13" s="1">
        <f t="array" ref="G13">IF(NOT(ISBLANK(A13)), ((_xlfn.XLOOKUP(A13,Index!$B$2:$B$103,Index!$F$2:$F$103,"Not Found"))*B13),"")</f>
        <v>0</v>
      </c>
    </row>
    <row r="14">
      <c r="A14" s="1" t="s">
        <v>256</v>
      </c>
      <c r="B14" s="1">
        <v>13.0</v>
      </c>
      <c r="C14" s="1" t="str">
        <f t="array" ref="C14">IF(NOT(ISBLANK($A14)), (_xlfn.XLOOKUP($A14,Index!$B$2:$B$103,Index!$C$2:$C$103,"Not Found")),"")</f>
        <v>Energy</v>
      </c>
      <c r="D14" s="1" t="str">
        <f t="array" ref="D14">IF(NOT(ISBLANK(A14)), (_xlfn.XLOOKUP($A14,Index!$B$2:B$103,Index!$A$2:$A$103,"Not Found")),"")</f>
        <v>base1-97</v>
      </c>
      <c r="E14" s="2" t="str">
        <f t="array" ref="E14">IF(NOT(ISBLANK($A14)), (_xlfn.XLOOKUP($A14,Index!$B$2:$B$103,Index!$D$2:$D$103,"Not Found")),"")</f>
        <v/>
      </c>
      <c r="F14" s="1" t="str">
        <f t="array" ref="F14">IF(NOT(ISBLANK($A14)), (_xlfn.XLOOKUP($A14,Index!$B$2:$B$103,Index!$E$2:$E$103,"Not Found")),"")</f>
        <v/>
      </c>
      <c r="G14" s="1">
        <f t="array" ref="G14">IF(NOT(ISBLANK(A14)), ((_xlfn.XLOOKUP(A14,Index!$B$2:$B$103,Index!$F$2:$F$103,"Not Found"))*B14),"")</f>
        <v>0</v>
      </c>
    </row>
    <row r="15">
      <c r="A15" s="1" t="s">
        <v>217</v>
      </c>
      <c r="B15" s="1">
        <v>1.0</v>
      </c>
      <c r="C15" s="1" t="str">
        <f t="array" ref="C15">IF(NOT(ISBLANK($A15)), (_xlfn.XLOOKUP($A15,Index!$B$2:$B$103,Index!$C$2:$C$103,"Not Found")),"")</f>
        <v>T</v>
      </c>
      <c r="D15" s="1" t="str">
        <f t="array" ref="D15">IF(NOT(ISBLANK(A15)), (_xlfn.XLOOKUP($A15,Index!$B$2:B$103,Index!$A$2:$A$103,"Not Found")),"")</f>
        <v>base1-79</v>
      </c>
      <c r="E15" s="2" t="str">
        <f t="array" ref="E15">IF(NOT(ISBLANK($A15)), (_xlfn.XLOOKUP($A15,Index!$B$2:$B$103,Index!$D$2:$D$103,"Not Found")),"")</f>
        <v>r</v>
      </c>
      <c r="F15" s="1" t="str">
        <f t="array" ref="F15">IF(NOT(ISBLANK($A15)), (_xlfn.XLOOKUP($A15,Index!$B$2:$B$103,Index!$E$2:$E$103,"Not Found")),"")</f>
        <v/>
      </c>
      <c r="G15" s="1">
        <f t="array" ref="G15">IF(NOT(ISBLANK(A15)), ((_xlfn.XLOOKUP(A15,Index!$B$2:$B$103,Index!$F$2:$F$103,"Not Found"))*B15),"")</f>
        <v>0</v>
      </c>
      <c r="K15" s="1" t="s">
        <v>273</v>
      </c>
    </row>
    <row r="16">
      <c r="A16" s="1" t="s">
        <v>236</v>
      </c>
      <c r="B16" s="1">
        <v>2.0</v>
      </c>
      <c r="C16" s="1" t="str">
        <f t="array" ref="C16">IF(NOT(ISBLANK($A16)), (_xlfn.XLOOKUP($A16,Index!$B$2:$B$103,Index!$C$2:$C$103,"Not Found")),"")</f>
        <v>T</v>
      </c>
      <c r="D16" s="1" t="str">
        <f t="array" ref="D16">IF(NOT(ISBLANK(A16)), (_xlfn.XLOOKUP($A16,Index!$B$2:B$103,Index!$A$2:$A$103,"Not Found")),"")</f>
        <v>base1-88</v>
      </c>
      <c r="E16" s="2" t="str">
        <f t="array" ref="E16">IF(NOT(ISBLANK($A16)), (_xlfn.XLOOKUP($A16,Index!$B$2:$B$103,Index!$D$2:$D$103,"Not Found")),"")</f>
        <v>u</v>
      </c>
      <c r="F16" s="1" t="str">
        <f t="array" ref="F16">IF(NOT(ISBLANK($A16)), (_xlfn.XLOOKUP($A16,Index!$B$2:$B$103,Index!$E$2:$E$103,"Not Found")),"")</f>
        <v/>
      </c>
      <c r="G16" s="1">
        <f t="array" ref="G16">IF(NOT(ISBLANK(A16)), ((_xlfn.XLOOKUP(A16,Index!$B$2:$B$103,Index!$F$2:$F$103,"Not Found"))*B16),"")</f>
        <v>0</v>
      </c>
      <c r="K16" s="4" t="str">
        <f t="shared" ref="K16:K20" si="8">K2</f>
        <v>E</v>
      </c>
      <c r="L16" s="1">
        <f t="shared" ref="L16:L19" si="9">IF(NOT(ISBLANK($K2)), SUMIFS($G$2:$G$32, $C$2:$C$32,$K2), "")</f>
        <v>4</v>
      </c>
    </row>
    <row r="17">
      <c r="A17" s="1" t="s">
        <v>242</v>
      </c>
      <c r="B17" s="1">
        <v>2.0</v>
      </c>
      <c r="C17" s="1" t="str">
        <f t="array" ref="C17">IF(NOT(ISBLANK($A17)), (_xlfn.XLOOKUP($A17,Index!$B$2:$B$103,Index!$C$2:$C$103,"Not Found")),"")</f>
        <v>T</v>
      </c>
      <c r="D17" s="1" t="str">
        <f t="array" ref="D17">IF(NOT(ISBLANK(A17)), (_xlfn.XLOOKUP($A17,Index!$B$2:B$103,Index!$A$2:$A$103,"Not Found")),"")</f>
        <v>base1-91</v>
      </c>
      <c r="E17" s="2" t="str">
        <f t="array" ref="E17">IF(NOT(ISBLANK($A17)), (_xlfn.XLOOKUP($A17,Index!$B$2:$B$103,Index!$D$2:$D$103,"Not Found")),"")</f>
        <v>c</v>
      </c>
      <c r="F17" s="1" t="str">
        <f t="array" ref="F17">IF(NOT(ISBLANK($A17)), (_xlfn.XLOOKUP($A17,Index!$B$2:$B$103,Index!$E$2:$E$103,"Not Found")),"")</f>
        <v/>
      </c>
      <c r="G17" s="1">
        <f t="array" ref="G17">IF(NOT(ISBLANK(A17)), ((_xlfn.XLOOKUP(A17,Index!$B$2:$B$103,Index!$F$2:$F$103,"Not Found"))*B17),"")</f>
        <v>0</v>
      </c>
      <c r="K17" s="4" t="str">
        <f t="shared" si="8"/>
        <v>F</v>
      </c>
      <c r="L17" s="1">
        <f t="shared" si="9"/>
        <v>3</v>
      </c>
    </row>
    <row r="18">
      <c r="A18" s="1" t="s">
        <v>247</v>
      </c>
      <c r="B18" s="1">
        <v>1.0</v>
      </c>
      <c r="C18" s="1" t="str">
        <f t="array" ref="C18">IF(NOT(ISBLANK($A18)), (_xlfn.XLOOKUP($A18,Index!$B$2:$B$103,Index!$C$2:$C$103,"Not Found")),"")</f>
        <v>T</v>
      </c>
      <c r="D18" s="1" t="str">
        <f t="array" ref="D18">IF(NOT(ISBLANK(A18)), (_xlfn.XLOOKUP($A18,Index!$B$2:B$103,Index!$A$2:$A$103,"Not Found")),"")</f>
        <v>base1-93</v>
      </c>
      <c r="E18" s="2" t="str">
        <f t="array" ref="E18">IF(NOT(ISBLANK($A18)), (_xlfn.XLOOKUP($A18,Index!$B$2:$B$103,Index!$D$2:$D$103,"Not Found")),"")</f>
        <v>c</v>
      </c>
      <c r="F18" s="1" t="str">
        <f t="array" ref="F18">IF(NOT(ISBLANK($A18)), (_xlfn.XLOOKUP($A18,Index!$B$2:$B$103,Index!$E$2:$E$103,"Not Found")),"")</f>
        <v/>
      </c>
      <c r="G18" s="1">
        <f t="array" ref="G18">IF(NOT(ISBLANK(A18)), ((_xlfn.XLOOKUP(A18,Index!$B$2:$B$103,Index!$F$2:$F$103,"Not Found"))*B18),"")</f>
        <v>0</v>
      </c>
      <c r="K18" s="4" t="str">
        <f t="shared" si="8"/>
        <v>C</v>
      </c>
      <c r="L18" s="1">
        <f t="shared" si="9"/>
        <v>0</v>
      </c>
    </row>
    <row r="19">
      <c r="A19" s="1" t="s">
        <v>249</v>
      </c>
      <c r="B19" s="1">
        <v>2.0</v>
      </c>
      <c r="C19" s="1" t="str">
        <f t="array" ref="C19">IF(NOT(ISBLANK($A19)), (_xlfn.XLOOKUP($A19,Index!$B$2:$B$103,Index!$C$2:$C$103,"Not Found")),"")</f>
        <v>T</v>
      </c>
      <c r="D19" s="1" t="str">
        <f t="array" ref="D19">IF(NOT(ISBLANK(A19)), (_xlfn.XLOOKUP($A19,Index!$B$2:B$103,Index!$A$2:$A$103,"Not Found")),"")</f>
        <v>base1-94</v>
      </c>
      <c r="E19" s="2" t="str">
        <f t="array" ref="E19">IF(NOT(ISBLANK($A19)), (_xlfn.XLOOKUP($A19,Index!$B$2:$B$103,Index!$D$2:$D$103,"Not Found")),"")</f>
        <v>c</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222</v>
      </c>
      <c r="B20" s="1">
        <v>1.0</v>
      </c>
      <c r="C20" s="1" t="str">
        <f t="array" ref="C20">IF(NOT(ISBLANK($A20)), (_xlfn.XLOOKUP($A20,Index!$B$2:$B$103,Index!$C$2:$C$103,"Not Found")),"")</f>
        <v>T</v>
      </c>
      <c r="D20" s="1" t="str">
        <f t="array" ref="D20">IF(NOT(ISBLANK(A20)), (_xlfn.XLOOKUP($A20,Index!$B$2:B$103,Index!$A$2:$A$103,"Not Found")),"")</f>
        <v>base1-81</v>
      </c>
      <c r="E20" s="2" t="str">
        <f t="array" ref="E20">IF(NOT(ISBLANK($A20)), (_xlfn.XLOOKUP($A20,Index!$B$2:$B$103,Index!$D$2:$D$103,"Not Found")),"")</f>
        <v>u</v>
      </c>
      <c r="F20" s="1" t="str">
        <f t="array" ref="F20">IF(NOT(ISBLANK($A20)), (_xlfn.XLOOKUP($A20,Index!$B$2:$B$103,Index!$E$2:$E$103,"Not Found")),"")</f>
        <v/>
      </c>
      <c r="G20" s="1">
        <f t="array" ref="G20">IF(NOT(ISBLANK(A20)), ((_xlfn.XLOOKUP(A20,Index!$B$2:$B$103,Index!$F$2:$F$103,"Not Found"))*B20),"")</f>
        <v>0</v>
      </c>
      <c r="K20" s="4" t="str">
        <f t="shared" si="8"/>
        <v/>
      </c>
    </row>
    <row r="21">
      <c r="A21" s="1" t="s">
        <v>172</v>
      </c>
      <c r="B21" s="1">
        <v>1.0</v>
      </c>
      <c r="C21" s="1" t="str">
        <f t="array" ref="C21">IF(NOT(ISBLANK($A21)), (_xlfn.XLOOKUP($A21,Index!$B$2:$B$103,Index!$C$2:$C$103,"Not Found")),"")</f>
        <v>F</v>
      </c>
      <c r="D21" s="1" t="str">
        <f t="array" ref="D21">IF(NOT(ISBLANK(A21)), (_xlfn.XLOOKUP($A21,Index!$B$2:B$103,Index!$A$2:$A$103,"Not Found")),"")</f>
        <v>base1-56</v>
      </c>
      <c r="E21" s="2" t="str">
        <f t="array" ref="E21">IF(NOT(ISBLANK($A21)), (_xlfn.XLOOKUP($A21,Index!$B$2:$B$103,Index!$D$2:$D$103,"Not Found")),"")</f>
        <v>b</v>
      </c>
      <c r="F21" s="1" t="str">
        <f t="array" ref="F21">IF(NOT(ISBLANK($A21)), (_xlfn.XLOOKUP($A21,Index!$B$2:$B$103,Index!$E$2:$E$103,"Not Found")),"")</f>
        <v>n</v>
      </c>
      <c r="G21" s="1">
        <f t="array" ref="G21">IF(NOT(ISBLANK(A21)), ((_xlfn.XLOOKUP(A21,Index!$B$2:$B$103,Index!$F$2:$F$103,"Not Found"))*B21),"")</f>
        <v>0</v>
      </c>
      <c r="K21" s="1" t="s">
        <v>274</v>
      </c>
      <c r="L21" s="4">
        <f>SUM(G2:G46)</f>
        <v>7</v>
      </c>
    </row>
    <row r="22">
      <c r="C22" s="1" t="str">
        <f t="array" ref="C22">IF(NOT(ISBLANK($A22)), (_xlfn.XLOOKUP($A22,Index!$B$2:$B$103,Index!$C$2:$C$103,"Not Found")),"")</f>
        <v/>
      </c>
      <c r="D22" s="1" t="str">
        <f t="array" ref="D22">IF(NOT(ISBLANK(A22)), (_xlfn.XLOOKUP($A22,Index!$B$2:B$103,Index!$A$2:$A$103,"Not Found")),"")</f>
        <v/>
      </c>
      <c r="E22" s="2" t="str">
        <f t="array" ref="E22">IF(NOT(ISBLANK($A22)), (_xlfn.XLOOKUP($A22,Index!$B$2:$B$103,Index!$D$2:$D$103,"Not Found")),"")</f>
        <v/>
      </c>
      <c r="F22" s="1" t="str">
        <f t="array" ref="F22">IF(NOT(ISBLANK($A22)), (_xlfn.XLOOKUP($A22,Index!$B$2:$B$103,Index!$E$2:$E$103,"Not Found")),"")</f>
        <v/>
      </c>
      <c r="G22" s="1" t="str">
        <f t="array" ref="G22">IF(NOT(ISBLANK(A22)), ((_xlfn.XLOOKUP(A22,Index!$B$2:$B$103,Index!$F$2:$F$103,"Not Found"))*B22),"")</f>
        <v/>
      </c>
    </row>
    <row r="23">
      <c r="C23" s="1" t="str">
        <f t="array" ref="C23">IF(NOT(ISBLANK($A23)), (_xlfn.XLOOKUP($A23,Index!$B$2:$B$103,Index!$C$2:$C$103,"Not Found")),"")</f>
        <v/>
      </c>
      <c r="D23" s="1" t="str">
        <f t="array" ref="D23">IF(NOT(ISBLANK(A23)), (_xlfn.XLOOKUP($A23,Index!$B$2:B$103,Index!$A$2:$A$103,"Not Found")),"")</f>
        <v/>
      </c>
      <c r="E23" s="2" t="str">
        <f t="array" ref="E23">IF(NOT(ISBLANK($A23)), (_xlfn.XLOOKUP($A23,Index!$B$2:$B$103,Index!$D$2:$D$103,"Not Found")),"")</f>
        <v/>
      </c>
      <c r="F23" s="1" t="str">
        <f t="array" ref="F23">IF(NOT(ISBLANK($A23)), (_xlfn.XLOOKUP($A23,Index!$B$2:$B$103,Index!$E$2:$E$103,"Not Found")),"")</f>
        <v/>
      </c>
      <c r="G23" s="1" t="str">
        <f t="array" ref="G23">IF(NOT(ISBLANK(A23)), ((_xlfn.XLOOKUP(A23,Index!$B$2:$B$103,Index!$F$2:$F$103,"Not Found"))*B23),"")</f>
        <v/>
      </c>
    </row>
    <row r="24">
      <c r="C24" s="1" t="str">
        <f t="array" ref="C24">IF(NOT(ISBLANK($A24)), (_xlfn.XLOOKUP($A24,Index!$B$2:$B$103,Index!$C$2:$C$103,"Not Found")),"")</f>
        <v/>
      </c>
      <c r="D24" s="1" t="str">
        <f t="array" ref="D24">IF(NOT(ISBLANK(A24)), (_xlfn.XLOOKUP($A24,Index!$B$2:B$103,Index!$A$2:$A$103,"Not Found")),"")</f>
        <v/>
      </c>
      <c r="E24" s="2" t="str">
        <f t="array" ref="E24">IF(NOT(ISBLANK($A24)), (_xlfn.XLOOKUP($A24,Index!$B$2:$B$103,Index!$D$2:$D$103,"Not Found")),"")</f>
        <v/>
      </c>
      <c r="F24" s="1" t="str">
        <f t="array" ref="F24">IF(NOT(ISBLANK($A24)), (_xlfn.XLOOKUP($A24,Index!$B$2:$B$103,Index!$E$2:$E$103,"Not Found")),"")</f>
        <v/>
      </c>
      <c r="G24" s="1" t="str">
        <f t="array" ref="G24">IF(NOT(ISBLANK(A24)), ((_xlfn.XLOOKUP(A24,Index!$B$2:$B$103,Index!$F$2:$F$103,"Not Found"))*B24),"")</f>
        <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178</v>
      </c>
      <c r="B2" s="1">
        <v>4.0</v>
      </c>
      <c r="C2" s="1" t="str">
        <f t="array" ref="C2">IF(NOT(ISBLANK($A2)), (_xlfn.XLOOKUP($A2,Index!$B$2:$B$103,Index!$C$2:$C$103,"Not Found")),"")</f>
        <v>W</v>
      </c>
      <c r="D2" s="1" t="str">
        <f t="array" ref="D2">IF(NOT(ISBLANK(A2)), (_xlfn.XLOOKUP($A2,Index!$B$2:B$103,Index!$A$2:$A$103,"Not Found")),"")</f>
        <v>base1-59</v>
      </c>
      <c r="E2" s="2" t="str">
        <f t="array" ref="E2">IF(NOT(ISBLANK($A2)), (_xlfn.XLOOKUP($A2,Index!$B$2:$B$103,Index!$D$2:$D$103,"Not Found")),"")</f>
        <v>b</v>
      </c>
      <c r="F2" s="1" t="str">
        <f t="array" ref="F2">IF(NOT(ISBLANK($A2)), (_xlfn.XLOOKUP($A2,Index!$B$2:$B$103,Index!$E$2:$E$103,"Not Found")),"")</f>
        <v>y</v>
      </c>
      <c r="G2" s="1">
        <f t="array" ref="G2">IF(NOT(ISBLANK(A2)), ((_xlfn.XLOOKUP(A2,Index!$B$2:$B$103,Index!$F$2:$F$103,"Not Found"))*B2),"")</f>
        <v>0</v>
      </c>
      <c r="I2" s="4">
        <f>SUM(B2:B38)</f>
        <v>60</v>
      </c>
      <c r="K2" s="1" t="s">
        <v>29</v>
      </c>
      <c r="L2" s="4">
        <f t="shared" ref="L2:L6" si="1">IF(NOT(ISBLANK(K2)), SUM(M2:P2), "")</f>
        <v>11</v>
      </c>
      <c r="M2" s="1">
        <f t="shared" ref="M2:M5" si="2">IF(NOT(ISBLANK($K2)), SUMIFS($B$2:$B$32, $E$2:$E$32, "B", $C$2:$C$32,$K2), "")</f>
        <v>7</v>
      </c>
      <c r="N2" s="1">
        <f t="shared" ref="N2:N5" si="3">IF(NOT(ISBLANK($K2)),SUMIFS($B$2:$B$32,$E$2:$E$32, "1", $C$2:$C$32,$K2,$F$2:$F$32,"N"), "")</f>
        <v>1</v>
      </c>
      <c r="O2" s="1">
        <f t="shared" ref="O2:O5" si="4">IF(NOT(ISBLANK($K2)),SUMIFS($B$2:$B$32,$E$2:$E$32, "1", $C$2:$C$32,$K2,$F$2:$F$32,"Y"), "")</f>
        <v>2</v>
      </c>
      <c r="P2" s="1">
        <f t="shared" ref="P2:P5" si="5">IF(NOT(ISBLANK($K2)),SUMIFS($B$2:$B$32,$E$2:$E$32, "2", $C$2:$C$32,$K2), "")</f>
        <v>1</v>
      </c>
      <c r="Q2" s="1">
        <f t="shared" ref="Q2:Q5" si="6">IF(NOT(ISBLANK($K2)),SUMIFS($B$2:$B$32,$E$2:$E$32, "B", $C$2:$C$32,$K2,$F$2:$F$32,"N"), "")</f>
        <v>0</v>
      </c>
    </row>
    <row r="3">
      <c r="A3" s="1" t="s">
        <v>135</v>
      </c>
      <c r="B3" s="1">
        <v>2.0</v>
      </c>
      <c r="C3" s="1" t="str">
        <f t="array" ref="C3">IF(NOT(ISBLANK($A3)), (_xlfn.XLOOKUP($A3,Index!$B$2:$B$103,Index!$C$2:$C$103,"Not Found")),"")</f>
        <v>W</v>
      </c>
      <c r="D3" s="1" t="str">
        <f t="array" ref="D3">IF(NOT(ISBLANK(A3)), (_xlfn.XLOOKUP($A3,Index!$B$2:B$103,Index!$A$2:$A$103,"Not Found")),"")</f>
        <v>base1-38</v>
      </c>
      <c r="E3" s="2">
        <f t="array" ref="E3">IF(NOT(ISBLANK($A3)), (_xlfn.XLOOKUP($A3,Index!$B$2:$B$103,Index!$D$2:$D$103,"Not Found")),"")</f>
        <v>1</v>
      </c>
      <c r="F3" s="1" t="str">
        <f t="array" ref="F3">IF(NOT(ISBLANK($A3)), (_xlfn.XLOOKUP($A3,Index!$B$2:$B$103,Index!$E$2:$E$103,"Not Found")),"")</f>
        <v>y</v>
      </c>
      <c r="G3" s="1">
        <f t="array" ref="G3">IF(NOT(ISBLANK(A3)), ((_xlfn.XLOOKUP(A3,Index!$B$2:$B$103,Index!$F$2:$F$103,"Not Found"))*B3),"")</f>
        <v>0</v>
      </c>
      <c r="K3" s="1" t="s">
        <v>22</v>
      </c>
      <c r="L3" s="4">
        <f t="shared" si="1"/>
        <v>7</v>
      </c>
      <c r="M3" s="1">
        <f t="shared" si="2"/>
        <v>6</v>
      </c>
      <c r="N3" s="1">
        <f t="shared" si="3"/>
        <v>0</v>
      </c>
      <c r="O3" s="1">
        <f t="shared" si="4"/>
        <v>1</v>
      </c>
      <c r="P3" s="1">
        <f t="shared" si="5"/>
        <v>0</v>
      </c>
      <c r="Q3" s="1">
        <f t="shared" si="6"/>
        <v>2</v>
      </c>
    </row>
    <row r="4">
      <c r="A4" s="1" t="s">
        <v>71</v>
      </c>
      <c r="B4" s="1">
        <v>1.0</v>
      </c>
      <c r="C4" s="1" t="str">
        <f t="array" ref="C4">IF(NOT(ISBLANK($A4)), (_xlfn.XLOOKUP($A4,Index!$B$2:$B$103,Index!$C$2:$C$103,"Not Found")),"")</f>
        <v>W</v>
      </c>
      <c r="D4" s="1" t="str">
        <f t="array" ref="D4">IF(NOT(ISBLANK(A4)), (_xlfn.XLOOKUP($A4,Index!$B$2:B$103,Index!$A$2:$A$103,"Not Found")),"")</f>
        <v>base1-13</v>
      </c>
      <c r="E4" s="2">
        <f t="array" ref="E4">IF(NOT(ISBLANK($A4)), (_xlfn.XLOOKUP($A4,Index!$B$2:$B$103,Index!$D$2:$D$103,"Not Found")),"")</f>
        <v>2</v>
      </c>
      <c r="F4" s="1" t="str">
        <f t="array" ref="F4">IF(NOT(ISBLANK($A4)), (_xlfn.XLOOKUP($A4,Index!$B$2:$B$103,Index!$E$2:$E$103,"Not Found")),"")</f>
        <v/>
      </c>
      <c r="G4" s="1">
        <f t="array" ref="G4">IF(NOT(ISBLANK(A4)), ((_xlfn.XLOOKUP(A4,Index!$B$2:$B$103,Index!$F$2:$F$103,"Not Found"))*B4),"")</f>
        <v>3</v>
      </c>
      <c r="K4" s="1" t="s">
        <v>33</v>
      </c>
      <c r="L4" s="4">
        <f t="shared" si="1"/>
        <v>3</v>
      </c>
      <c r="M4" s="1">
        <f t="shared" si="2"/>
        <v>3</v>
      </c>
      <c r="N4" s="1">
        <f t="shared" si="3"/>
        <v>0</v>
      </c>
      <c r="O4" s="1">
        <f t="shared" si="4"/>
        <v>0</v>
      </c>
      <c r="P4" s="1">
        <f t="shared" si="5"/>
        <v>0</v>
      </c>
      <c r="Q4" s="1">
        <f t="shared" si="6"/>
        <v>3</v>
      </c>
    </row>
    <row r="5">
      <c r="A5" s="1" t="s">
        <v>141</v>
      </c>
      <c r="B5" s="1">
        <v>3.0</v>
      </c>
      <c r="C5" s="1" t="str">
        <f t="array" ref="C5">IF(NOT(ISBLANK($A5)), (_xlfn.XLOOKUP($A5,Index!$B$2:$B$103,Index!$C$2:$C$103,"Not Found")),"")</f>
        <v>W</v>
      </c>
      <c r="D5" s="1" t="str">
        <f t="array" ref="D5">IF(NOT(ISBLANK(A5)), (_xlfn.XLOOKUP($A5,Index!$B$2:B$103,Index!$A$2:$A$103,"Not Found")),"")</f>
        <v>base1-41</v>
      </c>
      <c r="E5" s="2" t="str">
        <f t="array" ref="E5">IF(NOT(ISBLANK($A5)), (_xlfn.XLOOKUP($A5,Index!$B$2:$B$103,Index!$D$2:$D$103,"Not Found")),"")</f>
        <v>b</v>
      </c>
      <c r="F5" s="1" t="str">
        <f t="array" ref="F5">IF(NOT(ISBLANK($A5)), (_xlfn.XLOOKUP($A5,Index!$B$2:$B$103,Index!$E$2:$E$103,"Not Found")),"")</f>
        <v>y</v>
      </c>
      <c r="G5" s="1">
        <f t="array" ref="G5">IF(NOT(ISBLANK(A5)), ((_xlfn.XLOOKUP(A5,Index!$B$2:$B$103,Index!$F$2:$F$103,"Not Found"))*B5),"")</f>
        <v>0</v>
      </c>
      <c r="L5" s="4" t="str">
        <f t="shared" si="1"/>
        <v/>
      </c>
      <c r="M5" s="1" t="str">
        <f t="shared" si="2"/>
        <v/>
      </c>
      <c r="N5" s="1" t="str">
        <f t="shared" si="3"/>
        <v/>
      </c>
      <c r="O5" s="1" t="str">
        <f t="shared" si="4"/>
        <v/>
      </c>
      <c r="P5" s="1" t="str">
        <f t="shared" si="5"/>
        <v/>
      </c>
      <c r="Q5" s="1" t="str">
        <f t="shared" si="6"/>
        <v/>
      </c>
    </row>
    <row r="6">
      <c r="A6" s="1" t="s">
        <v>106</v>
      </c>
      <c r="B6" s="1">
        <v>1.0</v>
      </c>
      <c r="C6" s="1" t="str">
        <f t="array" ref="C6">IF(NOT(ISBLANK($A6)), (_xlfn.XLOOKUP($A6,Index!$B$2:$B$103,Index!$C$2:$C$103,"Not Found")),"")</f>
        <v>W</v>
      </c>
      <c r="D6" s="1" t="str">
        <f t="array" ref="D6">IF(NOT(ISBLANK(A6)), (_xlfn.XLOOKUP($A6,Index!$B$2:B$103,Index!$A$2:$A$103,"Not Found")),"")</f>
        <v>base1-25</v>
      </c>
      <c r="E6" s="2">
        <f t="array" ref="E6">IF(NOT(ISBLANK($A6)), (_xlfn.XLOOKUP($A6,Index!$B$2:$B$103,Index!$D$2:$D$103,"Not Found")),"")</f>
        <v>1</v>
      </c>
      <c r="F6" s="1" t="str">
        <f t="array" ref="F6">IF(NOT(ISBLANK($A6)), (_xlfn.XLOOKUP($A6,Index!$B$2:$B$103,Index!$E$2:$E$103,"Not Found")),"")</f>
        <v>n</v>
      </c>
      <c r="G6" s="1">
        <f t="array" ref="G6">IF(NOT(ISBLANK(A6)), ((_xlfn.XLOOKUP(A6,Index!$B$2:$B$103,Index!$F$2:$F$103,"Not Found"))*B6),"")</f>
        <v>2</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137</v>
      </c>
      <c r="B7" s="1">
        <v>1.0</v>
      </c>
      <c r="C7" s="1" t="str">
        <f t="array" ref="C7">IF(NOT(ISBLANK($A7)), (_xlfn.XLOOKUP($A7,Index!$B$2:$B$103,Index!$C$2:$C$103,"Not Found")),"")</f>
        <v>C</v>
      </c>
      <c r="D7" s="1" t="str">
        <f t="array" ref="D7">IF(NOT(ISBLANK(A7)), (_xlfn.XLOOKUP($A7,Index!$B$2:B$103,Index!$A$2:$A$103,"Not Found")),"")</f>
        <v>base1-39</v>
      </c>
      <c r="E7" s="2" t="str">
        <f t="array" ref="E7">IF(NOT(ISBLANK($A7)), (_xlfn.XLOOKUP($A7,Index!$B$2:$B$103,Index!$D$2:$D$103,"Not Found")),"")</f>
        <v>b</v>
      </c>
      <c r="F7" s="1" t="str">
        <f t="array" ref="F7">IF(NOT(ISBLANK($A7)), (_xlfn.XLOOKUP($A7,Index!$B$2:$B$103,Index!$E$2:$E$103,"Not Found")),"")</f>
        <v>n</v>
      </c>
      <c r="G7" s="1">
        <f t="array" ref="G7">IF(NOT(ISBLANK(A7)), ((_xlfn.XLOOKUP(A7,Index!$B$2:$B$103,Index!$F$2:$F$103,"Not Found"))*B7),"")</f>
        <v>0</v>
      </c>
      <c r="K7" s="1" t="s">
        <v>267</v>
      </c>
      <c r="L7" s="4">
        <f t="shared" ref="L7:Q7" si="7">SUM(L2:L6)</f>
        <v>21</v>
      </c>
      <c r="M7" s="4">
        <f t="shared" si="7"/>
        <v>16</v>
      </c>
      <c r="N7" s="4">
        <f t="shared" si="7"/>
        <v>1</v>
      </c>
      <c r="O7" s="4">
        <f t="shared" si="7"/>
        <v>3</v>
      </c>
      <c r="P7" s="4">
        <f t="shared" si="7"/>
        <v>1</v>
      </c>
      <c r="Q7" s="4">
        <f t="shared" si="7"/>
        <v>5</v>
      </c>
    </row>
    <row r="8">
      <c r="A8" s="1" t="s">
        <v>24</v>
      </c>
      <c r="B8" s="1">
        <v>2.0</v>
      </c>
      <c r="C8" s="1" t="str">
        <f t="array" ref="C8">IF(NOT(ISBLANK($A8)), (_xlfn.XLOOKUP($A8,Index!$B$2:$B$103,Index!$C$2:$C$103,"Not Found")),"")</f>
        <v>P</v>
      </c>
      <c r="D8" s="1" t="str">
        <f t="array" ref="D8">IF(NOT(ISBLANK(A8)), (_xlfn.XLOOKUP($A8,Index!$B$2:B$103,Index!$A$2:$A$103,"Not Found")),"")</f>
        <v>base1-43</v>
      </c>
      <c r="E8" s="2" t="str">
        <f t="array" ref="E8">IF(NOT(ISBLANK($A8)), (_xlfn.XLOOKUP($A8,Index!$B$2:$B$103,Index!$D$2:$D$103,"Not Found")),"")</f>
        <v>b</v>
      </c>
      <c r="F8" s="1" t="str">
        <f t="array" ref="F8">IF(NOT(ISBLANK($A8)), (_xlfn.XLOOKUP($A8,Index!$B$2:$B$103,Index!$E$2:$E$103,"Not Found")),"")</f>
        <v>y</v>
      </c>
      <c r="G8" s="1">
        <f t="array" ref="G8">IF(NOT(ISBLANK(A8)), ((_xlfn.XLOOKUP(A8,Index!$B$2:$B$103,Index!$F$2:$F$103,"Not Found"))*B8),"")</f>
        <v>0</v>
      </c>
    </row>
    <row r="9">
      <c r="A9" s="1" t="s">
        <v>123</v>
      </c>
      <c r="B9" s="1">
        <v>1.0</v>
      </c>
      <c r="C9" s="1" t="str">
        <f t="array" ref="C9">IF(NOT(ISBLANK($A9)), (_xlfn.XLOOKUP($A9,Index!$B$2:$B$103,Index!$C$2:$C$103,"Not Found")),"")</f>
        <v>P</v>
      </c>
      <c r="D9" s="1" t="str">
        <f t="array" ref="D9">IF(NOT(ISBLANK(A9)), (_xlfn.XLOOKUP($A9,Index!$B$2:B$103,Index!$A$2:$A$103,"Not Found")),"")</f>
        <v>base1-32</v>
      </c>
      <c r="E9" s="2">
        <f t="array" ref="E9">IF(NOT(ISBLANK($A9)), (_xlfn.XLOOKUP($A9,Index!$B$2:$B$103,Index!$D$2:$D$103,"Not Found")),"")</f>
        <v>1</v>
      </c>
      <c r="F9" s="1" t="str">
        <f t="array" ref="F9">IF(NOT(ISBLANK($A9)), (_xlfn.XLOOKUP($A9,Index!$B$2:$B$103,Index!$E$2:$E$103,"Not Found")),"")</f>
        <v>y</v>
      </c>
      <c r="G9" s="1">
        <f t="array" ref="G9">IF(NOT(ISBLANK(A9)), ((_xlfn.XLOOKUP(A9,Index!$B$2:$B$103,Index!$F$2:$F$103,"Not Found"))*B9),"")</f>
        <v>0</v>
      </c>
      <c r="M9" s="1" t="s">
        <v>268</v>
      </c>
      <c r="N9" s="1" t="s">
        <v>269</v>
      </c>
      <c r="O9" s="1" t="s">
        <v>270</v>
      </c>
    </row>
    <row r="10">
      <c r="A10" s="1" t="s">
        <v>157</v>
      </c>
      <c r="B10" s="1">
        <v>2.0</v>
      </c>
      <c r="C10" s="1" t="str">
        <f t="array" ref="C10">IF(NOT(ISBLANK($A10)), (_xlfn.XLOOKUP($A10,Index!$B$2:$B$103,Index!$C$2:$C$103,"Not Found")),"")</f>
        <v>P</v>
      </c>
      <c r="D10" s="1" t="str">
        <f t="array" ref="D10">IF(NOT(ISBLANK(A10)), (_xlfn.XLOOKUP($A10,Index!$B$2:B$103,Index!$A$2:$A$103,"Not Found")),"")</f>
        <v>base1-49</v>
      </c>
      <c r="E10" s="2" t="str">
        <f t="array" ref="E10">IF(NOT(ISBLANK($A10)), (_xlfn.XLOOKUP($A10,Index!$B$2:$B$103,Index!$D$2:$D$103,"Not Found")),"")</f>
        <v>b</v>
      </c>
      <c r="F10" s="1" t="str">
        <f t="array" ref="F10">IF(NOT(ISBLANK($A10)), (_xlfn.XLOOKUP($A10,Index!$B$2:$B$103,Index!$E$2:$E$103,"Not Found")),"")</f>
        <v>y</v>
      </c>
      <c r="G10" s="1">
        <f t="array" ref="G10">IF(NOT(ISBLANK(A10)), ((_xlfn.XLOOKUP(A10,Index!$B$2:$B$103,Index!$F$2:$F$103,"Not Found"))*B10),"")</f>
        <v>0</v>
      </c>
      <c r="K10" s="1" t="s">
        <v>271</v>
      </c>
      <c r="L10" s="4">
        <f>SUM(M10:P10)</f>
        <v>11</v>
      </c>
      <c r="M10" s="4">
        <f>IF(NOT(ISBLANK($K10)), SUMIFS($B$2:$B$32,$E$2:$E$32, "C", $C$2:$C$32,"T"), "")</f>
        <v>7</v>
      </c>
      <c r="N10" s="4">
        <f>IF(NOT(ISBLANK($K10)), SUMIFS($B$2:$B$32,$E$2:$E$32, "U", $C$2:$C$32,"T"), "")</f>
        <v>3</v>
      </c>
      <c r="O10" s="4">
        <f>IF(NOT(ISBLANK($K$2)), SUMIFS($B$2:$B$32,$E$2:$E$32, "R", $C$2:$C$32,"T"), "")</f>
        <v>1</v>
      </c>
    </row>
    <row r="11">
      <c r="A11" s="1" t="s">
        <v>121</v>
      </c>
      <c r="B11" s="1">
        <v>1.0</v>
      </c>
      <c r="C11" s="1" t="str">
        <f t="array" ref="C11">IF(NOT(ISBLANK($A11)), (_xlfn.XLOOKUP($A11,Index!$B$2:$B$103,Index!$C$2:$C$103,"Not Found")),"")</f>
        <v>P</v>
      </c>
      <c r="D11" s="1" t="str">
        <f t="array" ref="D11">IF(NOT(ISBLANK(A11)), (_xlfn.XLOOKUP($A11,Index!$B$2:B$103,Index!$A$2:$A$103,"Not Found")),"")</f>
        <v>base1-31</v>
      </c>
      <c r="E11" s="2" t="str">
        <f t="array" ref="E11">IF(NOT(ISBLANK($A11)), (_xlfn.XLOOKUP($A11,Index!$B$2:$B$103,Index!$D$2:$D$103,"Not Found")),"")</f>
        <v>b</v>
      </c>
      <c r="F11" s="1" t="str">
        <f t="array" ref="F11">IF(NOT(ISBLANK($A11)), (_xlfn.XLOOKUP($A11,Index!$B$2:$B$103,Index!$E$2:$E$103,"Not Found")),"")</f>
        <v>n</v>
      </c>
      <c r="G11" s="1">
        <f t="array" ref="G11">IF(NOT(ISBLANK(A11)), ((_xlfn.XLOOKUP(A11,Index!$B$2:$B$103,Index!$F$2:$F$103,"Not Found"))*B11),"")</f>
        <v>1</v>
      </c>
      <c r="K11" s="1" t="s">
        <v>254</v>
      </c>
      <c r="L11" s="1">
        <f>IF(NOT(ISBLANK($K$2)), SUMIFS($B$2:$B$32, $C$2:$C$32,"Energy"), "")</f>
        <v>28</v>
      </c>
    </row>
    <row r="12">
      <c r="A12" s="1" t="s">
        <v>60</v>
      </c>
      <c r="B12" s="1">
        <v>1.0</v>
      </c>
      <c r="C12" s="1" t="str">
        <f t="array" ref="C12">IF(NOT(ISBLANK($A12)), (_xlfn.XLOOKUP($A12,Index!$B$2:$B$103,Index!$C$2:$C$103,"Not Found")),"")</f>
        <v>P</v>
      </c>
      <c r="D12" s="1" t="str">
        <f t="array" ref="D12">IF(NOT(ISBLANK(A12)), (_xlfn.XLOOKUP($A12,Index!$B$2:B$103,Index!$A$2:$A$103,"Not Found")),"")</f>
        <v>base1-10</v>
      </c>
      <c r="E12" s="2" t="str">
        <f t="array" ref="E12">IF(NOT(ISBLANK($A12)), (_xlfn.XLOOKUP($A12,Index!$B$2:$B$103,Index!$D$2:$D$103,"Not Found")),"")</f>
        <v>b</v>
      </c>
      <c r="F12" s="1" t="str">
        <f t="array" ref="F12">IF(NOT(ISBLANK($A12)), (_xlfn.XLOOKUP($A12,Index!$B$2:$B$103,Index!$E$2:$E$103,"Not Found")),"")</f>
        <v>n</v>
      </c>
      <c r="G12" s="1">
        <f t="array" ref="G12">IF(NOT(ISBLANK(A12)), ((_xlfn.XLOOKUP(A12,Index!$B$2:$B$103,Index!$F$2:$F$103,"Not Found"))*B12),"")</f>
        <v>1</v>
      </c>
      <c r="K12" s="1" t="s">
        <v>272</v>
      </c>
      <c r="L12" s="4">
        <f>L7</f>
        <v>21</v>
      </c>
    </row>
    <row r="13">
      <c r="A13" s="1" t="s">
        <v>112</v>
      </c>
      <c r="B13" s="1">
        <v>2.0</v>
      </c>
      <c r="C13" s="1" t="str">
        <f t="array" ref="C13">IF(NOT(ISBLANK($A13)), (_xlfn.XLOOKUP($A13,Index!$B$2:$B$103,Index!$C$2:$C$103,"Not Found")),"")</f>
        <v>C</v>
      </c>
      <c r="D13" s="1" t="str">
        <f t="array" ref="D13">IF(NOT(ISBLANK(A13)), (_xlfn.XLOOKUP($A13,Index!$B$2:B$103,Index!$A$2:$A$103,"Not Found")),"")</f>
        <v>base1-27</v>
      </c>
      <c r="E13" s="2" t="str">
        <f t="array" ref="E13">IF(NOT(ISBLANK($A13)), (_xlfn.XLOOKUP($A13,Index!$B$2:$B$103,Index!$D$2:$D$103,"Not Found")),"")</f>
        <v>b</v>
      </c>
      <c r="F13" s="1" t="str">
        <f t="array" ref="F13">IF(NOT(ISBLANK($A13)), (_xlfn.XLOOKUP($A13,Index!$B$2:$B$103,Index!$E$2:$E$103,"Not Found")),"")</f>
        <v>n</v>
      </c>
      <c r="G13" s="1">
        <f t="array" ref="G13">IF(NOT(ISBLANK(A13)), ((_xlfn.XLOOKUP(A13,Index!$B$2:$B$103,Index!$F$2:$F$103,"Not Found"))*B13),"")</f>
        <v>0</v>
      </c>
    </row>
    <row r="14">
      <c r="A14" s="1" t="s">
        <v>266</v>
      </c>
      <c r="B14" s="1">
        <v>17.0</v>
      </c>
      <c r="C14" s="1" t="str">
        <f t="array" ref="C14">IF(NOT(ISBLANK($A14)), (_xlfn.XLOOKUP($A14,Index!$B$2:$B$103,Index!$C$2:$C$103,"Not Found")),"")</f>
        <v>Energy</v>
      </c>
      <c r="D14" s="1" t="str">
        <f t="array" ref="D14">IF(NOT(ISBLANK(A14)), (_xlfn.XLOOKUP($A14,Index!$B$2:B$103,Index!$A$2:$A$103,"Not Found")),"")</f>
        <v>base1-102</v>
      </c>
      <c r="E14" s="2" t="str">
        <f t="array" ref="E14">IF(NOT(ISBLANK($A14)), (_xlfn.XLOOKUP($A14,Index!$B$2:$B$103,Index!$D$2:$D$103,"Not Found")),"")</f>
        <v/>
      </c>
      <c r="F14" s="1" t="str">
        <f t="array" ref="F14">IF(NOT(ISBLANK($A14)), (_xlfn.XLOOKUP($A14,Index!$B$2:$B$103,Index!$E$2:$E$103,"Not Found")),"")</f>
        <v/>
      </c>
      <c r="G14" s="1">
        <f t="array" ref="G14">IF(NOT(ISBLANK(A14)), ((_xlfn.XLOOKUP(A14,Index!$B$2:$B$103,Index!$F$2:$F$103,"Not Found"))*B14),"")</f>
        <v>0</v>
      </c>
    </row>
    <row r="15">
      <c r="A15" s="1" t="s">
        <v>264</v>
      </c>
      <c r="B15" s="1">
        <v>11.0</v>
      </c>
      <c r="C15" s="1" t="str">
        <f t="array" ref="C15">IF(NOT(ISBLANK($A15)), (_xlfn.XLOOKUP($A15,Index!$B$2:$B$103,Index!$C$2:$C$103,"Not Found")),"")</f>
        <v>Energy</v>
      </c>
      <c r="D15" s="1" t="str">
        <f t="array" ref="D15">IF(NOT(ISBLANK(A15)), (_xlfn.XLOOKUP($A15,Index!$B$2:B$103,Index!$A$2:$A$103,"Not Found")),"")</f>
        <v>base1-101</v>
      </c>
      <c r="E15" s="2" t="str">
        <f t="array" ref="E15">IF(NOT(ISBLANK($A15)), (_xlfn.XLOOKUP($A15,Index!$B$2:$B$103,Index!$D$2:$D$103,"Not Found")),"")</f>
        <v/>
      </c>
      <c r="F15" s="1" t="str">
        <f t="array" ref="F15">IF(NOT(ISBLANK($A15)), (_xlfn.XLOOKUP($A15,Index!$B$2:$B$103,Index!$E$2:$E$103,"Not Found")),"")</f>
        <v/>
      </c>
      <c r="G15" s="1">
        <f t="array" ref="G15">IF(NOT(ISBLANK(A15)), ((_xlfn.XLOOKUP(A15,Index!$B$2:$B$103,Index!$F$2:$F$103,"Not Found"))*B15),"")</f>
        <v>0</v>
      </c>
      <c r="K15" s="1" t="s">
        <v>273</v>
      </c>
    </row>
    <row r="16">
      <c r="A16" s="1" t="s">
        <v>207</v>
      </c>
      <c r="B16" s="1">
        <v>1.0</v>
      </c>
      <c r="C16" s="1" t="str">
        <f t="array" ref="C16">IF(NOT(ISBLANK($A16)), (_xlfn.XLOOKUP($A16,Index!$B$2:$B$103,Index!$C$2:$C$103,"Not Found")),"")</f>
        <v>T</v>
      </c>
      <c r="D16" s="1" t="str">
        <f t="array" ref="D16">IF(NOT(ISBLANK(A16)), (_xlfn.XLOOKUP($A16,Index!$B$2:B$103,Index!$A$2:$A$103,"Not Found")),"")</f>
        <v>base1-74</v>
      </c>
      <c r="E16" s="2" t="str">
        <f t="array" ref="E16">IF(NOT(ISBLANK($A16)), (_xlfn.XLOOKUP($A16,Index!$B$2:$B$103,Index!$D$2:$D$103,"Not Found")),"")</f>
        <v>r</v>
      </c>
      <c r="F16" s="1" t="str">
        <f t="array" ref="F16">IF(NOT(ISBLANK($A16)), (_xlfn.XLOOKUP($A16,Index!$B$2:$B$103,Index!$E$2:$E$103,"Not Found")),"")</f>
        <v/>
      </c>
      <c r="G16" s="1">
        <f t="array" ref="G16">IF(NOT(ISBLANK(A16)), ((_xlfn.XLOOKUP(A16,Index!$B$2:$B$103,Index!$F$2:$F$103,"Not Found"))*B16),"")</f>
        <v>0</v>
      </c>
      <c r="K16" s="4" t="str">
        <f t="shared" ref="K16:K20" si="8">K2</f>
        <v>W</v>
      </c>
      <c r="L16" s="1">
        <f t="shared" ref="L16:L19" si="9">IF(NOT(ISBLANK($K2)), SUMIFS($G$2:$G$32, $C$2:$C$32,$K2), "")</f>
        <v>5</v>
      </c>
    </row>
    <row r="17">
      <c r="A17" s="1" t="s">
        <v>236</v>
      </c>
      <c r="B17" s="1">
        <v>1.0</v>
      </c>
      <c r="C17" s="1" t="str">
        <f t="array" ref="C17">IF(NOT(ISBLANK($A17)), (_xlfn.XLOOKUP($A17,Index!$B$2:$B$103,Index!$C$2:$C$103,"Not Found")),"")</f>
        <v>T</v>
      </c>
      <c r="D17" s="1" t="str">
        <f t="array" ref="D17">IF(NOT(ISBLANK(A17)), (_xlfn.XLOOKUP($A17,Index!$B$2:B$103,Index!$A$2:$A$103,"Not Found")),"")</f>
        <v>base1-88</v>
      </c>
      <c r="E17" s="2" t="str">
        <f t="array" ref="E17">IF(NOT(ISBLANK($A17)), (_xlfn.XLOOKUP($A17,Index!$B$2:$B$103,Index!$D$2:$D$103,"Not Found")),"")</f>
        <v>u</v>
      </c>
      <c r="F17" s="1" t="str">
        <f t="array" ref="F17">IF(NOT(ISBLANK($A17)), (_xlfn.XLOOKUP($A17,Index!$B$2:$B$103,Index!$E$2:$E$103,"Not Found")),"")</f>
        <v/>
      </c>
      <c r="G17" s="1">
        <f t="array" ref="G17">IF(NOT(ISBLANK(A17)), ((_xlfn.XLOOKUP(A17,Index!$B$2:$B$103,Index!$F$2:$F$103,"Not Found"))*B17),"")</f>
        <v>0</v>
      </c>
      <c r="K17" s="4" t="str">
        <f t="shared" si="8"/>
        <v>P</v>
      </c>
      <c r="L17" s="1">
        <f t="shared" si="9"/>
        <v>2</v>
      </c>
    </row>
    <row r="18">
      <c r="A18" s="1" t="s">
        <v>242</v>
      </c>
      <c r="B18" s="1">
        <v>2.0</v>
      </c>
      <c r="C18" s="1" t="str">
        <f t="array" ref="C18">IF(NOT(ISBLANK($A18)), (_xlfn.XLOOKUP($A18,Index!$B$2:$B$103,Index!$C$2:$C$103,"Not Found")),"")</f>
        <v>T</v>
      </c>
      <c r="D18" s="1" t="str">
        <f t="array" ref="D18">IF(NOT(ISBLANK(A18)), (_xlfn.XLOOKUP($A18,Index!$B$2:B$103,Index!$A$2:$A$103,"Not Found")),"")</f>
        <v>base1-91</v>
      </c>
      <c r="E18" s="2" t="str">
        <f t="array" ref="E18">IF(NOT(ISBLANK($A18)), (_xlfn.XLOOKUP($A18,Index!$B$2:$B$103,Index!$D$2:$D$103,"Not Found")),"")</f>
        <v>c</v>
      </c>
      <c r="F18" s="1" t="str">
        <f t="array" ref="F18">IF(NOT(ISBLANK($A18)), (_xlfn.XLOOKUP($A18,Index!$B$2:$B$103,Index!$E$2:$E$103,"Not Found")),"")</f>
        <v/>
      </c>
      <c r="G18" s="1">
        <f t="array" ref="G18">IF(NOT(ISBLANK(A18)), ((_xlfn.XLOOKUP(A18,Index!$B$2:$B$103,Index!$F$2:$F$103,"Not Found"))*B18),"")</f>
        <v>0</v>
      </c>
      <c r="K18" s="4" t="str">
        <f t="shared" si="8"/>
        <v>C</v>
      </c>
      <c r="L18" s="1">
        <f t="shared" si="9"/>
        <v>0</v>
      </c>
    </row>
    <row r="19">
      <c r="A19" s="1" t="s">
        <v>249</v>
      </c>
      <c r="B19" s="1">
        <v>2.0</v>
      </c>
      <c r="C19" s="1" t="str">
        <f t="array" ref="C19">IF(NOT(ISBLANK($A19)), (_xlfn.XLOOKUP($A19,Index!$B$2:$B$103,Index!$C$2:$C$103,"Not Found")),"")</f>
        <v>T</v>
      </c>
      <c r="D19" s="1" t="str">
        <f t="array" ref="D19">IF(NOT(ISBLANK(A19)), (_xlfn.XLOOKUP($A19,Index!$B$2:B$103,Index!$A$2:$A$103,"Not Found")),"")</f>
        <v>base1-94</v>
      </c>
      <c r="E19" s="2" t="str">
        <f t="array" ref="E19">IF(NOT(ISBLANK($A19)), (_xlfn.XLOOKUP($A19,Index!$B$2:$B$103,Index!$D$2:$D$103,"Not Found")),"")</f>
        <v>c</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251</v>
      </c>
      <c r="B20" s="1">
        <v>2.0</v>
      </c>
      <c r="C20" s="1" t="str">
        <f t="array" ref="C20">IF(NOT(ISBLANK($A20)), (_xlfn.XLOOKUP($A20,Index!$B$2:$B$103,Index!$C$2:$C$103,"Not Found")),"")</f>
        <v>T</v>
      </c>
      <c r="D20" s="1" t="str">
        <f t="array" ref="D20">IF(NOT(ISBLANK(A20)), (_xlfn.XLOOKUP($A20,Index!$B$2:B$103,Index!$A$2:$A$103,"Not Found")),"")</f>
        <v>base1-95</v>
      </c>
      <c r="E20" s="2" t="str">
        <f t="array" ref="E20">IF(NOT(ISBLANK($A20)), (_xlfn.XLOOKUP($A20,Index!$B$2:$B$103,Index!$D$2:$D$103,"Not Found")),"")</f>
        <v>c</v>
      </c>
      <c r="F20" s="1" t="str">
        <f t="array" ref="F20">IF(NOT(ISBLANK($A20)), (_xlfn.XLOOKUP($A20,Index!$B$2:$B$103,Index!$E$2:$E$103,"Not Found")),"")</f>
        <v/>
      </c>
      <c r="G20" s="1">
        <f t="array" ref="G20">IF(NOT(ISBLANK(A20)), ((_xlfn.XLOOKUP(A20,Index!$B$2:$B$103,Index!$F$2:$F$103,"Not Found"))*B20),"")</f>
        <v>0</v>
      </c>
      <c r="K20" s="4" t="str">
        <f t="shared" si="8"/>
        <v/>
      </c>
    </row>
    <row r="21">
      <c r="A21" s="1" t="s">
        <v>234</v>
      </c>
      <c r="B21" s="1">
        <v>1.0</v>
      </c>
      <c r="C21" s="1" t="str">
        <f t="array" ref="C21">IF(NOT(ISBLANK($A21)), (_xlfn.XLOOKUP($A21,Index!$B$2:$B$103,Index!$C$2:$C$103,"Not Found")),"")</f>
        <v>T</v>
      </c>
      <c r="D21" s="1" t="str">
        <f t="array" ref="D21">IF(NOT(ISBLANK(A21)), (_xlfn.XLOOKUP($A21,Index!$B$2:B$103,Index!$A$2:$A$103,"Not Found")),"")</f>
        <v>base1-87</v>
      </c>
      <c r="E21" s="2" t="str">
        <f t="array" ref="E21">IF(NOT(ISBLANK($A21)), (_xlfn.XLOOKUP($A21,Index!$B$2:$B$103,Index!$D$2:$D$103,"Not Found")),"")</f>
        <v>u</v>
      </c>
      <c r="F21" s="1" t="str">
        <f t="array" ref="F21">IF(NOT(ISBLANK($A21)), (_xlfn.XLOOKUP($A21,Index!$B$2:$B$103,Index!$E$2:$E$103,"Not Found")),"")</f>
        <v/>
      </c>
      <c r="G21" s="1">
        <f t="array" ref="G21">IF(NOT(ISBLANK(A21)), ((_xlfn.XLOOKUP(A21,Index!$B$2:$B$103,Index!$F$2:$F$103,"Not Found"))*B21),"")</f>
        <v>0</v>
      </c>
      <c r="K21" s="1" t="s">
        <v>274</v>
      </c>
      <c r="L21" s="4">
        <f>SUM(G2:G46)</f>
        <v>7</v>
      </c>
    </row>
    <row r="22">
      <c r="A22" s="1" t="s">
        <v>245</v>
      </c>
      <c r="B22" s="1">
        <v>1.0</v>
      </c>
      <c r="C22" s="1" t="str">
        <f t="array" ref="C22">IF(NOT(ISBLANK($A22)), (_xlfn.XLOOKUP($A22,Index!$B$2:$B$103,Index!$C$2:$C$103,"Not Found")),"")</f>
        <v>T</v>
      </c>
      <c r="D22" s="1" t="str">
        <f t="array" ref="D22">IF(NOT(ISBLANK(A22)), (_xlfn.XLOOKUP($A22,Index!$B$2:B$103,Index!$A$2:$A$103,"Not Found")),"")</f>
        <v>base1-92</v>
      </c>
      <c r="E22" s="2" t="str">
        <f t="array" ref="E22">IF(NOT(ISBLANK($A22)), (_xlfn.XLOOKUP($A22,Index!$B$2:$B$103,Index!$D$2:$D$103,"Not Found")),"")</f>
        <v>c</v>
      </c>
      <c r="F22" s="1" t="str">
        <f t="array" ref="F22">IF(NOT(ISBLANK($A22)), (_xlfn.XLOOKUP($A22,Index!$B$2:$B$103,Index!$E$2:$E$103,"Not Found")),"")</f>
        <v/>
      </c>
      <c r="G22" s="1">
        <f t="array" ref="G22">IF(NOT(ISBLANK(A22)), ((_xlfn.XLOOKUP(A22,Index!$B$2:$B$103,Index!$F$2:$F$103,"Not Found"))*B22),"")</f>
        <v>0</v>
      </c>
    </row>
    <row r="23">
      <c r="A23" s="1" t="s">
        <v>224</v>
      </c>
      <c r="B23" s="1">
        <v>1.0</v>
      </c>
      <c r="C23" s="1" t="str">
        <f t="array" ref="C23">IF(NOT(ISBLANK($A23)), (_xlfn.XLOOKUP($A23,Index!$B$2:$B$103,Index!$C$2:$C$103,"Not Found")),"")</f>
        <v>T</v>
      </c>
      <c r="D23" s="1" t="str">
        <f t="array" ref="D23">IF(NOT(ISBLANK(A23)), (_xlfn.XLOOKUP($A23,Index!$B$2:B$103,Index!$A$2:$A$103,"Not Found")),"")</f>
        <v>base1-82</v>
      </c>
      <c r="E23" s="2" t="str">
        <f t="array" ref="E23">IF(NOT(ISBLANK($A23)), (_xlfn.XLOOKUP($A23,Index!$B$2:$B$103,Index!$D$2:$D$103,"Not Found")),"")</f>
        <v>u</v>
      </c>
      <c r="F23" s="1" t="str">
        <f t="array" ref="F23">IF(NOT(ISBLANK($A23)), (_xlfn.XLOOKUP($A23,Index!$B$2:$B$103,Index!$E$2:$E$103,"Not Found")),"")</f>
        <v/>
      </c>
      <c r="G23" s="1">
        <f t="array" ref="G23">IF(NOT(ISBLANK(A23)), ((_xlfn.XLOOKUP(A23,Index!$B$2:$B$103,Index!$F$2:$F$103,"Not Found"))*B23),"")</f>
        <v>0</v>
      </c>
    </row>
    <row r="24">
      <c r="C24" s="1" t="str">
        <f t="array" ref="C24">IF(NOT(ISBLANK($A24)), (_xlfn.XLOOKUP($A24,Index!$B$2:$B$103,Index!$C$2:$C$103,"Not Found")),"")</f>
        <v/>
      </c>
      <c r="D24" s="1" t="str">
        <f t="array" ref="D24">IF(NOT(ISBLANK(A24)), (_xlfn.XLOOKUP($A24,Index!$B$2:B$103,Index!$A$2:$A$103,"Not Found")),"")</f>
        <v/>
      </c>
      <c r="E24" s="2" t="str">
        <f t="array" ref="E24">IF(NOT(ISBLANK($A24)), (_xlfn.XLOOKUP($A24,Index!$B$2:$B$103,Index!$D$2:$D$103,"Not Found")),"")</f>
        <v/>
      </c>
      <c r="F24" s="1" t="str">
        <f t="array" ref="F24">IF(NOT(ISBLANK($A24)), (_xlfn.XLOOKUP($A24,Index!$B$2:$B$103,Index!$E$2:$E$103,"Not Found")),"")</f>
        <v/>
      </c>
      <c r="G24" s="1" t="str">
        <f t="array" ref="G24">IF(NOT(ISBLANK(A24)), ((_xlfn.XLOOKUP(A24,Index!$B$2:$B$103,Index!$F$2:$F$103,"Not Found"))*B24),"")</f>
        <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147</v>
      </c>
      <c r="B2" s="1">
        <v>4.0</v>
      </c>
      <c r="C2" s="1" t="str">
        <f t="array" ref="C2">IF(NOT(ISBLANK($A2)), (_xlfn.XLOOKUP($A2,Index!$B$2:$B$103,Index!$C$2:$C$103,"Not Found")),"")</f>
        <v>G</v>
      </c>
      <c r="D2" s="1" t="str">
        <f t="array" ref="D2">IF(NOT(ISBLANK(A2)), (_xlfn.XLOOKUP($A2,Index!$B$2:B$103,Index!$A$2:$A$103,"Not Found")),"")</f>
        <v>base1-44</v>
      </c>
      <c r="E2" s="2" t="str">
        <f t="array" ref="E2">IF(NOT(ISBLANK($A2)), (_xlfn.XLOOKUP($A2,Index!$B$2:$B$103,Index!$D$2:$D$103,"Not Found")),"")</f>
        <v>b</v>
      </c>
      <c r="F2" s="1" t="str">
        <f t="array" ref="F2">IF(NOT(ISBLANK($A2)), (_xlfn.XLOOKUP($A2,Index!$B$2:$B$103,Index!$E$2:$E$103,"Not Found")),"")</f>
        <v>y</v>
      </c>
      <c r="G2" s="1">
        <f t="array" ref="G2">IF(NOT(ISBLANK(A2)), ((_xlfn.XLOOKUP(A2,Index!$B$2:$B$103,Index!$F$2:$F$103,"Not Found"))*B2),"")</f>
        <v>0</v>
      </c>
      <c r="I2" s="4">
        <f>SUM(B2:B38)</f>
        <v>60</v>
      </c>
      <c r="K2" s="1" t="s">
        <v>65</v>
      </c>
      <c r="L2" s="4">
        <f t="shared" ref="L2:L6" si="1">IF(NOT(ISBLANK(K2)), SUM(M2:P2), "")</f>
        <v>18</v>
      </c>
      <c r="M2" s="1">
        <f t="shared" ref="M2:M5" si="2">IF(NOT(ISBLANK($K2)), SUMIFS($B$2:$B$32, $E$2:$E$32, "B", $C$2:$C$32,$K2), "")</f>
        <v>7</v>
      </c>
      <c r="N2" s="1">
        <f t="shared" ref="N2:N5" si="3">IF(NOT(ISBLANK($K2)),SUMIFS($B$2:$B$32,$E$2:$E$32, "1", $C$2:$C$32,$K2,$F$2:$F$32,"N"), "")</f>
        <v>0</v>
      </c>
      <c r="O2" s="1">
        <f t="shared" ref="O2:O5" si="4">IF(NOT(ISBLANK($K2)),SUMIFS($B$2:$B$32,$E$2:$E$32, "1", $C$2:$C$32,$K2,$F$2:$F$32,"Y"), "")</f>
        <v>8</v>
      </c>
      <c r="P2" s="1">
        <f t="shared" ref="P2:P5" si="5">IF(NOT(ISBLANK($K2)),SUMIFS($B$2:$B$32,$E$2:$E$32, "2", $C$2:$C$32,$K2), "")</f>
        <v>3</v>
      </c>
      <c r="Q2" s="1">
        <f t="shared" ref="Q2:Q5" si="6">IF(NOT(ISBLANK($K2)),SUMIFS($B$2:$B$32,$E$2:$E$32, "B", $C$2:$C$32,$K2,$F$2:$F$32,"N"), "")</f>
        <v>1</v>
      </c>
    </row>
    <row r="3">
      <c r="A3" s="1" t="s">
        <v>119</v>
      </c>
      <c r="B3" s="1">
        <v>3.0</v>
      </c>
      <c r="C3" s="1" t="str">
        <f t="array" ref="C3">IF(NOT(ISBLANK($A3)), (_xlfn.XLOOKUP($A3,Index!$B$2:$B$103,Index!$C$2:$C$103,"Not Found")),"")</f>
        <v>G</v>
      </c>
      <c r="D3" s="1" t="str">
        <f t="array" ref="D3">IF(NOT(ISBLANK(A3)), (_xlfn.XLOOKUP($A3,Index!$B$2:B$103,Index!$A$2:$A$103,"Not Found")),"")</f>
        <v>base1-30</v>
      </c>
      <c r="E3" s="2">
        <f t="array" ref="E3">IF(NOT(ISBLANK($A3)), (_xlfn.XLOOKUP($A3,Index!$B$2:$B$103,Index!$D$2:$D$103,"Not Found")),"")</f>
        <v>1</v>
      </c>
      <c r="F3" s="1" t="str">
        <f t="array" ref="F3">IF(NOT(ISBLANK($A3)), (_xlfn.XLOOKUP($A3,Index!$B$2:$B$103,Index!$E$2:$E$103,"Not Found")),"")</f>
        <v>y</v>
      </c>
      <c r="G3" s="1">
        <f t="array" ref="G3">IF(NOT(ISBLANK(A3)), ((_xlfn.XLOOKUP(A3,Index!$B$2:$B$103,Index!$F$2:$F$103,"Not Found"))*B3),"")</f>
        <v>0</v>
      </c>
      <c r="K3" s="1" t="s">
        <v>33</v>
      </c>
      <c r="L3" s="4">
        <f t="shared" si="1"/>
        <v>4</v>
      </c>
      <c r="M3" s="1">
        <f t="shared" si="2"/>
        <v>3</v>
      </c>
      <c r="N3" s="1">
        <f t="shared" si="3"/>
        <v>0</v>
      </c>
      <c r="O3" s="1">
        <f t="shared" si="4"/>
        <v>1</v>
      </c>
      <c r="P3" s="1">
        <f t="shared" si="5"/>
        <v>0</v>
      </c>
      <c r="Q3" s="1">
        <f t="shared" si="6"/>
        <v>0</v>
      </c>
    </row>
    <row r="4">
      <c r="A4" s="1" t="s">
        <v>76</v>
      </c>
      <c r="B4" s="1">
        <v>2.0</v>
      </c>
      <c r="C4" s="1" t="str">
        <f t="array" ref="C4">IF(NOT(ISBLANK($A4)), (_xlfn.XLOOKUP($A4,Index!$B$2:$B$103,Index!$C$2:$C$103,"Not Found")),"")</f>
        <v>G</v>
      </c>
      <c r="D4" s="1" t="str">
        <f t="array" ref="D4">IF(NOT(ISBLANK(A4)), (_xlfn.XLOOKUP($A4,Index!$B$2:B$103,Index!$A$2:$A$103,"Not Found")),"")</f>
        <v>base1-15</v>
      </c>
      <c r="E4" s="2">
        <f t="array" ref="E4">IF(NOT(ISBLANK($A4)), (_xlfn.XLOOKUP($A4,Index!$B$2:$B$103,Index!$D$2:$D$103,"Not Found")),"")</f>
        <v>2</v>
      </c>
      <c r="F4" s="1" t="str">
        <f t="array" ref="F4">IF(NOT(ISBLANK($A4)), (_xlfn.XLOOKUP($A4,Index!$B$2:$B$103,Index!$E$2:$E$103,"Not Found")),"")</f>
        <v/>
      </c>
      <c r="G4" s="1">
        <f t="array" ref="G4">IF(NOT(ISBLANK(A4)), ((_xlfn.XLOOKUP(A4,Index!$B$2:$B$103,Index!$F$2:$F$103,"Not Found"))*B4),"")</f>
        <v>6</v>
      </c>
      <c r="L4" s="4" t="str">
        <f t="shared" si="1"/>
        <v/>
      </c>
      <c r="M4" s="1" t="str">
        <f t="shared" si="2"/>
        <v/>
      </c>
      <c r="N4" s="1" t="str">
        <f t="shared" si="3"/>
        <v/>
      </c>
      <c r="O4" s="1" t="str">
        <f t="shared" si="4"/>
        <v/>
      </c>
      <c r="P4" s="1" t="str">
        <f t="shared" si="5"/>
        <v/>
      </c>
      <c r="Q4" s="1" t="str">
        <f t="shared" si="6"/>
        <v/>
      </c>
    </row>
    <row r="5">
      <c r="A5" s="3" t="s">
        <v>170</v>
      </c>
      <c r="B5" s="1">
        <v>3.0</v>
      </c>
      <c r="C5" s="1" t="str">
        <f t="array" ref="C5">IF(NOT(ISBLANK($A5)), (_xlfn.XLOOKUP($A5,Index!$B$2:$B$103,Index!$C$2:$C$103,"Not Found")),"")</f>
        <v>G</v>
      </c>
      <c r="D5" s="1" t="str">
        <f t="array" ref="D5">IF(NOT(ISBLANK(A5)), (_xlfn.XLOOKUP($A5,Index!$B$2:B$103,Index!$A$2:$A$103,"Not Found")),"")</f>
        <v>base1-55</v>
      </c>
      <c r="E5" s="2">
        <f t="array" ref="E5">IF(NOT(ISBLANK($A5)), (_xlfn.XLOOKUP($A5,Index!$B$2:$B$103,Index!$D$2:$D$103,"Not Found")),"")</f>
        <v>1</v>
      </c>
      <c r="F5" s="1" t="str">
        <f t="array" ref="F5">IF(NOT(ISBLANK($A5)), (_xlfn.XLOOKUP($A5,Index!$B$2:$B$103,Index!$E$2:$E$103,"Not Found")),"")</f>
        <v>y</v>
      </c>
      <c r="G5" s="1">
        <f t="array" ref="G5">IF(NOT(ISBLANK(A5)), ((_xlfn.XLOOKUP(A5,Index!$B$2:$B$103,Index!$F$2:$F$103,"Not Found"))*B5),"")</f>
        <v>0</v>
      </c>
      <c r="L5" s="4" t="str">
        <f t="shared" si="1"/>
        <v/>
      </c>
      <c r="M5" s="1" t="str">
        <f t="shared" si="2"/>
        <v/>
      </c>
      <c r="N5" s="1" t="str">
        <f t="shared" si="3"/>
        <v/>
      </c>
      <c r="O5" s="1" t="str">
        <f t="shared" si="4"/>
        <v/>
      </c>
      <c r="P5" s="1" t="str">
        <f t="shared" si="5"/>
        <v/>
      </c>
      <c r="Q5" s="1" t="str">
        <f t="shared" si="6"/>
        <v/>
      </c>
    </row>
    <row r="6">
      <c r="A6" s="1" t="s">
        <v>133</v>
      </c>
      <c r="B6" s="1">
        <v>2.0</v>
      </c>
      <c r="C6" s="1" t="str">
        <f t="array" ref="C6">IF(NOT(ISBLANK($A6)), (_xlfn.XLOOKUP($A6,Index!$B$2:$B$103,Index!$C$2:$C$103,"Not Found")),"")</f>
        <v>G</v>
      </c>
      <c r="D6" s="1" t="str">
        <f t="array" ref="D6">IF(NOT(ISBLANK(A6)), (_xlfn.XLOOKUP($A6,Index!$B$2:B$103,Index!$A$2:$A$103,"Not Found")),"")</f>
        <v>base1-37</v>
      </c>
      <c r="E6" s="2">
        <f t="array" ref="E6">IF(NOT(ISBLANK($A6)), (_xlfn.XLOOKUP($A6,Index!$B$2:$B$103,Index!$D$2:$D$103,"Not Found")),"")</f>
        <v>1</v>
      </c>
      <c r="F6" s="1" t="str">
        <f t="array" ref="F6">IF(NOT(ISBLANK($A6)), (_xlfn.XLOOKUP($A6,Index!$B$2:$B$103,Index!$E$2:$E$103,"Not Found")),"")</f>
        <v>y</v>
      </c>
      <c r="G6" s="1">
        <f t="array" ref="G6">IF(NOT(ISBLANK(A6)), ((_xlfn.XLOOKUP(A6,Index!$B$2:$B$103,Index!$F$2:$F$103,"Not Found"))*B6),"")</f>
        <v>0</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64</v>
      </c>
      <c r="B7" s="1">
        <v>1.0</v>
      </c>
      <c r="C7" s="1" t="str">
        <f t="array" ref="C7">IF(NOT(ISBLANK($A7)), (_xlfn.XLOOKUP($A7,Index!$B$2:$B$103,Index!$C$2:$C$103,"Not Found")),"")</f>
        <v>G</v>
      </c>
      <c r="D7" s="1" t="str">
        <f t="array" ref="D7">IF(NOT(ISBLANK(A7)), (_xlfn.XLOOKUP($A7,Index!$B$2:B$103,Index!$A$2:$A$103,"Not Found")),"")</f>
        <v>base1-11</v>
      </c>
      <c r="E7" s="2">
        <f t="array" ref="E7">IF(NOT(ISBLANK($A7)), (_xlfn.XLOOKUP($A7,Index!$B$2:$B$103,Index!$D$2:$D$103,"Not Found")),"")</f>
        <v>2</v>
      </c>
      <c r="F7" s="1" t="str">
        <f t="array" ref="F7">IF(NOT(ISBLANK($A7)), (_xlfn.XLOOKUP($A7,Index!$B$2:$B$103,Index!$E$2:$E$103,"Not Found")),"")</f>
        <v/>
      </c>
      <c r="G7" s="1">
        <f t="array" ref="G7">IF(NOT(ISBLANK(A7)), ((_xlfn.XLOOKUP(A7,Index!$B$2:$B$103,Index!$F$2:$F$103,"Not Found"))*B7),"")</f>
        <v>3</v>
      </c>
      <c r="K7" s="1" t="s">
        <v>267</v>
      </c>
      <c r="L7" s="4">
        <f t="shared" ref="L7:Q7" si="7">SUM(L2:L6)</f>
        <v>22</v>
      </c>
      <c r="M7" s="4">
        <f t="shared" si="7"/>
        <v>10</v>
      </c>
      <c r="N7" s="4">
        <f t="shared" si="7"/>
        <v>0</v>
      </c>
      <c r="O7" s="4">
        <f t="shared" si="7"/>
        <v>9</v>
      </c>
      <c r="P7" s="4">
        <f t="shared" si="7"/>
        <v>3</v>
      </c>
      <c r="Q7" s="4">
        <f t="shared" si="7"/>
        <v>1</v>
      </c>
    </row>
    <row r="8">
      <c r="A8" s="1" t="s">
        <v>110</v>
      </c>
      <c r="B8" s="1">
        <v>2.0</v>
      </c>
      <c r="C8" s="1" t="str">
        <f t="array" ref="C8">IF(NOT(ISBLANK($A8)), (_xlfn.XLOOKUP($A8,Index!$B$2:$B$103,Index!$C$2:$C$103,"Not Found")),"")</f>
        <v>C</v>
      </c>
      <c r="D8" s="1" t="str">
        <f t="array" ref="D8">IF(NOT(ISBLANK(A8)), (_xlfn.XLOOKUP($A8,Index!$B$2:B$103,Index!$A$2:$A$103,"Not Found")),"")</f>
        <v>base1-26</v>
      </c>
      <c r="E8" s="2" t="str">
        <f t="array" ref="E8">IF(NOT(ISBLANK($A8)), (_xlfn.XLOOKUP($A8,Index!$B$2:$B$103,Index!$D$2:$D$103,"Not Found")),"")</f>
        <v>b</v>
      </c>
      <c r="F8" s="1" t="str">
        <f t="array" ref="F8">IF(NOT(ISBLANK($A8)), (_xlfn.XLOOKUP($A8,Index!$B$2:$B$103,Index!$E$2:$E$103,"Not Found")),"")</f>
        <v>y</v>
      </c>
      <c r="G8" s="1">
        <f t="array" ref="G8">IF(NOT(ISBLANK(A8)), ((_xlfn.XLOOKUP(A8,Index!$B$2:$B$103,Index!$F$2:$F$103,"Not Found"))*B8),"")</f>
        <v>0</v>
      </c>
    </row>
    <row r="9">
      <c r="A9" s="1" t="s">
        <v>83</v>
      </c>
      <c r="B9" s="1">
        <v>1.0</v>
      </c>
      <c r="C9" s="1" t="str">
        <f t="array" ref="C9">IF(NOT(ISBLANK($A9)), (_xlfn.XLOOKUP($A9,Index!$B$2:$B$103,Index!$C$2:$C$103,"Not Found")),"")</f>
        <v>C</v>
      </c>
      <c r="D9" s="1" t="str">
        <f t="array" ref="D9">IF(NOT(ISBLANK(A9)), (_xlfn.XLOOKUP($A9,Index!$B$2:B$103,Index!$A$2:$A$103,"Not Found")),"")</f>
        <v>base1-18</v>
      </c>
      <c r="E9" s="2">
        <f t="array" ref="E9">IF(NOT(ISBLANK($A9)), (_xlfn.XLOOKUP($A9,Index!$B$2:$B$103,Index!$D$2:$D$103,"Not Found")),"")</f>
        <v>1</v>
      </c>
      <c r="F9" s="1" t="str">
        <f t="array" ref="F9">IF(NOT(ISBLANK($A9)), (_xlfn.XLOOKUP($A9,Index!$B$2:$B$103,Index!$E$2:$E$103,"Not Found")),"")</f>
        <v>y</v>
      </c>
      <c r="G9" s="1">
        <f t="array" ref="G9">IF(NOT(ISBLANK(A9)), ((_xlfn.XLOOKUP(A9,Index!$B$2:$B$103,Index!$F$2:$F$103,"Not Found"))*B9),"")</f>
        <v>1</v>
      </c>
      <c r="M9" s="1" t="s">
        <v>268</v>
      </c>
      <c r="N9" s="1" t="s">
        <v>269</v>
      </c>
      <c r="O9" s="1" t="s">
        <v>270</v>
      </c>
    </row>
    <row r="10">
      <c r="A10" s="1" t="s">
        <v>43</v>
      </c>
      <c r="B10" s="1">
        <v>1.0</v>
      </c>
      <c r="C10" s="1" t="str">
        <f t="array" ref="C10">IF(NOT(ISBLANK($A10)), (_xlfn.XLOOKUP($A10,Index!$B$2:$B$103,Index!$C$2:$C$103,"Not Found")),"")</f>
        <v>C</v>
      </c>
      <c r="D10" s="1" t="str">
        <f t="array" ref="D10">IF(NOT(ISBLANK(A10)), (_xlfn.XLOOKUP($A10,Index!$B$2:B$103,Index!$A$2:$A$103,"Not Found")),"")</f>
        <v>base1-5</v>
      </c>
      <c r="E10" s="2" t="str">
        <f t="array" ref="E10">IF(NOT(ISBLANK($A10)), (_xlfn.XLOOKUP($A10,Index!$B$2:$B$103,Index!$D$2:$D$103,"Not Found")),"")</f>
        <v>b</v>
      </c>
      <c r="F10" s="1" t="str">
        <f t="array" ref="F10">IF(NOT(ISBLANK($A10)), (_xlfn.XLOOKUP($A10,Index!$B$2:$B$103,Index!$E$2:$E$103,"Not Found")),"")</f>
        <v>y</v>
      </c>
      <c r="G10" s="1">
        <f t="array" ref="G10">IF(NOT(ISBLANK(A10)), ((_xlfn.XLOOKUP(A10,Index!$B$2:$B$103,Index!$F$2:$F$103,"Not Found"))*B10),"")</f>
        <v>0.5</v>
      </c>
      <c r="K10" s="1" t="s">
        <v>271</v>
      </c>
      <c r="L10" s="4">
        <f>SUM(M10:P10)</f>
        <v>13</v>
      </c>
      <c r="M10" s="4">
        <f>IF(NOT(ISBLANK($K10)), SUMIFS($B$2:$B$32,$E$2:$E$32, "C", $C$2:$C$32,"T"), "")</f>
        <v>7</v>
      </c>
      <c r="N10" s="4">
        <f>IF(NOT(ISBLANK($K10)), SUMIFS($B$2:$B$32,$E$2:$E$32, "U", $C$2:$C$32,"T"), "")</f>
        <v>4</v>
      </c>
      <c r="O10" s="4">
        <f>IF(NOT(ISBLANK($K$2)), SUMIFS($B$2:$B$32,$E$2:$E$32, "R", $C$2:$C$32,"T"), "")</f>
        <v>2</v>
      </c>
    </row>
    <row r="11">
      <c r="A11" s="1" t="s">
        <v>161</v>
      </c>
      <c r="B11" s="1">
        <v>2.0</v>
      </c>
      <c r="C11" s="1" t="str">
        <f t="array" ref="C11">IF(NOT(ISBLANK($A11)), (_xlfn.XLOOKUP($A11,Index!$B$2:$B$103,Index!$C$2:$C$103,"Not Found")),"")</f>
        <v>G</v>
      </c>
      <c r="D11" s="1" t="str">
        <f t="array" ref="D11">IF(NOT(ISBLANK(A11)), (_xlfn.XLOOKUP($A11,Index!$B$2:B$103,Index!$A$2:$A$103,"Not Found")),"")</f>
        <v>base1-51</v>
      </c>
      <c r="E11" s="2" t="str">
        <f t="array" ref="E11">IF(NOT(ISBLANK($A11)), (_xlfn.XLOOKUP($A11,Index!$B$2:$B$103,Index!$D$2:$D$103,"Not Found")),"")</f>
        <v>b</v>
      </c>
      <c r="F11" s="1" t="str">
        <f t="array" ref="F11">IF(NOT(ISBLANK($A11)), (_xlfn.XLOOKUP($A11,Index!$B$2:$B$103,Index!$E$2:$E$103,"Not Found")),"")</f>
        <v>y</v>
      </c>
      <c r="G11" s="1">
        <f t="array" ref="G11">IF(NOT(ISBLANK(A11)), ((_xlfn.XLOOKUP(A11,Index!$B$2:$B$103,Index!$F$2:$F$103,"Not Found"))*B11),"")</f>
        <v>0</v>
      </c>
      <c r="K11" s="1" t="s">
        <v>254</v>
      </c>
      <c r="L11" s="1">
        <f>IF(NOT(ISBLANK($K$2)), SUMIFS($B$2:$B$32, $C$2:$C$32,"Energy"), "")</f>
        <v>25</v>
      </c>
    </row>
    <row r="12">
      <c r="A12" s="1" t="s">
        <v>190</v>
      </c>
      <c r="B12" s="1">
        <v>1.0</v>
      </c>
      <c r="C12" s="1" t="str">
        <f t="array" ref="C12">IF(NOT(ISBLANK($A12)), (_xlfn.XLOOKUP($A12,Index!$B$2:$B$103,Index!$C$2:$C$103,"Not Found")),"")</f>
        <v>G</v>
      </c>
      <c r="D12" s="1" t="str">
        <f t="array" ref="D12">IF(NOT(ISBLANK(A12)), (_xlfn.XLOOKUP($A12,Index!$B$2:B$103,Index!$A$2:$A$103,"Not Found")),"")</f>
        <v>base1-66</v>
      </c>
      <c r="E12" s="2" t="str">
        <f t="array" ref="E12">IF(NOT(ISBLANK($A12)), (_xlfn.XLOOKUP($A12,Index!$B$2:$B$103,Index!$D$2:$D$103,"Not Found")),"")</f>
        <v>b</v>
      </c>
      <c r="F12" s="1" t="str">
        <f t="array" ref="F12">IF(NOT(ISBLANK($A12)), (_xlfn.XLOOKUP($A12,Index!$B$2:$B$103,Index!$E$2:$E$103,"Not Found")),"")</f>
        <v>n</v>
      </c>
      <c r="G12" s="1">
        <f t="array" ref="G12">IF(NOT(ISBLANK(A12)), ((_xlfn.XLOOKUP(A12,Index!$B$2:$B$103,Index!$F$2:$F$103,"Not Found"))*B12),"")</f>
        <v>0</v>
      </c>
      <c r="K12" s="1" t="s">
        <v>272</v>
      </c>
      <c r="L12" s="4">
        <f>L7</f>
        <v>22</v>
      </c>
    </row>
    <row r="13">
      <c r="A13" s="1" t="s">
        <v>260</v>
      </c>
      <c r="B13" s="1">
        <v>25.0</v>
      </c>
      <c r="C13" s="1" t="str">
        <f t="array" ref="C13">IF(NOT(ISBLANK($A13)), (_xlfn.XLOOKUP($A13,Index!$B$2:$B$103,Index!$C$2:$C$103,"Not Found")),"")</f>
        <v>Energy</v>
      </c>
      <c r="D13" s="1" t="str">
        <f t="array" ref="D13">IF(NOT(ISBLANK(A13)), (_xlfn.XLOOKUP($A13,Index!$B$2:B$103,Index!$A$2:$A$103,"Not Found")),"")</f>
        <v>base1-99</v>
      </c>
      <c r="E13" s="2" t="str">
        <f t="array" ref="E13">IF(NOT(ISBLANK($A13)), (_xlfn.XLOOKUP($A13,Index!$B$2:$B$103,Index!$D$2:$D$103,"Not Found")),"")</f>
        <v/>
      </c>
      <c r="F13" s="1" t="str">
        <f t="array" ref="F13">IF(NOT(ISBLANK($A13)), (_xlfn.XLOOKUP($A13,Index!$B$2:$B$103,Index!$E$2:$E$103,"Not Found")),"")</f>
        <v/>
      </c>
      <c r="G13" s="1">
        <f t="array" ref="G13">IF(NOT(ISBLANK(A13)), ((_xlfn.XLOOKUP(A13,Index!$B$2:$B$103,Index!$F$2:$F$103,"Not Found"))*B13),"")</f>
        <v>0</v>
      </c>
    </row>
    <row r="14">
      <c r="A14" s="1" t="s">
        <v>211</v>
      </c>
      <c r="B14" s="1">
        <v>1.0</v>
      </c>
      <c r="C14" s="1" t="str">
        <f t="array" ref="C14">IF(NOT(ISBLANK($A14)), (_xlfn.XLOOKUP($A14,Index!$B$2:$B$103,Index!$C$2:$C$103,"Not Found")),"")</f>
        <v>T</v>
      </c>
      <c r="D14" s="1" t="str">
        <f t="array" ref="D14">IF(NOT(ISBLANK(A14)), (_xlfn.XLOOKUP($A14,Index!$B$2:B$103,Index!$A$2:$A$103,"Not Found")),"")</f>
        <v>base1-76</v>
      </c>
      <c r="E14" s="2" t="str">
        <f t="array" ref="E14">IF(NOT(ISBLANK($A14)), (_xlfn.XLOOKUP($A14,Index!$B$2:$B$103,Index!$D$2:$D$103,"Not Found")),"")</f>
        <v>r</v>
      </c>
      <c r="F14" s="1" t="str">
        <f t="array" ref="F14">IF(NOT(ISBLANK($A14)), (_xlfn.XLOOKUP($A14,Index!$B$2:$B$103,Index!$E$2:$E$103,"Not Found")),"")</f>
        <v/>
      </c>
      <c r="G14" s="1">
        <f t="array" ref="G14">IF(NOT(ISBLANK(A14)), ((_xlfn.XLOOKUP(A14,Index!$B$2:$B$103,Index!$F$2:$F$103,"Not Found"))*B14),"")</f>
        <v>0</v>
      </c>
    </row>
    <row r="15">
      <c r="A15" s="1" t="s">
        <v>207</v>
      </c>
      <c r="B15" s="1">
        <v>1.0</v>
      </c>
      <c r="C15" s="1" t="str">
        <f t="array" ref="C15">IF(NOT(ISBLANK($A15)), (_xlfn.XLOOKUP($A15,Index!$B$2:$B$103,Index!$C$2:$C$103,"Not Found")),"")</f>
        <v>T</v>
      </c>
      <c r="D15" s="1" t="str">
        <f t="array" ref="D15">IF(NOT(ISBLANK(A15)), (_xlfn.XLOOKUP($A15,Index!$B$2:B$103,Index!$A$2:$A$103,"Not Found")),"")</f>
        <v>base1-74</v>
      </c>
      <c r="E15" s="2" t="str">
        <f t="array" ref="E15">IF(NOT(ISBLANK($A15)), (_xlfn.XLOOKUP($A15,Index!$B$2:$B$103,Index!$D$2:$D$103,"Not Found")),"")</f>
        <v>r</v>
      </c>
      <c r="F15" s="1" t="str">
        <f t="array" ref="F15">IF(NOT(ISBLANK($A15)), (_xlfn.XLOOKUP($A15,Index!$B$2:$B$103,Index!$E$2:$E$103,"Not Found")),"")</f>
        <v/>
      </c>
      <c r="G15" s="1">
        <f t="array" ref="G15">IF(NOT(ISBLANK(A15)), ((_xlfn.XLOOKUP(A15,Index!$B$2:$B$103,Index!$F$2:$F$103,"Not Found"))*B15),"")</f>
        <v>0</v>
      </c>
      <c r="K15" s="1" t="s">
        <v>273</v>
      </c>
    </row>
    <row r="16">
      <c r="A16" s="1" t="s">
        <v>236</v>
      </c>
      <c r="B16" s="1">
        <v>2.0</v>
      </c>
      <c r="C16" s="1" t="str">
        <f t="array" ref="C16">IF(NOT(ISBLANK($A16)), (_xlfn.XLOOKUP($A16,Index!$B$2:$B$103,Index!$C$2:$C$103,"Not Found")),"")</f>
        <v>T</v>
      </c>
      <c r="D16" s="1" t="str">
        <f t="array" ref="D16">IF(NOT(ISBLANK(A16)), (_xlfn.XLOOKUP($A16,Index!$B$2:B$103,Index!$A$2:$A$103,"Not Found")),"")</f>
        <v>base1-88</v>
      </c>
      <c r="E16" s="2" t="str">
        <f t="array" ref="E16">IF(NOT(ISBLANK($A16)), (_xlfn.XLOOKUP($A16,Index!$B$2:$B$103,Index!$D$2:$D$103,"Not Found")),"")</f>
        <v>u</v>
      </c>
      <c r="F16" s="1" t="str">
        <f t="array" ref="F16">IF(NOT(ISBLANK($A16)), (_xlfn.XLOOKUP($A16,Index!$B$2:$B$103,Index!$E$2:$E$103,"Not Found")),"")</f>
        <v/>
      </c>
      <c r="G16" s="1">
        <f t="array" ref="G16">IF(NOT(ISBLANK(A16)), ((_xlfn.XLOOKUP(A16,Index!$B$2:$B$103,Index!$F$2:$F$103,"Not Found"))*B16),"")</f>
        <v>0</v>
      </c>
      <c r="K16" s="4" t="str">
        <f t="shared" ref="K16:K20" si="8">K2</f>
        <v>G</v>
      </c>
      <c r="L16" s="1">
        <f t="shared" ref="L16:L19" si="9">IF(NOT(ISBLANK($K2)), SUMIFS($G$2:$G$32, $C$2:$C$32,$K2), "")</f>
        <v>9</v>
      </c>
    </row>
    <row r="17">
      <c r="A17" s="1" t="s">
        <v>242</v>
      </c>
      <c r="B17" s="1">
        <v>3.0</v>
      </c>
      <c r="C17" s="1" t="str">
        <f t="array" ref="C17">IF(NOT(ISBLANK($A17)), (_xlfn.XLOOKUP($A17,Index!$B$2:$B$103,Index!$C$2:$C$103,"Not Found")),"")</f>
        <v>T</v>
      </c>
      <c r="D17" s="1" t="str">
        <f t="array" ref="D17">IF(NOT(ISBLANK(A17)), (_xlfn.XLOOKUP($A17,Index!$B$2:B$103,Index!$A$2:$A$103,"Not Found")),"")</f>
        <v>base1-91</v>
      </c>
      <c r="E17" s="2" t="str">
        <f t="array" ref="E17">IF(NOT(ISBLANK($A17)), (_xlfn.XLOOKUP($A17,Index!$B$2:$B$103,Index!$D$2:$D$103,"Not Found")),"")</f>
        <v>c</v>
      </c>
      <c r="F17" s="1" t="str">
        <f t="array" ref="F17">IF(NOT(ISBLANK($A17)), (_xlfn.XLOOKUP($A17,Index!$B$2:$B$103,Index!$E$2:$E$103,"Not Found")),"")</f>
        <v/>
      </c>
      <c r="G17" s="1">
        <f t="array" ref="G17">IF(NOT(ISBLANK(A17)), ((_xlfn.XLOOKUP(A17,Index!$B$2:$B$103,Index!$F$2:$F$103,"Not Found"))*B17),"")</f>
        <v>0</v>
      </c>
      <c r="K17" s="4" t="str">
        <f t="shared" si="8"/>
        <v>C</v>
      </c>
      <c r="L17" s="1">
        <f t="shared" si="9"/>
        <v>1.5</v>
      </c>
    </row>
    <row r="18">
      <c r="A18" s="1" t="s">
        <v>251</v>
      </c>
      <c r="B18" s="1">
        <v>1.0</v>
      </c>
      <c r="C18" s="1" t="str">
        <f t="array" ref="C18">IF(NOT(ISBLANK($A18)), (_xlfn.XLOOKUP($A18,Index!$B$2:$B$103,Index!$C$2:$C$103,"Not Found")),"")</f>
        <v>T</v>
      </c>
      <c r="D18" s="1" t="str">
        <f t="array" ref="D18">IF(NOT(ISBLANK(A18)), (_xlfn.XLOOKUP($A18,Index!$B$2:B$103,Index!$A$2:$A$103,"Not Found")),"")</f>
        <v>base1-95</v>
      </c>
      <c r="E18" s="2" t="str">
        <f t="array" ref="E18">IF(NOT(ISBLANK($A18)), (_xlfn.XLOOKUP($A18,Index!$B$2:$B$103,Index!$D$2:$D$103,"Not Found")),"")</f>
        <v>c</v>
      </c>
      <c r="F18" s="1" t="str">
        <f t="array" ref="F18">IF(NOT(ISBLANK($A18)), (_xlfn.XLOOKUP($A18,Index!$B$2:$B$103,Index!$E$2:$E$103,"Not Found")),"")</f>
        <v/>
      </c>
      <c r="G18" s="1">
        <f t="array" ref="G18">IF(NOT(ISBLANK(A18)), ((_xlfn.XLOOKUP(A18,Index!$B$2:$B$103,Index!$F$2:$F$103,"Not Found"))*B18),"")</f>
        <v>0</v>
      </c>
      <c r="K18" s="4" t="str">
        <f t="shared" si="8"/>
        <v/>
      </c>
      <c r="L18" s="1" t="str">
        <f t="shared" si="9"/>
        <v/>
      </c>
    </row>
    <row r="19">
      <c r="A19" s="1" t="s">
        <v>240</v>
      </c>
      <c r="B19" s="1">
        <v>1.0</v>
      </c>
      <c r="C19" s="1" t="str">
        <f t="array" ref="C19">IF(NOT(ISBLANK($A19)), (_xlfn.XLOOKUP($A19,Index!$B$2:$B$103,Index!$C$2:$C$103,"Not Found")),"")</f>
        <v>T</v>
      </c>
      <c r="D19" s="1" t="str">
        <f t="array" ref="D19">IF(NOT(ISBLANK(A19)), (_xlfn.XLOOKUP($A19,Index!$B$2:B$103,Index!$A$2:$A$103,"Not Found")),"")</f>
        <v>base1-90</v>
      </c>
      <c r="E19" s="2" t="str">
        <f t="array" ref="E19">IF(NOT(ISBLANK($A19)), (_xlfn.XLOOKUP($A19,Index!$B$2:$B$103,Index!$D$2:$D$103,"Not Found")),"")</f>
        <v>u</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219</v>
      </c>
      <c r="B20" s="1">
        <v>1.0</v>
      </c>
      <c r="C20" s="1" t="str">
        <f t="array" ref="C20">IF(NOT(ISBLANK($A20)), (_xlfn.XLOOKUP($A20,Index!$B$2:$B$103,Index!$C$2:$C$103,"Not Found")),"")</f>
        <v>T</v>
      </c>
      <c r="D20" s="1" t="str">
        <f t="array" ref="D20">IF(NOT(ISBLANK(A20)), (_xlfn.XLOOKUP($A20,Index!$B$2:B$103,Index!$A$2:$A$103,"Not Found")),"")</f>
        <v>base1-80</v>
      </c>
      <c r="E20" s="2" t="str">
        <f t="array" ref="E20">IF(NOT(ISBLANK($A20)), (_xlfn.XLOOKUP($A20,Index!$B$2:$B$103,Index!$D$2:$D$103,"Not Found")),"")</f>
        <v>u</v>
      </c>
      <c r="F20" s="1" t="str">
        <f t="array" ref="F20">IF(NOT(ISBLANK($A20)), (_xlfn.XLOOKUP($A20,Index!$B$2:$B$103,Index!$E$2:$E$103,"Not Found")),"")</f>
        <v/>
      </c>
      <c r="G20" s="1">
        <f t="array" ref="G20">IF(NOT(ISBLANK(A20)), ((_xlfn.XLOOKUP(A20,Index!$B$2:$B$103,Index!$F$2:$F$103,"Not Found"))*B20),"")</f>
        <v>0</v>
      </c>
      <c r="K20" s="4" t="str">
        <f t="shared" si="8"/>
        <v/>
      </c>
    </row>
    <row r="21">
      <c r="A21" s="1" t="s">
        <v>245</v>
      </c>
      <c r="B21" s="1">
        <v>1.0</v>
      </c>
      <c r="C21" s="1" t="str">
        <f t="array" ref="C21">IF(NOT(ISBLANK($A21)), (_xlfn.XLOOKUP($A21,Index!$B$2:$B$103,Index!$C$2:$C$103,"Not Found")),"")</f>
        <v>T</v>
      </c>
      <c r="D21" s="1" t="str">
        <f t="array" ref="D21">IF(NOT(ISBLANK(A21)), (_xlfn.XLOOKUP($A21,Index!$B$2:B$103,Index!$A$2:$A$103,"Not Found")),"")</f>
        <v>base1-92</v>
      </c>
      <c r="E21" s="2" t="str">
        <f t="array" ref="E21">IF(NOT(ISBLANK($A21)), (_xlfn.XLOOKUP($A21,Index!$B$2:$B$103,Index!$D$2:$D$103,"Not Found")),"")</f>
        <v>c</v>
      </c>
      <c r="F21" s="1" t="str">
        <f t="array" ref="F21">IF(NOT(ISBLANK($A21)), (_xlfn.XLOOKUP($A21,Index!$B$2:$B$103,Index!$E$2:$E$103,"Not Found")),"")</f>
        <v/>
      </c>
      <c r="G21" s="1">
        <f t="array" ref="G21">IF(NOT(ISBLANK(A21)), ((_xlfn.XLOOKUP(A21,Index!$B$2:$B$103,Index!$F$2:$F$103,"Not Found"))*B21),"")</f>
        <v>0</v>
      </c>
      <c r="K21" s="1" t="s">
        <v>274</v>
      </c>
      <c r="L21" s="4">
        <f>SUM(G2:G46)</f>
        <v>10.5</v>
      </c>
    </row>
    <row r="22">
      <c r="A22" s="1" t="s">
        <v>249</v>
      </c>
      <c r="B22" s="1">
        <v>2.0</v>
      </c>
      <c r="C22" s="1" t="str">
        <f t="array" ref="C22">IF(NOT(ISBLANK($A22)), (_xlfn.XLOOKUP($A22,Index!$B$2:$B$103,Index!$C$2:$C$103,"Not Found")),"")</f>
        <v>T</v>
      </c>
      <c r="D22" s="1" t="str">
        <f t="array" ref="D22">IF(NOT(ISBLANK(A22)), (_xlfn.XLOOKUP($A22,Index!$B$2:B$103,Index!$A$2:$A$103,"Not Found")),"")</f>
        <v>base1-94</v>
      </c>
      <c r="E22" s="2" t="str">
        <f t="array" ref="E22">IF(NOT(ISBLANK($A22)), (_xlfn.XLOOKUP($A22,Index!$B$2:$B$103,Index!$D$2:$D$103,"Not Found")),"")</f>
        <v>c</v>
      </c>
      <c r="F22" s="1" t="str">
        <f t="array" ref="F22">IF(NOT(ISBLANK($A22)), (_xlfn.XLOOKUP($A22,Index!$B$2:$B$103,Index!$E$2:$E$103,"Not Found")),"")</f>
        <v/>
      </c>
      <c r="G22" s="1">
        <f t="array" ref="G22">IF(NOT(ISBLANK(A22)), ((_xlfn.XLOOKUP(A22,Index!$B$2:$B$103,Index!$F$2:$F$103,"Not Found"))*B22),"")</f>
        <v>0</v>
      </c>
    </row>
    <row r="23">
      <c r="C23" s="1" t="str">
        <f t="array" ref="C23">IF(NOT(ISBLANK($A23)), (_xlfn.XLOOKUP($A23,Index!$B$2:$B$103,Index!$C$2:$C$103,"Not Found")),"")</f>
        <v/>
      </c>
      <c r="D23" s="1" t="str">
        <f t="array" ref="D23">IF(NOT(ISBLANK(A23)), (_xlfn.XLOOKUP($A23,Index!$B$2:B$103,Index!$A$2:$A$103,"Not Found")),"")</f>
        <v/>
      </c>
      <c r="E23" s="2" t="str">
        <f t="array" ref="E23">IF(NOT(ISBLANK($A23)), (_xlfn.XLOOKUP($A23,Index!$B$2:$B$103,Index!$D$2:$D$103,"Not Found")),"")</f>
        <v/>
      </c>
      <c r="F23" s="1" t="str">
        <f t="array" ref="F23">IF(NOT(ISBLANK($A23)), (_xlfn.XLOOKUP($A23,Index!$B$2:$B$103,Index!$E$2:$E$103,"Not Found")),"")</f>
        <v/>
      </c>
      <c r="G23" s="1" t="str">
        <f t="array" ref="G23">IF(NOT(ISBLANK(A23)), ((_xlfn.XLOOKUP(A23,Index!$B$2:$B$103,Index!$F$2:$F$103,"Not Found"))*B23),"")</f>
        <v/>
      </c>
    </row>
    <row r="24">
      <c r="C24" s="1" t="str">
        <f t="array" ref="C24">IF(NOT(ISBLANK($A24)), (_xlfn.XLOOKUP($A24,Index!$B$2:$B$103,Index!$C$2:$C$103,"Not Found")),"")</f>
        <v/>
      </c>
      <c r="D24" s="1" t="str">
        <f t="array" ref="D24">IF(NOT(ISBLANK(A24)), (_xlfn.XLOOKUP($A24,Index!$B$2:B$103,Index!$A$2:$A$103,"Not Found")),"")</f>
        <v/>
      </c>
      <c r="E24" s="2" t="str">
        <f t="array" ref="E24">IF(NOT(ISBLANK($A24)), (_xlfn.XLOOKUP($A24,Index!$B$2:$B$103,Index!$D$2:$D$103,"Not Found")),"")</f>
        <v/>
      </c>
      <c r="F24" s="1" t="str">
        <f t="array" ref="F24">IF(NOT(ISBLANK($A24)), (_xlfn.XLOOKUP($A24,Index!$B$2:$B$103,Index!$E$2:$E$103,"Not Found")),"")</f>
        <v/>
      </c>
      <c r="G24" s="1" t="str">
        <f t="array" ref="G24">IF(NOT(ISBLANK(A24)), ((_xlfn.XLOOKUP(A24,Index!$B$2:$B$103,Index!$F$2:$F$103,"Not Found"))*B24),"")</f>
        <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184</v>
      </c>
      <c r="B2" s="1">
        <v>4.0</v>
      </c>
      <c r="C2" s="1" t="str">
        <f t="array" ref="C2">IF(NOT(ISBLANK($A2)), (_xlfn.XLOOKUP($A2,Index!$B$2:$B$103,Index!$C$2:$C$103,"Not Found")),"")</f>
        <v>W</v>
      </c>
      <c r="D2" s="1" t="str">
        <f t="array" ref="D2">IF(NOT(ISBLANK(A2)), (_xlfn.XLOOKUP($A2,Index!$B$2:B$103,Index!$A$2:$A$103,"Not Found")),"")</f>
        <v>base1-63</v>
      </c>
      <c r="E2" s="2" t="str">
        <f t="array" ref="E2">IF(NOT(ISBLANK($A2)), (_xlfn.XLOOKUP($A2,Index!$B$2:$B$103,Index!$D$2:$D$103,"Not Found")),"")</f>
        <v>b</v>
      </c>
      <c r="F2" s="1" t="str">
        <f t="array" ref="F2">IF(NOT(ISBLANK($A2)), (_xlfn.XLOOKUP($A2,Index!$B$2:$B$103,Index!$E$2:$E$103,"Not Found")),"")</f>
        <v>y</v>
      </c>
      <c r="G2" s="1">
        <f t="array" ref="G2">IF(NOT(ISBLANK(A2)), ((_xlfn.XLOOKUP(A2,Index!$B$2:$B$103,Index!$F$2:$F$103,"Not Found"))*B2),"")</f>
        <v>0</v>
      </c>
      <c r="I2" s="4">
        <f>SUM(B2:B38)</f>
        <v>60</v>
      </c>
      <c r="K2" s="1" t="s">
        <v>29</v>
      </c>
      <c r="L2" s="4">
        <f t="shared" ref="L2:L6" si="1">IF(NOT(ISBLANK(K2)), SUM(M2:P2), "")</f>
        <v>17</v>
      </c>
      <c r="M2" s="1">
        <f t="shared" ref="M2:M5" si="2">IF(NOT(ISBLANK($K2)), SUMIFS($B$2:$B$32, $E$2:$E$32, "B", $C$2:$C$32,$K2), "")</f>
        <v>10</v>
      </c>
      <c r="N2" s="1">
        <f t="shared" ref="N2:N5" si="3">IF(NOT(ISBLANK($K2)),SUMIFS($B$2:$B$32,$E$2:$E$32, "1", $C$2:$C$32,$K2,$F$2:$F$32,"N"), "")</f>
        <v>3</v>
      </c>
      <c r="O2" s="1">
        <f t="shared" ref="O2:O5" si="4">IF(NOT(ISBLANK($K2)),SUMIFS($B$2:$B$32,$E$2:$E$32, "1", $C$2:$C$32,$K2,$F$2:$F$32,"Y"), "")</f>
        <v>3</v>
      </c>
      <c r="P2" s="1">
        <f t="shared" ref="P2:P5" si="5">IF(NOT(ISBLANK($K2)),SUMIFS($B$2:$B$32,$E$2:$E$32, "2", $C$2:$C$32,$K2), "")</f>
        <v>1</v>
      </c>
      <c r="Q2" s="1">
        <f t="shared" ref="Q2:Q5" si="6">IF(NOT(ISBLANK($K2)),SUMIFS($B$2:$B$32,$E$2:$E$32, "B", $C$2:$C$32,$K2,$F$2:$F$32,"N"), "")</f>
        <v>0</v>
      </c>
    </row>
    <row r="3">
      <c r="A3" s="1" t="s">
        <v>143</v>
      </c>
      <c r="B3" s="1">
        <v>3.0</v>
      </c>
      <c r="C3" s="1" t="str">
        <f t="array" ref="C3">IF(NOT(ISBLANK($A3)), (_xlfn.XLOOKUP($A3,Index!$B$2:$B$103,Index!$C$2:$C$103,"Not Found")),"")</f>
        <v>W</v>
      </c>
      <c r="D3" s="1" t="str">
        <f t="array" ref="D3">IF(NOT(ISBLANK(A3)), (_xlfn.XLOOKUP($A3,Index!$B$2:B$103,Index!$A$2:$A$103,"Not Found")),"")</f>
        <v>base1-42</v>
      </c>
      <c r="E3" s="2">
        <f t="array" ref="E3">IF(NOT(ISBLANK($A3)), (_xlfn.XLOOKUP($A3,Index!$B$2:$B$103,Index!$D$2:$D$103,"Not Found")),"")</f>
        <v>1</v>
      </c>
      <c r="F3" s="1" t="str">
        <f t="array" ref="F3">IF(NOT(ISBLANK($A3)), (_xlfn.XLOOKUP($A3,Index!$B$2:$B$103,Index!$E$2:$E$103,"Not Found")),"")</f>
        <v>y</v>
      </c>
      <c r="G3" s="1">
        <f t="array" ref="G3">IF(NOT(ISBLANK(A3)), ((_xlfn.XLOOKUP(A3,Index!$B$2:$B$103,Index!$F$2:$F$103,"Not Found"))*B3),"")</f>
        <v>0</v>
      </c>
      <c r="K3" s="1" t="s">
        <v>33</v>
      </c>
      <c r="L3" s="4">
        <f t="shared" si="1"/>
        <v>2</v>
      </c>
      <c r="M3" s="1">
        <f t="shared" si="2"/>
        <v>2</v>
      </c>
      <c r="N3" s="1">
        <f t="shared" si="3"/>
        <v>0</v>
      </c>
      <c r="O3" s="1">
        <f t="shared" si="4"/>
        <v>0</v>
      </c>
      <c r="P3" s="1">
        <f t="shared" si="5"/>
        <v>0</v>
      </c>
      <c r="Q3" s="1">
        <f t="shared" si="6"/>
        <v>2</v>
      </c>
    </row>
    <row r="4">
      <c r="A4" s="1" t="s">
        <v>28</v>
      </c>
      <c r="B4" s="1">
        <v>1.0</v>
      </c>
      <c r="C4" s="1" t="str">
        <f t="array" ref="C4">IF(NOT(ISBLANK($A4)), (_xlfn.XLOOKUP($A4,Index!$B$2:$B$103,Index!$C$2:$C$103,"Not Found")),"")</f>
        <v>W</v>
      </c>
      <c r="D4" s="1" t="str">
        <f t="array" ref="D4">IF(NOT(ISBLANK(A4)), (_xlfn.XLOOKUP($A4,Index!$B$2:B$103,Index!$A$2:$A$103,"Not Found")),"")</f>
        <v>base1-2</v>
      </c>
      <c r="E4" s="2">
        <f t="array" ref="E4">IF(NOT(ISBLANK($A4)), (_xlfn.XLOOKUP($A4,Index!$B$2:$B$103,Index!$D$2:$D$103,"Not Found")),"")</f>
        <v>2</v>
      </c>
      <c r="F4" s="1" t="str">
        <f t="array" ref="F4">IF(NOT(ISBLANK($A4)), (_xlfn.XLOOKUP($A4,Index!$B$2:$B$103,Index!$E$2:$E$103,"Not Found")),"")</f>
        <v/>
      </c>
      <c r="G4" s="1">
        <f t="array" ref="G4">IF(NOT(ISBLANK(A4)), ((_xlfn.XLOOKUP(A4,Index!$B$2:$B$103,Index!$F$2:$F$103,"Not Found"))*B4),"")</f>
        <v>4</v>
      </c>
      <c r="L4" s="4" t="str">
        <f t="shared" si="1"/>
        <v/>
      </c>
      <c r="M4" s="1" t="str">
        <f t="shared" si="2"/>
        <v/>
      </c>
      <c r="N4" s="1" t="str">
        <f t="shared" si="3"/>
        <v/>
      </c>
      <c r="O4" s="1" t="str">
        <f t="shared" si="4"/>
        <v/>
      </c>
      <c r="P4" s="1" t="str">
        <f t="shared" si="5"/>
        <v/>
      </c>
      <c r="Q4" s="1" t="str">
        <f t="shared" si="6"/>
        <v/>
      </c>
    </row>
    <row r="5">
      <c r="A5" s="1" t="s">
        <v>129</v>
      </c>
      <c r="B5" s="1">
        <v>3.0</v>
      </c>
      <c r="C5" s="1" t="str">
        <f t="array" ref="C5">IF(NOT(ISBLANK($A5)), (_xlfn.XLOOKUP($A5,Index!$B$2:$B$103,Index!$C$2:$C$103,"Not Found")),"")</f>
        <v>W</v>
      </c>
      <c r="D5" s="1" t="str">
        <f t="array" ref="D5">IF(NOT(ISBLANK(A5)), (_xlfn.XLOOKUP($A5,Index!$B$2:B$103,Index!$A$2:$A$103,"Not Found")),"")</f>
        <v>base1-35</v>
      </c>
      <c r="E5" s="2" t="str">
        <f t="array" ref="E5">IF(NOT(ISBLANK($A5)), (_xlfn.XLOOKUP($A5,Index!$B$2:$B$103,Index!$D$2:$D$103,"Not Found")),"")</f>
        <v>b</v>
      </c>
      <c r="F5" s="1" t="str">
        <f t="array" ref="F5">IF(NOT(ISBLANK($A5)), (_xlfn.XLOOKUP($A5,Index!$B$2:$B$103,Index!$E$2:$E$103,"Not Found")),"")</f>
        <v>y</v>
      </c>
      <c r="G5" s="1">
        <f t="array" ref="G5">IF(NOT(ISBLANK(A5)), ((_xlfn.XLOOKUP(A5,Index!$B$2:$B$103,Index!$F$2:$F$103,"Not Found"))*B5),"")</f>
        <v>0</v>
      </c>
      <c r="L5" s="4" t="str">
        <f t="shared" si="1"/>
        <v/>
      </c>
      <c r="M5" s="1" t="str">
        <f t="shared" si="2"/>
        <v/>
      </c>
      <c r="N5" s="1" t="str">
        <f t="shared" si="3"/>
        <v/>
      </c>
      <c r="O5" s="1" t="str">
        <f t="shared" si="4"/>
        <v/>
      </c>
      <c r="P5" s="1" t="str">
        <f t="shared" si="5"/>
        <v/>
      </c>
      <c r="Q5" s="1" t="str">
        <f t="shared" si="6"/>
        <v/>
      </c>
    </row>
    <row r="6">
      <c r="A6" s="1" t="s">
        <v>47</v>
      </c>
      <c r="B6" s="1">
        <v>2.0</v>
      </c>
      <c r="C6" s="1" t="str">
        <f t="array" ref="C6">IF(NOT(ISBLANK($A6)), (_xlfn.XLOOKUP($A6,Index!$B$2:$B$103,Index!$C$2:$C$103,"Not Found")),"")</f>
        <v>W</v>
      </c>
      <c r="D6" s="1" t="str">
        <f t="array" ref="D6">IF(NOT(ISBLANK(A6)), (_xlfn.XLOOKUP($A6,Index!$B$2:B$103,Index!$A$2:$A$103,"Not Found")),"")</f>
        <v>base1-6</v>
      </c>
      <c r="E6" s="2">
        <f t="array" ref="E6">IF(NOT(ISBLANK($A6)), (_xlfn.XLOOKUP($A6,Index!$B$2:$B$103,Index!$D$2:$D$103,"Not Found")),"")</f>
        <v>1</v>
      </c>
      <c r="F6" s="1" t="str">
        <f t="array" ref="F6">IF(NOT(ISBLANK($A6)), (_xlfn.XLOOKUP($A6,Index!$B$2:$B$103,Index!$E$2:$E$103,"Not Found")),"")</f>
        <v>n</v>
      </c>
      <c r="G6" s="1">
        <f t="array" ref="G6">IF(NOT(ISBLANK(A6)), ((_xlfn.XLOOKUP(A6,Index!$B$2:$B$103,Index!$F$2:$F$103,"Not Found"))*B6),"")</f>
        <v>4</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141</v>
      </c>
      <c r="B7" s="1">
        <v>3.0</v>
      </c>
      <c r="C7" s="1" t="str">
        <f t="array" ref="C7">IF(NOT(ISBLANK($A7)), (_xlfn.XLOOKUP($A7,Index!$B$2:$B$103,Index!$C$2:$C$103,"Not Found")),"")</f>
        <v>W</v>
      </c>
      <c r="D7" s="1" t="str">
        <f t="array" ref="D7">IF(NOT(ISBLANK(A7)), (_xlfn.XLOOKUP($A7,Index!$B$2:B$103,Index!$A$2:$A$103,"Not Found")),"")</f>
        <v>base1-41</v>
      </c>
      <c r="E7" s="2" t="str">
        <f t="array" ref="E7">IF(NOT(ISBLANK($A7)), (_xlfn.XLOOKUP($A7,Index!$B$2:$B$103,Index!$D$2:$D$103,"Not Found")),"")</f>
        <v>b</v>
      </c>
      <c r="F7" s="1" t="str">
        <f t="array" ref="F7">IF(NOT(ISBLANK($A7)), (_xlfn.XLOOKUP($A7,Index!$B$2:$B$103,Index!$E$2:$E$103,"Not Found")),"")</f>
        <v>y</v>
      </c>
      <c r="G7" s="1">
        <f t="array" ref="G7">IF(NOT(ISBLANK(A7)), ((_xlfn.XLOOKUP(A7,Index!$B$2:$B$103,Index!$F$2:$F$103,"Not Found"))*B7),"")</f>
        <v>0</v>
      </c>
      <c r="K7" s="1" t="s">
        <v>267</v>
      </c>
      <c r="L7" s="4">
        <f t="shared" ref="L7:Q7" si="7">SUM(L2:L6)</f>
        <v>19</v>
      </c>
      <c r="M7" s="4">
        <f t="shared" si="7"/>
        <v>12</v>
      </c>
      <c r="N7" s="4">
        <f t="shared" si="7"/>
        <v>3</v>
      </c>
      <c r="O7" s="4">
        <f t="shared" si="7"/>
        <v>3</v>
      </c>
      <c r="P7" s="4">
        <f t="shared" si="7"/>
        <v>1</v>
      </c>
      <c r="Q7" s="4">
        <f t="shared" si="7"/>
        <v>2</v>
      </c>
    </row>
    <row r="8">
      <c r="A8" s="1" t="s">
        <v>106</v>
      </c>
      <c r="B8" s="1">
        <v>1.0</v>
      </c>
      <c r="C8" s="1" t="str">
        <f t="array" ref="C8">IF(NOT(ISBLANK($A8)), (_xlfn.XLOOKUP($A8,Index!$B$2:$B$103,Index!$C$2:$C$103,"Not Found")),"")</f>
        <v>W</v>
      </c>
      <c r="D8" s="1" t="str">
        <f t="array" ref="D8">IF(NOT(ISBLANK(A8)), (_xlfn.XLOOKUP($A8,Index!$B$2:B$103,Index!$A$2:$A$103,"Not Found")),"")</f>
        <v>base1-25</v>
      </c>
      <c r="E8" s="2">
        <f t="array" ref="E8">IF(NOT(ISBLANK($A8)), (_xlfn.XLOOKUP($A8,Index!$B$2:$B$103,Index!$D$2:$D$103,"Not Found")),"")</f>
        <v>1</v>
      </c>
      <c r="F8" s="1" t="str">
        <f t="array" ref="F8">IF(NOT(ISBLANK($A8)), (_xlfn.XLOOKUP($A8,Index!$B$2:$B$103,Index!$E$2:$E$103,"Not Found")),"")</f>
        <v>n</v>
      </c>
      <c r="G8" s="1">
        <f t="array" ref="G8">IF(NOT(ISBLANK(A8)), ((_xlfn.XLOOKUP(A8,Index!$B$2:$B$103,Index!$F$2:$F$103,"Not Found"))*B8),"")</f>
        <v>2</v>
      </c>
    </row>
    <row r="9">
      <c r="A9" s="1" t="s">
        <v>112</v>
      </c>
      <c r="B9" s="1">
        <v>2.0</v>
      </c>
      <c r="C9" s="1" t="str">
        <f t="array" ref="C9">IF(NOT(ISBLANK($A9)), (_xlfn.XLOOKUP($A9,Index!$B$2:$B$103,Index!$C$2:$C$103,"Not Found")),"")</f>
        <v>C</v>
      </c>
      <c r="D9" s="1" t="str">
        <f t="array" ref="D9">IF(NOT(ISBLANK(A9)), (_xlfn.XLOOKUP($A9,Index!$B$2:B$103,Index!$A$2:$A$103,"Not Found")),"")</f>
        <v>base1-27</v>
      </c>
      <c r="E9" s="2" t="str">
        <f t="array" ref="E9">IF(NOT(ISBLANK($A9)), (_xlfn.XLOOKUP($A9,Index!$B$2:$B$103,Index!$D$2:$D$103,"Not Found")),"")</f>
        <v>b</v>
      </c>
      <c r="F9" s="1" t="str">
        <f t="array" ref="F9">IF(NOT(ISBLANK($A9)), (_xlfn.XLOOKUP($A9,Index!$B$2:$B$103,Index!$E$2:$E$103,"Not Found")),"")</f>
        <v>n</v>
      </c>
      <c r="G9" s="1">
        <f t="array" ref="G9">IF(NOT(ISBLANK(A9)), ((_xlfn.XLOOKUP(A9,Index!$B$2:$B$103,Index!$F$2:$F$103,"Not Found"))*B9),"")</f>
        <v>0</v>
      </c>
      <c r="M9" s="1" t="s">
        <v>268</v>
      </c>
      <c r="N9" s="1" t="s">
        <v>269</v>
      </c>
      <c r="O9" s="1" t="s">
        <v>270</v>
      </c>
    </row>
    <row r="10">
      <c r="A10" s="1" t="s">
        <v>266</v>
      </c>
      <c r="B10" s="1">
        <v>26.0</v>
      </c>
      <c r="C10" s="1" t="str">
        <f t="array" ref="C10">IF(NOT(ISBLANK($A10)), (_xlfn.XLOOKUP($A10,Index!$B$2:$B$103,Index!$C$2:$C$103,"Not Found")),"")</f>
        <v>Energy</v>
      </c>
      <c r="D10" s="1" t="str">
        <f t="array" ref="D10">IF(NOT(ISBLANK(A10)), (_xlfn.XLOOKUP($A10,Index!$B$2:B$103,Index!$A$2:$A$103,"Not Found")),"")</f>
        <v>base1-102</v>
      </c>
      <c r="E10" s="2" t="str">
        <f t="array" ref="E10">IF(NOT(ISBLANK($A10)), (_xlfn.XLOOKUP($A10,Index!$B$2:$B$103,Index!$D$2:$D$103,"Not Found")),"")</f>
        <v/>
      </c>
      <c r="F10" s="1" t="str">
        <f t="array" ref="F10">IF(NOT(ISBLANK($A10)), (_xlfn.XLOOKUP($A10,Index!$B$2:$B$103,Index!$E$2:$E$103,"Not Found")),"")</f>
        <v/>
      </c>
      <c r="G10" s="1">
        <f t="array" ref="G10">IF(NOT(ISBLANK(A10)), ((_xlfn.XLOOKUP(A10,Index!$B$2:$B$103,Index!$F$2:$F$103,"Not Found"))*B10),"")</f>
        <v>0</v>
      </c>
      <c r="K10" s="1" t="s">
        <v>271</v>
      </c>
      <c r="L10" s="4">
        <f>SUM(M10:P10)</f>
        <v>15</v>
      </c>
      <c r="M10" s="4">
        <f>IF(NOT(ISBLANK($K10)), SUMIFS($B$2:$B$32,$E$2:$E$32, "C", $C$2:$C$32,"T"), "")</f>
        <v>8</v>
      </c>
      <c r="N10" s="4">
        <f>IF(NOT(ISBLANK($K10)), SUMIFS($B$2:$B$32,$E$2:$E$32, "U", $C$2:$C$32,"T"), "")</f>
        <v>4</v>
      </c>
      <c r="O10" s="4">
        <f>IF(NOT(ISBLANK($K$2)), SUMIFS($B$2:$B$32,$E$2:$E$32, "R", $C$2:$C$32,"T"), "")</f>
        <v>3</v>
      </c>
    </row>
    <row r="11">
      <c r="A11" s="1" t="s">
        <v>213</v>
      </c>
      <c r="B11" s="1">
        <v>1.0</v>
      </c>
      <c r="C11" s="1" t="str">
        <f t="array" ref="C11">IF(NOT(ISBLANK($A11)), (_xlfn.XLOOKUP($A11,Index!$B$2:$B$103,Index!$C$2:$C$103,"Not Found")),"")</f>
        <v>T</v>
      </c>
      <c r="D11" s="1" t="str">
        <f t="array" ref="D11">IF(NOT(ISBLANK(A11)), (_xlfn.XLOOKUP($A11,Index!$B$2:B$103,Index!$A$2:$A$103,"Not Found")),"")</f>
        <v>base1-77</v>
      </c>
      <c r="E11" s="2" t="str">
        <f t="array" ref="E11">IF(NOT(ISBLANK($A11)), (_xlfn.XLOOKUP($A11,Index!$B$2:$B$103,Index!$D$2:$D$103,"Not Found")),"")</f>
        <v>r</v>
      </c>
      <c r="F11" s="1" t="str">
        <f t="array" ref="F11">IF(NOT(ISBLANK($A11)), (_xlfn.XLOOKUP($A11,Index!$B$2:$B$103,Index!$E$2:$E$103,"Not Found")),"")</f>
        <v/>
      </c>
      <c r="G11" s="1">
        <f t="array" ref="G11">IF(NOT(ISBLANK(A11)), ((_xlfn.XLOOKUP(A11,Index!$B$2:$B$103,Index!$F$2:$F$103,"Not Found"))*B11),"")</f>
        <v>0</v>
      </c>
      <c r="K11" s="1" t="s">
        <v>254</v>
      </c>
      <c r="L11" s="1">
        <f>IF(NOT(ISBLANK($K$2)), SUMIFS($B$2:$B$32, $C$2:$C$32,"Energy"), "")</f>
        <v>26</v>
      </c>
    </row>
    <row r="12">
      <c r="A12" s="1" t="s">
        <v>217</v>
      </c>
      <c r="B12" s="1">
        <v>1.0</v>
      </c>
      <c r="C12" s="1" t="str">
        <f t="array" ref="C12">IF(NOT(ISBLANK($A12)), (_xlfn.XLOOKUP($A12,Index!$B$2:$B$103,Index!$C$2:$C$103,"Not Found")),"")</f>
        <v>T</v>
      </c>
      <c r="D12" s="1" t="str">
        <f t="array" ref="D12">IF(NOT(ISBLANK(A12)), (_xlfn.XLOOKUP($A12,Index!$B$2:B$103,Index!$A$2:$A$103,"Not Found")),"")</f>
        <v>base1-79</v>
      </c>
      <c r="E12" s="2" t="str">
        <f t="array" ref="E12">IF(NOT(ISBLANK($A12)), (_xlfn.XLOOKUP($A12,Index!$B$2:$B$103,Index!$D$2:$D$103,"Not Found")),"")</f>
        <v>r</v>
      </c>
      <c r="F12" s="1" t="str">
        <f t="array" ref="F12">IF(NOT(ISBLANK($A12)), (_xlfn.XLOOKUP($A12,Index!$B$2:$B$103,Index!$E$2:$E$103,"Not Found")),"")</f>
        <v/>
      </c>
      <c r="G12" s="1">
        <f t="array" ref="G12">IF(NOT(ISBLANK(A12)), ((_xlfn.XLOOKUP(A12,Index!$B$2:$B$103,Index!$F$2:$F$103,"Not Found"))*B12),"")</f>
        <v>0</v>
      </c>
      <c r="K12" s="1" t="s">
        <v>272</v>
      </c>
      <c r="L12" s="4">
        <f>L7</f>
        <v>19</v>
      </c>
    </row>
    <row r="13">
      <c r="A13" s="1" t="s">
        <v>236</v>
      </c>
      <c r="B13" s="1">
        <v>2.0</v>
      </c>
      <c r="C13" s="1" t="str">
        <f t="array" ref="C13">IF(NOT(ISBLANK($A13)), (_xlfn.XLOOKUP($A13,Index!$B$2:$B$103,Index!$C$2:$C$103,"Not Found")),"")</f>
        <v>T</v>
      </c>
      <c r="D13" s="1" t="str">
        <f t="array" ref="D13">IF(NOT(ISBLANK(A13)), (_xlfn.XLOOKUP($A13,Index!$B$2:B$103,Index!$A$2:$A$103,"Not Found")),"")</f>
        <v>base1-88</v>
      </c>
      <c r="E13" s="2" t="str">
        <f t="array" ref="E13">IF(NOT(ISBLANK($A13)), (_xlfn.XLOOKUP($A13,Index!$B$2:$B$103,Index!$D$2:$D$103,"Not Found")),"")</f>
        <v>u</v>
      </c>
      <c r="F13" s="1" t="str">
        <f t="array" ref="F13">IF(NOT(ISBLANK($A13)), (_xlfn.XLOOKUP($A13,Index!$B$2:$B$103,Index!$E$2:$E$103,"Not Found")),"")</f>
        <v/>
      </c>
      <c r="G13" s="1">
        <f t="array" ref="G13">IF(NOT(ISBLANK(A13)), ((_xlfn.XLOOKUP(A13,Index!$B$2:$B$103,Index!$F$2:$F$103,"Not Found"))*B13),"")</f>
        <v>0</v>
      </c>
    </row>
    <row r="14">
      <c r="A14" s="1" t="s">
        <v>242</v>
      </c>
      <c r="B14" s="1">
        <v>3.0</v>
      </c>
      <c r="C14" s="1" t="str">
        <f t="array" ref="C14">IF(NOT(ISBLANK($A14)), (_xlfn.XLOOKUP($A14,Index!$B$2:$B$103,Index!$C$2:$C$103,"Not Found")),"")</f>
        <v>T</v>
      </c>
      <c r="D14" s="1" t="str">
        <f t="array" ref="D14">IF(NOT(ISBLANK(A14)), (_xlfn.XLOOKUP($A14,Index!$B$2:B$103,Index!$A$2:$A$103,"Not Found")),"")</f>
        <v>base1-91</v>
      </c>
      <c r="E14" s="2" t="str">
        <f t="array" ref="E14">IF(NOT(ISBLANK($A14)), (_xlfn.XLOOKUP($A14,Index!$B$2:$B$103,Index!$D$2:$D$103,"Not Found")),"")</f>
        <v>c</v>
      </c>
      <c r="F14" s="1" t="str">
        <f t="array" ref="F14">IF(NOT(ISBLANK($A14)), (_xlfn.XLOOKUP($A14,Index!$B$2:$B$103,Index!$E$2:$E$103,"Not Found")),"")</f>
        <v/>
      </c>
      <c r="G14" s="1">
        <f t="array" ref="G14">IF(NOT(ISBLANK(A14)), ((_xlfn.XLOOKUP(A14,Index!$B$2:$B$103,Index!$F$2:$F$103,"Not Found"))*B14),"")</f>
        <v>0</v>
      </c>
    </row>
    <row r="15">
      <c r="A15" s="1" t="s">
        <v>249</v>
      </c>
      <c r="B15" s="1">
        <v>2.0</v>
      </c>
      <c r="C15" s="1" t="str">
        <f t="array" ref="C15">IF(NOT(ISBLANK($A15)), (_xlfn.XLOOKUP($A15,Index!$B$2:$B$103,Index!$C$2:$C$103,"Not Found")),"")</f>
        <v>T</v>
      </c>
      <c r="D15" s="1" t="str">
        <f t="array" ref="D15">IF(NOT(ISBLANK(A15)), (_xlfn.XLOOKUP($A15,Index!$B$2:B$103,Index!$A$2:$A$103,"Not Found")),"")</f>
        <v>base1-94</v>
      </c>
      <c r="E15" s="2" t="str">
        <f t="array" ref="E15">IF(NOT(ISBLANK($A15)), (_xlfn.XLOOKUP($A15,Index!$B$2:$B$103,Index!$D$2:$D$103,"Not Found")),"")</f>
        <v>c</v>
      </c>
      <c r="F15" s="1" t="str">
        <f t="array" ref="F15">IF(NOT(ISBLANK($A15)), (_xlfn.XLOOKUP($A15,Index!$B$2:$B$103,Index!$E$2:$E$103,"Not Found")),"")</f>
        <v/>
      </c>
      <c r="G15" s="1">
        <f t="array" ref="G15">IF(NOT(ISBLANK(A15)), ((_xlfn.XLOOKUP(A15,Index!$B$2:$B$103,Index!$F$2:$F$103,"Not Found"))*B15),"")</f>
        <v>0</v>
      </c>
      <c r="K15" s="1" t="s">
        <v>273</v>
      </c>
    </row>
    <row r="16">
      <c r="A16" s="1" t="s">
        <v>240</v>
      </c>
      <c r="B16" s="1">
        <v>1.0</v>
      </c>
      <c r="C16" s="1" t="str">
        <f t="array" ref="C16">IF(NOT(ISBLANK($A16)), (_xlfn.XLOOKUP($A16,Index!$B$2:$B$103,Index!$C$2:$C$103,"Not Found")),"")</f>
        <v>T</v>
      </c>
      <c r="D16" s="1" t="str">
        <f t="array" ref="D16">IF(NOT(ISBLANK(A16)), (_xlfn.XLOOKUP($A16,Index!$B$2:B$103,Index!$A$2:$A$103,"Not Found")),"")</f>
        <v>base1-90</v>
      </c>
      <c r="E16" s="2" t="str">
        <f t="array" ref="E16">IF(NOT(ISBLANK($A16)), (_xlfn.XLOOKUP($A16,Index!$B$2:$B$103,Index!$D$2:$D$103,"Not Found")),"")</f>
        <v>u</v>
      </c>
      <c r="F16" s="1" t="str">
        <f t="array" ref="F16">IF(NOT(ISBLANK($A16)), (_xlfn.XLOOKUP($A16,Index!$B$2:$B$103,Index!$E$2:$E$103,"Not Found")),"")</f>
        <v/>
      </c>
      <c r="G16" s="1">
        <f t="array" ref="G16">IF(NOT(ISBLANK(A16)), ((_xlfn.XLOOKUP(A16,Index!$B$2:$B$103,Index!$F$2:$F$103,"Not Found"))*B16),"")</f>
        <v>0</v>
      </c>
      <c r="K16" s="4" t="str">
        <f t="shared" ref="K16:K20" si="8">K2</f>
        <v>W</v>
      </c>
      <c r="L16" s="1">
        <f t="shared" ref="L16:L19" si="9">IF(NOT(ISBLANK($K2)), SUMIFS($G$2:$G$32, $C$2:$C$32,$K2), "")</f>
        <v>10</v>
      </c>
    </row>
    <row r="17">
      <c r="A17" s="3" t="s">
        <v>205</v>
      </c>
      <c r="B17" s="1">
        <v>1.0</v>
      </c>
      <c r="C17" s="1" t="str">
        <f t="array" ref="C17">IF(NOT(ISBLANK($A17)), (_xlfn.XLOOKUP($A17,Index!$B$2:$B$103,Index!$C$2:$C$103,"Not Found")),"")</f>
        <v>T</v>
      </c>
      <c r="D17" s="1" t="str">
        <f t="array" ref="D17">IF(NOT(ISBLANK(A17)), (_xlfn.XLOOKUP($A17,Index!$B$2:B$103,Index!$A$2:$A$103,"Not Found")),"")</f>
        <v>base1-73</v>
      </c>
      <c r="E17" s="2" t="str">
        <f t="array" ref="E17">IF(NOT(ISBLANK($A17)), (_xlfn.XLOOKUP($A17,Index!$B$2:$B$103,Index!$D$2:$D$103,"Not Found")),"")</f>
        <v>r</v>
      </c>
      <c r="F17" s="1" t="str">
        <f t="array" ref="F17">IF(NOT(ISBLANK($A17)), (_xlfn.XLOOKUP($A17,Index!$B$2:$B$103,Index!$E$2:$E$103,"Not Found")),"")</f>
        <v/>
      </c>
      <c r="G17" s="1">
        <f t="array" ref="G17">IF(NOT(ISBLANK(A17)), ((_xlfn.XLOOKUP(A17,Index!$B$2:$B$103,Index!$F$2:$F$103,"Not Found"))*B17),"")</f>
        <v>0</v>
      </c>
      <c r="K17" s="4" t="str">
        <f t="shared" si="8"/>
        <v>C</v>
      </c>
      <c r="L17" s="1">
        <f t="shared" si="9"/>
        <v>0</v>
      </c>
    </row>
    <row r="18">
      <c r="A18" s="1" t="s">
        <v>247</v>
      </c>
      <c r="B18" s="1">
        <v>1.0</v>
      </c>
      <c r="C18" s="1" t="str">
        <f t="array" ref="C18">IF(NOT(ISBLANK($A18)), (_xlfn.XLOOKUP($A18,Index!$B$2:$B$103,Index!$C$2:$C$103,"Not Found")),"")</f>
        <v>T</v>
      </c>
      <c r="D18" s="1" t="str">
        <f t="array" ref="D18">IF(NOT(ISBLANK(A18)), (_xlfn.XLOOKUP($A18,Index!$B$2:B$103,Index!$A$2:$A$103,"Not Found")),"")</f>
        <v>base1-93</v>
      </c>
      <c r="E18" s="2" t="str">
        <f t="array" ref="E18">IF(NOT(ISBLANK($A18)), (_xlfn.XLOOKUP($A18,Index!$B$2:$B$103,Index!$D$2:$D$103,"Not Found")),"")</f>
        <v>c</v>
      </c>
      <c r="F18" s="1" t="str">
        <f t="array" ref="F18">IF(NOT(ISBLANK($A18)), (_xlfn.XLOOKUP($A18,Index!$B$2:$B$103,Index!$E$2:$E$103,"Not Found")),"")</f>
        <v/>
      </c>
      <c r="G18" s="1">
        <f t="array" ref="G18">IF(NOT(ISBLANK(A18)), ((_xlfn.XLOOKUP(A18,Index!$B$2:$B$103,Index!$F$2:$F$103,"Not Found"))*B18),"")</f>
        <v>0</v>
      </c>
      <c r="K18" s="4" t="str">
        <f t="shared" si="8"/>
        <v/>
      </c>
      <c r="L18" s="1" t="str">
        <f t="shared" si="9"/>
        <v/>
      </c>
    </row>
    <row r="19">
      <c r="A19" s="1" t="s">
        <v>245</v>
      </c>
      <c r="B19" s="1">
        <v>2.0</v>
      </c>
      <c r="C19" s="1" t="str">
        <f t="array" ref="C19">IF(NOT(ISBLANK($A19)), (_xlfn.XLOOKUP($A19,Index!$B$2:$B$103,Index!$C$2:$C$103,"Not Found")),"")</f>
        <v>T</v>
      </c>
      <c r="D19" s="1" t="str">
        <f t="array" ref="D19">IF(NOT(ISBLANK(A19)), (_xlfn.XLOOKUP($A19,Index!$B$2:B$103,Index!$A$2:$A$103,"Not Found")),"")</f>
        <v>base1-92</v>
      </c>
      <c r="E19" s="2" t="str">
        <f t="array" ref="E19">IF(NOT(ISBLANK($A19)), (_xlfn.XLOOKUP($A19,Index!$B$2:$B$103,Index!$D$2:$D$103,"Not Found")),"")</f>
        <v>c</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228</v>
      </c>
      <c r="B20" s="1">
        <v>1.0</v>
      </c>
      <c r="C20" s="1" t="str">
        <f t="array" ref="C20">IF(NOT(ISBLANK($A20)), (_xlfn.XLOOKUP($A20,Index!$B$2:$B$103,Index!$C$2:$C$103,"Not Found")),"")</f>
        <v>T</v>
      </c>
      <c r="D20" s="1" t="str">
        <f t="array" ref="D20">IF(NOT(ISBLANK(A20)), (_xlfn.XLOOKUP($A20,Index!$B$2:B$103,Index!$A$2:$A$103,"Not Found")),"")</f>
        <v>base1-84</v>
      </c>
      <c r="E20" s="2" t="str">
        <f t="array" ref="E20">IF(NOT(ISBLANK($A20)), (_xlfn.XLOOKUP($A20,Index!$B$2:$B$103,Index!$D$2:$D$103,"Not Found")),"")</f>
        <v>u</v>
      </c>
      <c r="F20" s="1" t="str">
        <f t="array" ref="F20">IF(NOT(ISBLANK($A20)), (_xlfn.XLOOKUP($A20,Index!$B$2:$B$103,Index!$E$2:$E$103,"Not Found")),"")</f>
        <v/>
      </c>
      <c r="G20" s="1">
        <f t="array" ref="G20">IF(NOT(ISBLANK(A20)), ((_xlfn.XLOOKUP(A20,Index!$B$2:$B$103,Index!$F$2:$F$103,"Not Found"))*B20),"")</f>
        <v>0</v>
      </c>
      <c r="K20" s="4" t="str">
        <f t="shared" si="8"/>
        <v/>
      </c>
    </row>
    <row r="21">
      <c r="C21" s="1" t="str">
        <f t="array" ref="C21">IF(NOT(ISBLANK($A21)), (_xlfn.XLOOKUP($A21,Index!$B$2:$B$103,Index!$C$2:$C$103,"Not Found")),"")</f>
        <v/>
      </c>
      <c r="D21" s="1" t="str">
        <f t="array" ref="D21">IF(NOT(ISBLANK(A21)), (_xlfn.XLOOKUP($A21,Index!$B$2:B$103,Index!$A$2:$A$103,"Not Found")),"")</f>
        <v/>
      </c>
      <c r="E21" s="2" t="str">
        <f t="array" ref="E21">IF(NOT(ISBLANK($A21)), (_xlfn.XLOOKUP($A21,Index!$B$2:$B$103,Index!$D$2:$D$103,"Not Found")),"")</f>
        <v/>
      </c>
      <c r="F21" s="1" t="str">
        <f t="array" ref="F21">IF(NOT(ISBLANK($A21)), (_xlfn.XLOOKUP($A21,Index!$B$2:$B$103,Index!$E$2:$E$103,"Not Found")),"")</f>
        <v/>
      </c>
      <c r="G21" s="1" t="str">
        <f t="array" ref="G21">IF(NOT(ISBLANK(A21)), ((_xlfn.XLOOKUP(A21,Index!$B$2:$B$103,Index!$F$2:$F$103,"Not Found"))*B21),"")</f>
        <v/>
      </c>
      <c r="K21" s="1" t="s">
        <v>274</v>
      </c>
      <c r="L21" s="4">
        <f>SUM(G2:G46)</f>
        <v>10</v>
      </c>
    </row>
    <row r="22">
      <c r="C22" s="1" t="str">
        <f t="array" ref="C22">IF(NOT(ISBLANK($A22)), (_xlfn.XLOOKUP($A22,Index!$B$2:$B$103,Index!$C$2:$C$103,"Not Found")),"")</f>
        <v/>
      </c>
      <c r="D22" s="1" t="str">
        <f t="array" ref="D22">IF(NOT(ISBLANK(A22)), (_xlfn.XLOOKUP($A22,Index!$B$2:B$103,Index!$A$2:$A$103,"Not Found")),"")</f>
        <v/>
      </c>
      <c r="E22" s="2" t="str">
        <f t="array" ref="E22">IF(NOT(ISBLANK($A22)), (_xlfn.XLOOKUP($A22,Index!$B$2:$B$103,Index!$D$2:$D$103,"Not Found")),"")</f>
        <v/>
      </c>
      <c r="F22" s="1" t="str">
        <f t="array" ref="F22">IF(NOT(ISBLANK($A22)), (_xlfn.XLOOKUP($A22,Index!$B$2:$B$103,Index!$E$2:$E$103,"Not Found")),"")</f>
        <v/>
      </c>
      <c r="G22" s="1" t="str">
        <f t="array" ref="G22">IF(NOT(ISBLANK(A22)), ((_xlfn.XLOOKUP(A22,Index!$B$2:$B$103,Index!$F$2:$F$103,"Not Found"))*B22),"")</f>
        <v/>
      </c>
    </row>
    <row r="23">
      <c r="C23" s="1" t="str">
        <f t="array" ref="C23">IF(NOT(ISBLANK($A23)), (_xlfn.XLOOKUP($A23,Index!$B$2:$B$103,Index!$C$2:$C$103,"Not Found")),"")</f>
        <v/>
      </c>
      <c r="D23" s="1" t="str">
        <f t="array" ref="D23">IF(NOT(ISBLANK(A23)), (_xlfn.XLOOKUP($A23,Index!$B$2:B$103,Index!$A$2:$A$103,"Not Found")),"")</f>
        <v/>
      </c>
      <c r="E23" s="2" t="str">
        <f t="array" ref="E23">IF(NOT(ISBLANK($A23)), (_xlfn.XLOOKUP($A23,Index!$B$2:$B$103,Index!$D$2:$D$103,"Not Found")),"")</f>
        <v/>
      </c>
      <c r="F23" s="1" t="str">
        <f t="array" ref="F23">IF(NOT(ISBLANK($A23)), (_xlfn.XLOOKUP($A23,Index!$B$2:$B$103,Index!$E$2:$E$103,"Not Found")),"")</f>
        <v/>
      </c>
      <c r="G23" s="1" t="str">
        <f t="array" ref="G23">IF(NOT(ISBLANK(A23)), ((_xlfn.XLOOKUP(A23,Index!$B$2:$B$103,Index!$F$2:$F$103,"Not Found"))*B23),"")</f>
        <v/>
      </c>
    </row>
    <row r="24">
      <c r="C24" s="1" t="str">
        <f t="array" ref="C24">IF(NOT(ISBLANK($A24)), (_xlfn.XLOOKUP($A24,Index!$B$2:$B$103,Index!$C$2:$C$103,"Not Found")),"")</f>
        <v/>
      </c>
      <c r="D24" s="1" t="str">
        <f t="array" ref="D24">IF(NOT(ISBLANK(A24)), (_xlfn.XLOOKUP($A24,Index!$B$2:B$103,Index!$A$2:$A$103,"Not Found")),"")</f>
        <v/>
      </c>
      <c r="E24" s="2" t="str">
        <f t="array" ref="E24">IF(NOT(ISBLANK($A24)), (_xlfn.XLOOKUP($A24,Index!$B$2:$B$103,Index!$D$2:$D$103,"Not Found")),"")</f>
        <v/>
      </c>
      <c r="F24" s="1" t="str">
        <f t="array" ref="F24">IF(NOT(ISBLANK($A24)), (_xlfn.XLOOKUP($A24,Index!$B$2:$B$103,Index!$E$2:$E$103,"Not Found")),"")</f>
        <v/>
      </c>
      <c r="G24" s="1" t="str">
        <f t="array" ref="G24">IF(NOT(ISBLANK(A24)), ((_xlfn.XLOOKUP(A24,Index!$B$2:$B$103,Index!$F$2:$F$103,"Not Found"))*B24),"")</f>
        <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2</v>
      </c>
      <c r="C1" s="1" t="s">
        <v>3</v>
      </c>
      <c r="D1" s="1" t="s">
        <v>0</v>
      </c>
      <c r="E1" s="2" t="s">
        <v>5</v>
      </c>
      <c r="F1" s="1" t="s">
        <v>6</v>
      </c>
      <c r="G1" s="1" t="s">
        <v>7</v>
      </c>
      <c r="I1" s="1" t="s">
        <v>9</v>
      </c>
      <c r="K1" s="1" t="s">
        <v>3</v>
      </c>
      <c r="L1" s="1" t="s">
        <v>12</v>
      </c>
      <c r="M1" s="1" t="s">
        <v>14</v>
      </c>
      <c r="N1" s="1" t="s">
        <v>16</v>
      </c>
      <c r="O1" s="1" t="s">
        <v>17</v>
      </c>
      <c r="P1" s="1" t="s">
        <v>19</v>
      </c>
      <c r="Q1" s="1" t="s">
        <v>20</v>
      </c>
    </row>
    <row r="2">
      <c r="A2" s="1" t="s">
        <v>32</v>
      </c>
      <c r="B2" s="1">
        <v>3.0</v>
      </c>
      <c r="C2" s="1" t="str">
        <f t="array" ref="C2">IF(NOT(ISBLANK($A2)), (_xlfn.XLOOKUP($A2,Index!$B$2:$B$103,Index!$C$2:$C$103,"Not Found")),"")</f>
        <v>C</v>
      </c>
      <c r="D2" s="1" t="str">
        <f t="array" ref="D2">IF(NOT(ISBLANK(A2)), (_xlfn.XLOOKUP($A2,Index!$B$2:B$103,Index!$A$2:$A$103,"Not Found")),"")</f>
        <v>base1-3</v>
      </c>
      <c r="E2" s="2" t="str">
        <f t="array" ref="E2">IF(NOT(ISBLANK($A2)), (_xlfn.XLOOKUP($A2,Index!$B$2:$B$103,Index!$D$2:$D$103,"Not Found")),"")</f>
        <v>b</v>
      </c>
      <c r="F2" s="1" t="str">
        <f t="array" ref="F2">IF(NOT(ISBLANK($A2)), (_xlfn.XLOOKUP($A2,Index!$B$2:$B$103,Index!$E$2:$E$103,"Not Found")),"")</f>
        <v>n</v>
      </c>
      <c r="G2" s="1">
        <f t="array" ref="G2">IF(NOT(ISBLANK(A2)), ((_xlfn.XLOOKUP(A2,Index!$B$2:$B$103,Index!$F$2:$F$103,"Not Found"))*B2),"")</f>
        <v>4.5</v>
      </c>
      <c r="I2" s="4">
        <f>SUM(B2:B38)</f>
        <v>60</v>
      </c>
      <c r="K2" s="1" t="s">
        <v>40</v>
      </c>
      <c r="L2" s="4">
        <f t="shared" ref="L2:L6" si="1">IF(NOT(ISBLANK(K2)), SUM(M2:P2), "")</f>
        <v>11</v>
      </c>
      <c r="M2" s="1">
        <f t="shared" ref="M2:M5" si="2">IF(NOT(ISBLANK($K2)), SUMIFS($B$2:$B$32, $E$2:$E$32, "B", $C$2:$C$32,$K2), "")</f>
        <v>7</v>
      </c>
      <c r="N2" s="1">
        <f t="shared" ref="N2:N5" si="3">IF(NOT(ISBLANK($K2)),SUMIFS($B$2:$B$32,$E$2:$E$32, "1", $C$2:$C$32,$K2,$F$2:$F$32,"N"), "")</f>
        <v>0</v>
      </c>
      <c r="O2" s="1">
        <f t="shared" ref="O2:O5" si="4">IF(NOT(ISBLANK($K2)),SUMIFS($B$2:$B$32,$E$2:$E$32, "1", $C$2:$C$32,$K2,$F$2:$F$32,"Y"), "")</f>
        <v>3</v>
      </c>
      <c r="P2" s="1">
        <f t="shared" ref="P2:P5" si="5">IF(NOT(ISBLANK($K2)),SUMIFS($B$2:$B$32,$E$2:$E$32, "2", $C$2:$C$32,$K2), "")</f>
        <v>1</v>
      </c>
      <c r="Q2" s="1">
        <f t="shared" ref="Q2:Q5" si="6">IF(NOT(ISBLANK($K2)),SUMIFS($B$2:$B$32,$E$2:$E$32, "B", $C$2:$C$32,$K2,$F$2:$F$32,"N"), "")</f>
        <v>0</v>
      </c>
    </row>
    <row r="3">
      <c r="A3" s="1" t="s">
        <v>151</v>
      </c>
      <c r="B3" s="1">
        <v>4.0</v>
      </c>
      <c r="C3" s="1" t="str">
        <f t="array" ref="C3">IF(NOT(ISBLANK($A3)), (_xlfn.XLOOKUP($A3,Index!$B$2:$B$103,Index!$C$2:$C$103,"Not Found")),"")</f>
        <v>R</v>
      </c>
      <c r="D3" s="1" t="str">
        <f t="array" ref="D3">IF(NOT(ISBLANK(A3)), (_xlfn.XLOOKUP($A3,Index!$B$2:B$103,Index!$A$2:$A$103,"Not Found")),"")</f>
        <v>base1-46</v>
      </c>
      <c r="E3" s="2" t="str">
        <f t="array" ref="E3">IF(NOT(ISBLANK($A3)), (_xlfn.XLOOKUP($A3,Index!$B$2:$B$103,Index!$D$2:$D$103,"Not Found")),"")</f>
        <v>b</v>
      </c>
      <c r="F3" s="1" t="str">
        <f t="array" ref="F3">IF(NOT(ISBLANK($A3)), (_xlfn.XLOOKUP($A3,Index!$B$2:$B$103,Index!$E$2:$E$103,"Not Found")),"")</f>
        <v>y</v>
      </c>
      <c r="G3" s="1">
        <f t="array" ref="G3">IF(NOT(ISBLANK(A3)), ((_xlfn.XLOOKUP(A3,Index!$B$2:$B$103,Index!$F$2:$F$103,"Not Found"))*B3),"")</f>
        <v>0</v>
      </c>
      <c r="K3" s="1" t="s">
        <v>33</v>
      </c>
      <c r="L3" s="4">
        <f t="shared" si="1"/>
        <v>8</v>
      </c>
      <c r="M3" s="1">
        <f t="shared" si="2"/>
        <v>6</v>
      </c>
      <c r="N3" s="1">
        <f t="shared" si="3"/>
        <v>0</v>
      </c>
      <c r="O3" s="1">
        <f t="shared" si="4"/>
        <v>2</v>
      </c>
      <c r="P3" s="1">
        <f t="shared" si="5"/>
        <v>0</v>
      </c>
      <c r="Q3" s="1">
        <f t="shared" si="6"/>
        <v>3</v>
      </c>
    </row>
    <row r="4">
      <c r="A4" s="1" t="s">
        <v>102</v>
      </c>
      <c r="B4" s="1">
        <v>3.0</v>
      </c>
      <c r="C4" s="1" t="str">
        <f t="array" ref="C4">IF(NOT(ISBLANK($A4)), (_xlfn.XLOOKUP($A4,Index!$B$2:$B$103,Index!$C$2:$C$103,"Not Found")),"")</f>
        <v>R</v>
      </c>
      <c r="D4" s="1" t="str">
        <f t="array" ref="D4">IF(NOT(ISBLANK(A4)), (_xlfn.XLOOKUP($A4,Index!$B$2:B$103,Index!$A$2:$A$103,"Not Found")),"")</f>
        <v>base1-24</v>
      </c>
      <c r="E4" s="2">
        <f t="array" ref="E4">IF(NOT(ISBLANK($A4)), (_xlfn.XLOOKUP($A4,Index!$B$2:$B$103,Index!$D$2:$D$103,"Not Found")),"")</f>
        <v>1</v>
      </c>
      <c r="F4" s="1" t="str">
        <f t="array" ref="F4">IF(NOT(ISBLANK($A4)), (_xlfn.XLOOKUP($A4,Index!$B$2:$B$103,Index!$E$2:$E$103,"Not Found")),"")</f>
        <v>y</v>
      </c>
      <c r="G4" s="1">
        <f t="array" ref="G4">IF(NOT(ISBLANK(A4)), ((_xlfn.XLOOKUP(A4,Index!$B$2:$B$103,Index!$F$2:$F$103,"Not Found"))*B4),"")</f>
        <v>0</v>
      </c>
      <c r="L4" s="4" t="str">
        <f t="shared" si="1"/>
        <v/>
      </c>
      <c r="M4" s="1" t="str">
        <f t="shared" si="2"/>
        <v/>
      </c>
      <c r="N4" s="1" t="str">
        <f t="shared" si="3"/>
        <v/>
      </c>
      <c r="O4" s="1" t="str">
        <f t="shared" si="4"/>
        <v/>
      </c>
      <c r="P4" s="1" t="str">
        <f t="shared" si="5"/>
        <v/>
      </c>
      <c r="Q4" s="1" t="str">
        <f t="shared" si="6"/>
        <v/>
      </c>
    </row>
    <row r="5">
      <c r="A5" s="1" t="s">
        <v>39</v>
      </c>
      <c r="B5" s="1">
        <v>1.0</v>
      </c>
      <c r="C5" s="1" t="str">
        <f t="array" ref="C5">IF(NOT(ISBLANK($A5)), (_xlfn.XLOOKUP($A5,Index!$B$2:$B$103,Index!$C$2:$C$103,"Not Found")),"")</f>
        <v>R</v>
      </c>
      <c r="D5" s="1" t="str">
        <f t="array" ref="D5">IF(NOT(ISBLANK(A5)), (_xlfn.XLOOKUP($A5,Index!$B$2:B$103,Index!$A$2:$A$103,"Not Found")),"")</f>
        <v>base1-4</v>
      </c>
      <c r="E5" s="2">
        <f t="array" ref="E5">IF(NOT(ISBLANK($A5)), (_xlfn.XLOOKUP($A5,Index!$B$2:$B$103,Index!$D$2:$D$103,"Not Found")),"")</f>
        <v>2</v>
      </c>
      <c r="F5" s="1" t="str">
        <f t="array" ref="F5">IF(NOT(ISBLANK($A5)), (_xlfn.XLOOKUP($A5,Index!$B$2:$B$103,Index!$E$2:$E$103,"Not Found")),"")</f>
        <v/>
      </c>
      <c r="G5" s="1">
        <f t="array" ref="G5">IF(NOT(ISBLANK(A5)), ((_xlfn.XLOOKUP(A5,Index!$B$2:$B$103,Index!$F$2:$F$103,"Not Found"))*B5),"")</f>
        <v>4</v>
      </c>
      <c r="L5" s="4" t="str">
        <f t="shared" si="1"/>
        <v/>
      </c>
      <c r="M5" s="1" t="str">
        <f t="shared" si="2"/>
        <v/>
      </c>
      <c r="N5" s="1" t="str">
        <f t="shared" si="3"/>
        <v/>
      </c>
      <c r="O5" s="1" t="str">
        <f t="shared" si="4"/>
        <v/>
      </c>
      <c r="P5" s="1" t="str">
        <f t="shared" si="5"/>
        <v/>
      </c>
      <c r="Q5" s="1" t="str">
        <f t="shared" si="6"/>
        <v/>
      </c>
    </row>
    <row r="6">
      <c r="A6" s="1" t="s">
        <v>194</v>
      </c>
      <c r="B6" s="1">
        <v>3.0</v>
      </c>
      <c r="C6" s="1" t="str">
        <f t="array" ref="C6">IF(NOT(ISBLANK($A6)), (_xlfn.XLOOKUP($A6,Index!$B$2:$B$103,Index!$C$2:$C$103,"Not Found")),"")</f>
        <v>R</v>
      </c>
      <c r="D6" s="1" t="str">
        <f t="array" ref="D6">IF(NOT(ISBLANK(A6)), (_xlfn.XLOOKUP($A6,Index!$B$2:B$103,Index!$A$2:$A$103,"Not Found")),"")</f>
        <v>base1-68</v>
      </c>
      <c r="E6" s="2" t="str">
        <f t="array" ref="E6">IF(NOT(ISBLANK($A6)), (_xlfn.XLOOKUP($A6,Index!$B$2:$B$103,Index!$D$2:$D$103,"Not Found")),"")</f>
        <v>b</v>
      </c>
      <c r="F6" s="1" t="str">
        <f t="array" ref="F6">IF(NOT(ISBLANK($A6)), (_xlfn.XLOOKUP($A6,Index!$B$2:$B$103,Index!$E$2:$E$103,"Not Found")),"")</f>
        <v>y</v>
      </c>
      <c r="G6" s="1">
        <f t="array" ref="G6">IF(NOT(ISBLANK(A6)), ((_xlfn.XLOOKUP(A6,Index!$B$2:$B$103,Index!$F$2:$F$103,"Not Found"))*B6),"")</f>
        <v>0</v>
      </c>
      <c r="L6" s="4"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68</v>
      </c>
      <c r="B7" s="1">
        <v>2.0</v>
      </c>
      <c r="C7" s="1" t="str">
        <f t="array" ref="C7">IF(NOT(ISBLANK($A7)), (_xlfn.XLOOKUP($A7,Index!$B$2:$B$103,Index!$C$2:$C$103,"Not Found")),"")</f>
        <v>F</v>
      </c>
      <c r="D7" s="1" t="str">
        <f t="array" ref="D7">IF(NOT(ISBLANK(A7)), (_xlfn.XLOOKUP($A7,Index!$B$2:B$103,Index!$A$2:$A$103,"Not Found")),"")</f>
        <v>base1-12</v>
      </c>
      <c r="E7" s="2">
        <f t="array" ref="E7">IF(NOT(ISBLANK($A7)), (_xlfn.XLOOKUP($A7,Index!$B$2:$B$103,Index!$D$2:$D$103,"Not Found")),"")</f>
        <v>1</v>
      </c>
      <c r="F7" s="1" t="str">
        <f t="array" ref="F7">IF(NOT(ISBLANK($A7)), (_xlfn.XLOOKUP($A7,Index!$B$2:$B$103,Index!$E$2:$E$103,"Not Found")),"")</f>
        <v>n</v>
      </c>
      <c r="G7" s="1">
        <f t="array" ref="G7">IF(NOT(ISBLANK(A7)), ((_xlfn.XLOOKUP(A7,Index!$B$2:$B$103,Index!$F$2:$F$103,"Not Found"))*B7),"")</f>
        <v>4</v>
      </c>
      <c r="K7" s="1" t="s">
        <v>267</v>
      </c>
      <c r="L7" s="4">
        <f t="shared" ref="L7:Q7" si="7">SUM(L2:L6)</f>
        <v>19</v>
      </c>
      <c r="M7" s="4">
        <f t="shared" si="7"/>
        <v>13</v>
      </c>
      <c r="N7" s="4">
        <f t="shared" si="7"/>
        <v>0</v>
      </c>
      <c r="O7" s="4">
        <f t="shared" si="7"/>
        <v>5</v>
      </c>
      <c r="P7" s="4">
        <f t="shared" si="7"/>
        <v>1</v>
      </c>
      <c r="Q7" s="4">
        <f t="shared" si="7"/>
        <v>3</v>
      </c>
    </row>
    <row r="8">
      <c r="A8" s="1" t="s">
        <v>174</v>
      </c>
      <c r="B8" s="1">
        <v>3.0</v>
      </c>
      <c r="C8" s="1" t="str">
        <f t="array" ref="C8">IF(NOT(ISBLANK($A8)), (_xlfn.XLOOKUP($A8,Index!$B$2:$B$103,Index!$C$2:$C$103,"Not Found")),"")</f>
        <v>C</v>
      </c>
      <c r="D8" s="1" t="str">
        <f t="array" ref="D8">IF(NOT(ISBLANK(A8)), (_xlfn.XLOOKUP($A8,Index!$B$2:B$103,Index!$A$2:$A$103,"Not Found")),"")</f>
        <v>base1-57</v>
      </c>
      <c r="E8" s="2" t="str">
        <f t="array" ref="E8">IF(NOT(ISBLANK($A8)), (_xlfn.XLOOKUP($A8,Index!$B$2:$B$103,Index!$D$2:$D$103,"Not Found")),"")</f>
        <v>b</v>
      </c>
      <c r="F8" s="1" t="str">
        <f t="array" ref="F8">IF(NOT(ISBLANK($A8)), (_xlfn.XLOOKUP($A8,Index!$B$2:$B$103,Index!$E$2:$E$103,"Not Found")),"")</f>
        <v>y</v>
      </c>
      <c r="G8" s="1">
        <f t="array" ref="G8">IF(NOT(ISBLANK(A8)), ((_xlfn.XLOOKUP(A8,Index!$B$2:$B$103,Index!$F$2:$F$103,"Not Found"))*B8),"")</f>
        <v>0</v>
      </c>
    </row>
    <row r="9">
      <c r="A9" s="1" t="s">
        <v>96</v>
      </c>
      <c r="B9" s="1">
        <v>2.0</v>
      </c>
      <c r="C9" s="1" t="str">
        <f t="array" ref="C9">IF(NOT(ISBLANK($A9)), (_xlfn.XLOOKUP($A9,Index!$B$2:$B$103,Index!$C$2:$C$103,"Not Found")),"")</f>
        <v>C</v>
      </c>
      <c r="D9" s="1" t="str">
        <f t="array" ref="D9">IF(NOT(ISBLANK(A9)), (_xlfn.XLOOKUP($A9,Index!$B$2:B$103,Index!$A$2:$A$103,"Not Found")),"")</f>
        <v>base1-22</v>
      </c>
      <c r="E9" s="2">
        <f t="array" ref="E9">IF(NOT(ISBLANK($A9)), (_xlfn.XLOOKUP($A9,Index!$B$2:$B$103,Index!$D$2:$D$103,"Not Found")),"")</f>
        <v>1</v>
      </c>
      <c r="F9" s="1" t="str">
        <f t="array" ref="F9">IF(NOT(ISBLANK($A9)), (_xlfn.XLOOKUP($A9,Index!$B$2:$B$103,Index!$E$2:$E$103,"Not Found")),"")</f>
        <v>y</v>
      </c>
      <c r="G9" s="1">
        <f t="array" ref="G9">IF(NOT(ISBLANK(A9)), ((_xlfn.XLOOKUP(A9,Index!$B$2:$B$103,Index!$F$2:$F$103,"Not Found"))*B9),"")</f>
        <v>0</v>
      </c>
      <c r="M9" s="1" t="s">
        <v>268</v>
      </c>
      <c r="N9" s="1" t="s">
        <v>269</v>
      </c>
      <c r="O9" s="1" t="s">
        <v>270</v>
      </c>
    </row>
    <row r="10">
      <c r="A10" s="1" t="s">
        <v>201</v>
      </c>
      <c r="B10" s="1">
        <v>1.0</v>
      </c>
      <c r="C10" s="1" t="str">
        <f t="array" ref="C10">IF(NOT(ISBLANK($A10)), (_xlfn.XLOOKUP($A10,Index!$B$2:$B$103,Index!$C$2:$C$103,"Not Found")),"")</f>
        <v>T</v>
      </c>
      <c r="D10" s="1" t="str">
        <f t="array" ref="D10">IF(NOT(ISBLANK(A10)), (_xlfn.XLOOKUP($A10,Index!$B$2:B$103,Index!$A$2:$A$103,"Not Found")),"")</f>
        <v>base1-71</v>
      </c>
      <c r="E10" s="2" t="str">
        <f t="array" ref="E10">IF(NOT(ISBLANK($A10)), (_xlfn.XLOOKUP($A10,Index!$B$2:$B$103,Index!$D$2:$D$103,"Not Found")),"")</f>
        <v>r</v>
      </c>
      <c r="F10" s="1" t="str">
        <f t="array" ref="F10">IF(NOT(ISBLANK($A10)), (_xlfn.XLOOKUP($A10,Index!$B$2:$B$103,Index!$E$2:$E$103,"Not Found")),"")</f>
        <v/>
      </c>
      <c r="G10" s="1">
        <f t="array" ref="G10">IF(NOT(ISBLANK(A10)), ((_xlfn.XLOOKUP(A10,Index!$B$2:$B$103,Index!$F$2:$F$103,"Not Found"))*B10),"")</f>
        <v>0</v>
      </c>
      <c r="K10" s="1" t="s">
        <v>271</v>
      </c>
      <c r="L10" s="4">
        <f>SUM(M10:P10)</f>
        <v>14</v>
      </c>
      <c r="M10" s="4">
        <f>IF(NOT(ISBLANK($K10)), SUMIFS($B$2:$B$32,$E$2:$E$32, "C", $C$2:$C$32,"T"), "")</f>
        <v>7</v>
      </c>
      <c r="N10" s="4">
        <f>IF(NOT(ISBLANK($K10)), SUMIFS($B$2:$B$32,$E$2:$E$32, "U", $C$2:$C$32,"T"), "")</f>
        <v>4</v>
      </c>
      <c r="O10" s="4">
        <f>IF(NOT(ISBLANK($K$2)), SUMIFS($B$2:$B$32,$E$2:$E$32, "R", $C$2:$C$32,"T"), "")</f>
        <v>3</v>
      </c>
    </row>
    <row r="11">
      <c r="A11" s="1" t="s">
        <v>258</v>
      </c>
      <c r="B11" s="1">
        <v>21.0</v>
      </c>
      <c r="C11" s="1" t="str">
        <f t="array" ref="C11">IF(NOT(ISBLANK($A11)), (_xlfn.XLOOKUP($A11,Index!$B$2:$B$103,Index!$C$2:$C$103,"Not Found")),"")</f>
        <v>Energy</v>
      </c>
      <c r="D11" s="1" t="str">
        <f t="array" ref="D11">IF(NOT(ISBLANK(A11)), (_xlfn.XLOOKUP($A11,Index!$B$2:B$103,Index!$A$2:$A$103,"Not Found")),"")</f>
        <v>base1-98</v>
      </c>
      <c r="E11" s="2" t="str">
        <f t="array" ref="E11">IF(NOT(ISBLANK($A11)), (_xlfn.XLOOKUP($A11,Index!$B$2:$B$103,Index!$D$2:$D$103,"Not Found")),"")</f>
        <v/>
      </c>
      <c r="F11" s="1" t="str">
        <f t="array" ref="F11">IF(NOT(ISBLANK($A11)), (_xlfn.XLOOKUP($A11,Index!$B$2:$B$103,Index!$E$2:$E$103,"Not Found")),"")</f>
        <v/>
      </c>
      <c r="G11" s="1">
        <f t="array" ref="G11">IF(NOT(ISBLANK(A11)), ((_xlfn.XLOOKUP(A11,Index!$B$2:$B$103,Index!$F$2:$F$103,"Not Found"))*B11),"")</f>
        <v>0</v>
      </c>
      <c r="K11" s="1" t="s">
        <v>254</v>
      </c>
      <c r="L11" s="1">
        <f>IF(NOT(ISBLANK($K$2)), SUMIFS($B$2:$B$32, $C$2:$C$32,"Energy"), "")</f>
        <v>25</v>
      </c>
    </row>
    <row r="12">
      <c r="A12" s="1" t="s">
        <v>253</v>
      </c>
      <c r="B12" s="1">
        <v>4.0</v>
      </c>
      <c r="C12" s="1" t="str">
        <f t="array" ref="C12">IF(NOT(ISBLANK($A12)), (_xlfn.XLOOKUP($A12,Index!$B$2:$B$103,Index!$C$2:$C$103,"Not Found")),"")</f>
        <v>Energy</v>
      </c>
      <c r="D12" s="1" t="str">
        <f t="array" ref="D12">IF(NOT(ISBLANK(A12)), (_xlfn.XLOOKUP($A12,Index!$B$2:B$103,Index!$A$2:$A$103,"Not Found")),"")</f>
        <v>base1-96</v>
      </c>
      <c r="E12" s="2" t="str">
        <f t="array" ref="E12">IF(NOT(ISBLANK($A12)), (_xlfn.XLOOKUP($A12,Index!$B$2:$B$103,Index!$D$2:$D$103,"Not Found")),"")</f>
        <v/>
      </c>
      <c r="F12" s="1" t="str">
        <f t="array" ref="F12">IF(NOT(ISBLANK($A12)), (_xlfn.XLOOKUP($A12,Index!$B$2:$B$103,Index!$E$2:$E$103,"Not Found")),"")</f>
        <v/>
      </c>
      <c r="G12" s="1">
        <f t="array" ref="G12">IF(NOT(ISBLANK(A12)), ((_xlfn.XLOOKUP(A12,Index!$B$2:$B$103,Index!$F$2:$F$103,"Not Found"))*B12),"")</f>
        <v>0</v>
      </c>
      <c r="K12" s="1" t="s">
        <v>272</v>
      </c>
      <c r="L12" s="4">
        <f>L7</f>
        <v>19</v>
      </c>
    </row>
    <row r="13">
      <c r="A13" s="1" t="s">
        <v>213</v>
      </c>
      <c r="B13" s="1">
        <v>2.0</v>
      </c>
      <c r="C13" s="1" t="str">
        <f t="array" ref="C13">IF(NOT(ISBLANK($A13)), (_xlfn.XLOOKUP($A13,Index!$B$2:$B$103,Index!$C$2:$C$103,"Not Found")),"")</f>
        <v>T</v>
      </c>
      <c r="D13" s="1" t="str">
        <f t="array" ref="D13">IF(NOT(ISBLANK(A13)), (_xlfn.XLOOKUP($A13,Index!$B$2:B$103,Index!$A$2:$A$103,"Not Found")),"")</f>
        <v>base1-77</v>
      </c>
      <c r="E13" s="2" t="str">
        <f t="array" ref="E13">IF(NOT(ISBLANK($A13)), (_xlfn.XLOOKUP($A13,Index!$B$2:$B$103,Index!$D$2:$D$103,"Not Found")),"")</f>
        <v>r</v>
      </c>
      <c r="F13" s="1" t="str">
        <f t="array" ref="F13">IF(NOT(ISBLANK($A13)), (_xlfn.XLOOKUP($A13,Index!$B$2:$B$103,Index!$E$2:$E$103,"Not Found")),"")</f>
        <v/>
      </c>
      <c r="G13" s="1">
        <f t="array" ref="G13">IF(NOT(ISBLANK(A13)), ((_xlfn.XLOOKUP(A13,Index!$B$2:$B$103,Index!$F$2:$F$103,"Not Found"))*B13),"")</f>
        <v>0</v>
      </c>
    </row>
    <row r="14">
      <c r="A14" s="1" t="s">
        <v>249</v>
      </c>
      <c r="B14" s="1">
        <v>1.0</v>
      </c>
      <c r="C14" s="1" t="str">
        <f t="array" ref="C14">IF(NOT(ISBLANK($A14)), (_xlfn.XLOOKUP($A14,Index!$B$2:$B$103,Index!$C$2:$C$103,"Not Found")),"")</f>
        <v>T</v>
      </c>
      <c r="D14" s="1" t="str">
        <f t="array" ref="D14">IF(NOT(ISBLANK(A14)), (_xlfn.XLOOKUP($A14,Index!$B$2:B$103,Index!$A$2:$A$103,"Not Found")),"")</f>
        <v>base1-94</v>
      </c>
      <c r="E14" s="2" t="str">
        <f t="array" ref="E14">IF(NOT(ISBLANK($A14)), (_xlfn.XLOOKUP($A14,Index!$B$2:$B$103,Index!$D$2:$D$103,"Not Found")),"")</f>
        <v>c</v>
      </c>
      <c r="F14" s="1" t="str">
        <f t="array" ref="F14">IF(NOT(ISBLANK($A14)), (_xlfn.XLOOKUP($A14,Index!$B$2:$B$103,Index!$E$2:$E$103,"Not Found")),"")</f>
        <v/>
      </c>
      <c r="G14" s="1">
        <f t="array" ref="G14">IF(NOT(ISBLANK(A14)), ((_xlfn.XLOOKUP(A14,Index!$B$2:$B$103,Index!$F$2:$F$103,"Not Found"))*B14),"")</f>
        <v>0</v>
      </c>
    </row>
    <row r="15">
      <c r="A15" s="1" t="s">
        <v>236</v>
      </c>
      <c r="B15" s="1">
        <v>2.0</v>
      </c>
      <c r="C15" s="1" t="str">
        <f t="array" ref="C15">IF(NOT(ISBLANK($A15)), (_xlfn.XLOOKUP($A15,Index!$B$2:$B$103,Index!$C$2:$C$103,"Not Found")),"")</f>
        <v>T</v>
      </c>
      <c r="D15" s="1" t="str">
        <f t="array" ref="D15">IF(NOT(ISBLANK(A15)), (_xlfn.XLOOKUP($A15,Index!$B$2:B$103,Index!$A$2:$A$103,"Not Found")),"")</f>
        <v>base1-88</v>
      </c>
      <c r="E15" s="2" t="str">
        <f t="array" ref="E15">IF(NOT(ISBLANK($A15)), (_xlfn.XLOOKUP($A15,Index!$B$2:$B$103,Index!$D$2:$D$103,"Not Found")),"")</f>
        <v>u</v>
      </c>
      <c r="F15" s="1" t="str">
        <f t="array" ref="F15">IF(NOT(ISBLANK($A15)), (_xlfn.XLOOKUP($A15,Index!$B$2:$B$103,Index!$E$2:$E$103,"Not Found")),"")</f>
        <v/>
      </c>
      <c r="G15" s="1">
        <f t="array" ref="G15">IF(NOT(ISBLANK(A15)), ((_xlfn.XLOOKUP(A15,Index!$B$2:$B$103,Index!$F$2:$F$103,"Not Found"))*B15),"")</f>
        <v>0</v>
      </c>
      <c r="K15" s="1" t="s">
        <v>273</v>
      </c>
    </row>
    <row r="16">
      <c r="A16" s="1" t="s">
        <v>242</v>
      </c>
      <c r="B16" s="1">
        <v>3.0</v>
      </c>
      <c r="C16" s="1" t="str">
        <f t="array" ref="C16">IF(NOT(ISBLANK($A16)), (_xlfn.XLOOKUP($A16,Index!$B$2:$B$103,Index!$C$2:$C$103,"Not Found")),"")</f>
        <v>T</v>
      </c>
      <c r="D16" s="1" t="str">
        <f t="array" ref="D16">IF(NOT(ISBLANK(A16)), (_xlfn.XLOOKUP($A16,Index!$B$2:B$103,Index!$A$2:$A$103,"Not Found")),"")</f>
        <v>base1-91</v>
      </c>
      <c r="E16" s="2" t="str">
        <f t="array" ref="E16">IF(NOT(ISBLANK($A16)), (_xlfn.XLOOKUP($A16,Index!$B$2:$B$103,Index!$D$2:$D$103,"Not Found")),"")</f>
        <v>c</v>
      </c>
      <c r="F16" s="1" t="str">
        <f t="array" ref="F16">IF(NOT(ISBLANK($A16)), (_xlfn.XLOOKUP($A16,Index!$B$2:$B$103,Index!$E$2:$E$103,"Not Found")),"")</f>
        <v/>
      </c>
      <c r="G16" s="1">
        <f t="array" ref="G16">IF(NOT(ISBLANK(A16)), ((_xlfn.XLOOKUP(A16,Index!$B$2:$B$103,Index!$F$2:$F$103,"Not Found"))*B16),"")</f>
        <v>0</v>
      </c>
      <c r="K16" s="4" t="str">
        <f t="shared" ref="K16:K20" si="8">K2</f>
        <v>R</v>
      </c>
      <c r="L16" s="1">
        <f t="shared" ref="L16:L19" si="9">IF(NOT(ISBLANK($K2)), SUMIFS($G$2:$G$32, $C$2:$C$32,$K2), "")</f>
        <v>4</v>
      </c>
    </row>
    <row r="17">
      <c r="A17" s="1" t="s">
        <v>251</v>
      </c>
      <c r="B17" s="1">
        <v>1.0</v>
      </c>
      <c r="C17" s="1" t="str">
        <f t="array" ref="C17">IF(NOT(ISBLANK($A17)), (_xlfn.XLOOKUP($A17,Index!$B$2:$B$103,Index!$C$2:$C$103,"Not Found")),"")</f>
        <v>T</v>
      </c>
      <c r="D17" s="1" t="str">
        <f t="array" ref="D17">IF(NOT(ISBLANK(A17)), (_xlfn.XLOOKUP($A17,Index!$B$2:B$103,Index!$A$2:$A$103,"Not Found")),"")</f>
        <v>base1-95</v>
      </c>
      <c r="E17" s="2" t="str">
        <f t="array" ref="E17">IF(NOT(ISBLANK($A17)), (_xlfn.XLOOKUP($A17,Index!$B$2:$B$103,Index!$D$2:$D$103,"Not Found")),"")</f>
        <v>c</v>
      </c>
      <c r="F17" s="1" t="str">
        <f t="array" ref="F17">IF(NOT(ISBLANK($A17)), (_xlfn.XLOOKUP($A17,Index!$B$2:$B$103,Index!$E$2:$E$103,"Not Found")),"")</f>
        <v/>
      </c>
      <c r="G17" s="1">
        <f t="array" ref="G17">IF(NOT(ISBLANK(A17)), ((_xlfn.XLOOKUP(A17,Index!$B$2:$B$103,Index!$F$2:$F$103,"Not Found"))*B17),"")</f>
        <v>0</v>
      </c>
      <c r="K17" s="4" t="str">
        <f t="shared" si="8"/>
        <v>C</v>
      </c>
      <c r="L17" s="1">
        <f t="shared" si="9"/>
        <v>4.5</v>
      </c>
    </row>
    <row r="18">
      <c r="A18" s="1" t="s">
        <v>247</v>
      </c>
      <c r="B18" s="1">
        <v>1.0</v>
      </c>
      <c r="C18" s="1" t="str">
        <f t="array" ref="C18">IF(NOT(ISBLANK($A18)), (_xlfn.XLOOKUP($A18,Index!$B$2:$B$103,Index!$C$2:$C$103,"Not Found")),"")</f>
        <v>T</v>
      </c>
      <c r="D18" s="1" t="str">
        <f t="array" ref="D18">IF(NOT(ISBLANK(A18)), (_xlfn.XLOOKUP($A18,Index!$B$2:B$103,Index!$A$2:$A$103,"Not Found")),"")</f>
        <v>base1-93</v>
      </c>
      <c r="E18" s="2" t="str">
        <f t="array" ref="E18">IF(NOT(ISBLANK($A18)), (_xlfn.XLOOKUP($A18,Index!$B$2:$B$103,Index!$D$2:$D$103,"Not Found")),"")</f>
        <v>c</v>
      </c>
      <c r="F18" s="1" t="str">
        <f t="array" ref="F18">IF(NOT(ISBLANK($A18)), (_xlfn.XLOOKUP($A18,Index!$B$2:$B$103,Index!$E$2:$E$103,"Not Found")),"")</f>
        <v/>
      </c>
      <c r="G18" s="1">
        <f t="array" ref="G18">IF(NOT(ISBLANK(A18)), ((_xlfn.XLOOKUP(A18,Index!$B$2:$B$103,Index!$F$2:$F$103,"Not Found"))*B18),"")</f>
        <v>0</v>
      </c>
      <c r="K18" s="4" t="str">
        <f t="shared" si="8"/>
        <v/>
      </c>
      <c r="L18" s="1" t="str">
        <f t="shared" si="9"/>
        <v/>
      </c>
    </row>
    <row r="19">
      <c r="A19" s="1" t="s">
        <v>245</v>
      </c>
      <c r="B19" s="1">
        <v>1.0</v>
      </c>
      <c r="C19" s="1" t="str">
        <f t="array" ref="C19">IF(NOT(ISBLANK($A19)), (_xlfn.XLOOKUP($A19,Index!$B$2:$B$103,Index!$C$2:$C$103,"Not Found")),"")</f>
        <v>T</v>
      </c>
      <c r="D19" s="1" t="str">
        <f t="array" ref="D19">IF(NOT(ISBLANK(A19)), (_xlfn.XLOOKUP($A19,Index!$B$2:B$103,Index!$A$2:$A$103,"Not Found")),"")</f>
        <v>base1-92</v>
      </c>
      <c r="E19" s="2" t="str">
        <f t="array" ref="E19">IF(NOT(ISBLANK($A19)), (_xlfn.XLOOKUP($A19,Index!$B$2:$B$103,Index!$D$2:$D$103,"Not Found")),"")</f>
        <v>c</v>
      </c>
      <c r="F19" s="1" t="str">
        <f t="array" ref="F19">IF(NOT(ISBLANK($A19)), (_xlfn.XLOOKUP($A19,Index!$B$2:$B$103,Index!$E$2:$E$103,"Not Found")),"")</f>
        <v/>
      </c>
      <c r="G19" s="1">
        <f t="array" ref="G19">IF(NOT(ISBLANK(A19)), ((_xlfn.XLOOKUP(A19,Index!$B$2:$B$103,Index!$F$2:$F$103,"Not Found"))*B19),"")</f>
        <v>0</v>
      </c>
      <c r="K19" s="4" t="str">
        <f t="shared" si="8"/>
        <v/>
      </c>
      <c r="L19" s="1" t="str">
        <f t="shared" si="9"/>
        <v/>
      </c>
    </row>
    <row r="20">
      <c r="A20" s="1" t="s">
        <v>222</v>
      </c>
      <c r="B20" s="1">
        <v>2.0</v>
      </c>
      <c r="C20" s="1" t="str">
        <f t="array" ref="C20">IF(NOT(ISBLANK($A20)), (_xlfn.XLOOKUP($A20,Index!$B$2:$B$103,Index!$C$2:$C$103,"Not Found")),"")</f>
        <v>T</v>
      </c>
      <c r="D20" s="1" t="str">
        <f t="array" ref="D20">IF(NOT(ISBLANK(A20)), (_xlfn.XLOOKUP($A20,Index!$B$2:B$103,Index!$A$2:$A$103,"Not Found")),"")</f>
        <v>base1-81</v>
      </c>
      <c r="E20" s="2" t="str">
        <f t="array" ref="E20">IF(NOT(ISBLANK($A20)), (_xlfn.XLOOKUP($A20,Index!$B$2:$B$103,Index!$D$2:$D$103,"Not Found")),"")</f>
        <v>u</v>
      </c>
      <c r="F20" s="1" t="str">
        <f t="array" ref="F20">IF(NOT(ISBLANK($A20)), (_xlfn.XLOOKUP($A20,Index!$B$2:$B$103,Index!$E$2:$E$103,"Not Found")),"")</f>
        <v/>
      </c>
      <c r="G20" s="1">
        <f t="array" ref="G20">IF(NOT(ISBLANK(A20)), ((_xlfn.XLOOKUP(A20,Index!$B$2:$B$103,Index!$F$2:$F$103,"Not Found"))*B20),"")</f>
        <v>0</v>
      </c>
      <c r="K20" s="4" t="str">
        <f t="shared" si="8"/>
        <v/>
      </c>
    </row>
    <row r="21">
      <c r="C21" s="1" t="str">
        <f t="array" ref="C21">IF(NOT(ISBLANK($A21)), (_xlfn.XLOOKUP($A21,Index!$B$2:$B$103,Index!$C$2:$C$103,"Not Found")),"")</f>
        <v/>
      </c>
      <c r="D21" s="1" t="str">
        <f t="array" ref="D21">IF(NOT(ISBLANK(A21)), (_xlfn.XLOOKUP($A21,Index!$B$2:B$103,Index!$A$2:$A$103,"Not Found")),"")</f>
        <v/>
      </c>
      <c r="E21" s="2" t="str">
        <f t="array" ref="E21">IF(NOT(ISBLANK($A21)), (_xlfn.XLOOKUP($A21,Index!$B$2:$B$103,Index!$D$2:$D$103,"Not Found")),"")</f>
        <v/>
      </c>
      <c r="F21" s="1" t="str">
        <f t="array" ref="F21">IF(NOT(ISBLANK($A21)), (_xlfn.XLOOKUP($A21,Index!$B$2:$B$103,Index!$E$2:$E$103,"Not Found")),"")</f>
        <v/>
      </c>
      <c r="G21" s="1" t="str">
        <f t="array" ref="G21">IF(NOT(ISBLANK(A21)), ((_xlfn.XLOOKUP(A21,Index!$B$2:$B$103,Index!$F$2:$F$103,"Not Found"))*B21),"")</f>
        <v/>
      </c>
      <c r="K21" s="1" t="s">
        <v>274</v>
      </c>
      <c r="L21" s="4">
        <f>SUM(G2:G46)</f>
        <v>12.5</v>
      </c>
    </row>
    <row r="22">
      <c r="C22" s="1" t="str">
        <f t="array" ref="C22">IF(NOT(ISBLANK($A22)), (_xlfn.XLOOKUP($A22,Index!$B$2:$B$103,Index!$C$2:$C$103,"Not Found")),"")</f>
        <v/>
      </c>
      <c r="D22" s="1" t="str">
        <f t="array" ref="D22">IF(NOT(ISBLANK(A22)), (_xlfn.XLOOKUP($A22,Index!$B$2:B$103,Index!$A$2:$A$103,"Not Found")),"")</f>
        <v/>
      </c>
      <c r="E22" s="2" t="str">
        <f t="array" ref="E22">IF(NOT(ISBLANK($A22)), (_xlfn.XLOOKUP($A22,Index!$B$2:$B$103,Index!$D$2:$D$103,"Not Found")),"")</f>
        <v/>
      </c>
      <c r="F22" s="1" t="str">
        <f t="array" ref="F22">IF(NOT(ISBLANK($A22)), (_xlfn.XLOOKUP($A22,Index!$B$2:$B$103,Index!$E$2:$E$103,"Not Found")),"")</f>
        <v/>
      </c>
      <c r="G22" s="1" t="str">
        <f t="array" ref="G22">IF(NOT(ISBLANK(A22)), ((_xlfn.XLOOKUP(A22,Index!$B$2:$B$103,Index!$F$2:$F$103,"Not Found"))*B22),"")</f>
        <v/>
      </c>
    </row>
    <row r="23">
      <c r="C23" s="1" t="str">
        <f t="array" ref="C23">IF(NOT(ISBLANK($A23)), (_xlfn.XLOOKUP($A23,Index!$B$2:$B$103,Index!$C$2:$C$103,"Not Found")),"")</f>
        <v/>
      </c>
      <c r="D23" s="1" t="str">
        <f t="array" ref="D23">IF(NOT(ISBLANK(A23)), (_xlfn.XLOOKUP($A23,Index!$B$2:B$103,Index!$A$2:$A$103,"Not Found")),"")</f>
        <v/>
      </c>
      <c r="E23" s="2" t="str">
        <f t="array" ref="E23">IF(NOT(ISBLANK($A23)), (_xlfn.XLOOKUP($A23,Index!$B$2:$B$103,Index!$D$2:$D$103,"Not Found")),"")</f>
        <v/>
      </c>
      <c r="F23" s="1" t="str">
        <f t="array" ref="F23">IF(NOT(ISBLANK($A23)), (_xlfn.XLOOKUP($A23,Index!$B$2:$B$103,Index!$E$2:$E$103,"Not Found")),"")</f>
        <v/>
      </c>
      <c r="G23" s="1" t="str">
        <f t="array" ref="G23">IF(NOT(ISBLANK(A23)), ((_xlfn.XLOOKUP(A23,Index!$B$2:$B$103,Index!$F$2:$F$103,"Not Found"))*B23),"")</f>
        <v/>
      </c>
    </row>
    <row r="24">
      <c r="C24" s="1" t="str">
        <f t="array" ref="C24">IF(NOT(ISBLANK($A24)), (_xlfn.XLOOKUP($A24,Index!$B$2:$B$103,Index!$C$2:$C$103,"Not Found")),"")</f>
        <v/>
      </c>
      <c r="D24" s="1" t="str">
        <f t="array" ref="D24">IF(NOT(ISBLANK(A24)), (_xlfn.XLOOKUP($A24,Index!$B$2:B$103,Index!$A$2:$A$103,"Not Found")),"")</f>
        <v/>
      </c>
      <c r="E24" s="2" t="str">
        <f t="array" ref="E24">IF(NOT(ISBLANK($A24)), (_xlfn.XLOOKUP($A24,Index!$B$2:$B$103,Index!$D$2:$D$103,"Not Found")),"")</f>
        <v/>
      </c>
      <c r="F24" s="1" t="str">
        <f t="array" ref="F24">IF(NOT(ISBLANK($A24)), (_xlfn.XLOOKUP($A24,Index!$B$2:$B$103,Index!$E$2:$E$103,"Not Found")),"")</f>
        <v/>
      </c>
      <c r="G24" s="1" t="str">
        <f t="array" ref="G24">IF(NOT(ISBLANK(A24)), ((_xlfn.XLOOKUP(A24,Index!$B$2:$B$103,Index!$F$2:$F$103,"Not Found"))*B24),"")</f>
        <v/>
      </c>
    </row>
    <row r="25">
      <c r="C25" s="1" t="str">
        <f t="array" ref="C25">IF(NOT(ISBLANK($A25)), (_xlfn.XLOOKUP($A25,Index!$B$2:$B$103,Index!$C$2:$C$103,"Not Found")),"")</f>
        <v/>
      </c>
      <c r="D25" s="1" t="str">
        <f t="array" ref="D25">IF(NOT(ISBLANK(A25)), (_xlfn.XLOOKUP($A25,Index!$B$2:B$103,Index!$A$2:$A$103,"Not Found")),"")</f>
        <v/>
      </c>
      <c r="E25" s="2" t="str">
        <f t="array" ref="E25">IF(NOT(ISBLANK($A25)), (_xlfn.XLOOKUP($A25,Index!$B$2:$B$103,Index!$D$2:$D$103,"Not Found")),"")</f>
        <v/>
      </c>
      <c r="F25" s="1" t="str">
        <f t="array" ref="F25">IF(NOT(ISBLANK($A25)), (_xlfn.XLOOKUP($A25,Index!$B$2:$B$103,Index!$E$2:$E$103,"Not Found")),"")</f>
        <v/>
      </c>
      <c r="G25" s="1" t="str">
        <f t="array" ref="G25">IF(NOT(ISBLANK(A25)), ((_xlfn.XLOOKUP(A25,Index!$B$2:$B$103,Index!$F$2:$F$103,"Not Found"))*B25),"")</f>
        <v/>
      </c>
    </row>
    <row r="26">
      <c r="C26" s="1" t="str">
        <f t="array" ref="C26">IF(NOT(ISBLANK($A26)), (_xlfn.XLOOKUP($A26,Index!$B$2:$B$103,Index!$C$2:$C$103,"Not Found")),"")</f>
        <v/>
      </c>
      <c r="D26" s="1" t="str">
        <f t="array" ref="D26">IF(NOT(ISBLANK(A26)), (_xlfn.XLOOKUP($A26,Index!$B$2:B$103,Index!$A$2:$A$103,"Not Found")),"")</f>
        <v/>
      </c>
      <c r="E26" s="2" t="str">
        <f t="array" ref="E26">IF(NOT(ISBLANK($A26)), (_xlfn.XLOOKUP($A26,Index!$B$2:$B$103,Index!$D$2:$D$103,"Not Found")),"")</f>
        <v/>
      </c>
      <c r="F26" s="1" t="str">
        <f t="array" ref="F26">IF(NOT(ISBLANK($A26)), (_xlfn.XLOOKUP($A26,Index!$B$2:$B$103,Index!$E$2:$E$103,"Not Found")),"")</f>
        <v/>
      </c>
      <c r="G26" s="1" t="str">
        <f t="array" ref="G26">IF(NOT(ISBLANK(A26)), ((_xlfn.XLOOKUP(A26,Index!$B$2:$B$103,Index!$F$2:$F$103,"Not Found"))*B26),"")</f>
        <v/>
      </c>
    </row>
    <row r="27">
      <c r="C27" s="1" t="str">
        <f t="array" ref="C27">IF(NOT(ISBLANK($A27)), (_xlfn.XLOOKUP($A27,Index!$B$2:$B$103,Index!$C$2:$C$103,"Not Found")),"")</f>
        <v/>
      </c>
      <c r="D27" s="1" t="str">
        <f t="array" ref="D27">IF(NOT(ISBLANK(A27)), (_xlfn.XLOOKUP($A27,Index!$B$2:B$103,Index!$A$2:$A$103,"Not Found")),"")</f>
        <v/>
      </c>
      <c r="E27" s="2" t="str">
        <f t="array" ref="E27">IF(NOT(ISBLANK($A27)), (_xlfn.XLOOKUP($A27,Index!$B$2:$B$103,Index!$D$2:$D$103,"Not Found")),"")</f>
        <v/>
      </c>
      <c r="F27" s="1" t="str">
        <f t="array" ref="F27">IF(NOT(ISBLANK($A27)), (_xlfn.XLOOKUP($A27,Index!$B$2:$B$103,Index!$E$2:$E$103,"Not Found")),"")</f>
        <v/>
      </c>
      <c r="G27" s="1" t="str">
        <f t="array" ref="G27">IF(NOT(ISBLANK(A27)), ((_xlfn.XLOOKUP(A27,Index!$B$2:$B$103,Index!$F$2:$F$103,"Not Found"))*B27),"")</f>
        <v/>
      </c>
    </row>
    <row r="28">
      <c r="C28" s="1" t="str">
        <f t="array" ref="C28">IF(NOT(ISBLANK($A28)), (_xlfn.XLOOKUP($A28,Index!$B$2:$B$103,Index!$C$2:$C$103,"Not Found")),"")</f>
        <v/>
      </c>
      <c r="D28" s="1" t="str">
        <f t="array" ref="D28">IF(NOT(ISBLANK(A28)), (_xlfn.XLOOKUP($A28,Index!$B$2:B$103,Index!$A$2:$A$103,"Not Found")),"")</f>
        <v/>
      </c>
      <c r="E28" s="2" t="str">
        <f t="array" ref="E28">IF(NOT(ISBLANK($A28)), (_xlfn.XLOOKUP($A28,Index!$B$2:$B$103,Index!$D$2:$D$103,"Not Found")),"")</f>
        <v/>
      </c>
      <c r="F28" s="1" t="str">
        <f t="array" ref="F28">IF(NOT(ISBLANK($A28)), (_xlfn.XLOOKUP($A28,Index!$B$2:$B$103,Index!$E$2:$E$103,"Not Found")),"")</f>
        <v/>
      </c>
      <c r="G28" s="1" t="str">
        <f t="array" ref="G28">IF(NOT(ISBLANK(A28)), ((_xlfn.XLOOKUP(A28,Index!$B$2:$B$103,Index!$F$2:$F$103,"Not Found"))*B28),"")</f>
        <v/>
      </c>
    </row>
    <row r="29">
      <c r="C29" s="1" t="str">
        <f t="array" ref="C29">IF(NOT(ISBLANK($A29)), (_xlfn.XLOOKUP($A29,Index!$B$2:$B$103,Index!$C$2:$C$103,"Not Found")),"")</f>
        <v/>
      </c>
      <c r="D29" s="1" t="str">
        <f t="array" ref="D29">IF(NOT(ISBLANK(A29)), (_xlfn.XLOOKUP($A29,Index!$B$2:B$103,Index!$A$2:$A$103,"Not Found")),"")</f>
        <v/>
      </c>
      <c r="E29" s="2" t="str">
        <f t="array" ref="E29">IF(NOT(ISBLANK($A29)), (_xlfn.XLOOKUP($A29,Index!$B$2:$B$103,Index!$D$2:$D$103,"Not Found")),"")</f>
        <v/>
      </c>
      <c r="F29" s="1" t="str">
        <f t="array" ref="F29">IF(NOT(ISBLANK($A29)), (_xlfn.XLOOKUP($A29,Index!$B$2:$B$103,Index!$E$2:$E$103,"Not Found")),"")</f>
        <v/>
      </c>
      <c r="G29" s="1" t="str">
        <f t="array" ref="G29">IF(NOT(ISBLANK(A29)), ((_xlfn.XLOOKUP(A29,Index!$B$2:$B$103,Index!$F$2:$F$103,"Not Found"))*B29),"")</f>
        <v/>
      </c>
    </row>
    <row r="30">
      <c r="C30" s="1" t="str">
        <f t="array" ref="C30">IF(NOT(ISBLANK($A30)), (_xlfn.XLOOKUP($A30,Index!$B$2:$B$103,Index!$C$2:$C$103,"Not Found")),"")</f>
        <v/>
      </c>
      <c r="D30" s="1" t="str">
        <f t="array" ref="D30">IF(NOT(ISBLANK(A30)), (_xlfn.XLOOKUP($A30,Index!$B$2:B$103,Index!$A$2:$A$103,"Not Found")),"")</f>
        <v/>
      </c>
      <c r="E30" s="2" t="str">
        <f t="array" ref="E30">IF(NOT(ISBLANK($A30)), (_xlfn.XLOOKUP($A30,Index!$B$2:$B$103,Index!$D$2:$D$103,"Not Found")),"")</f>
        <v/>
      </c>
      <c r="F30" s="1" t="str">
        <f t="array" ref="F30">IF(NOT(ISBLANK($A30)), (_xlfn.XLOOKUP($A30,Index!$B$2:$B$103,Index!$E$2:$E$103,"Not Found")),"")</f>
        <v/>
      </c>
      <c r="G30" s="1" t="str">
        <f t="array" ref="G30">IF(NOT(ISBLANK(A30)), ((_xlfn.XLOOKUP(A30,Index!$B$2:$B$103,Index!$F$2:$F$103,"Not Found"))*B30),"")</f>
        <v/>
      </c>
    </row>
    <row r="31">
      <c r="C31" s="1" t="str">
        <f t="array" ref="C31">IF(NOT(ISBLANK($A31)), (_xlfn.XLOOKUP($A31,Index!$B$2:$B$103,Index!$C$2:$C$103,"Not Found")),"")</f>
        <v/>
      </c>
      <c r="D31" s="1" t="str">
        <f t="array" ref="D31">IF(NOT(ISBLANK(A31)), (_xlfn.XLOOKUP($A31,Index!$B$2:B$103,Index!$A$2:$A$103,"Not Found")),"")</f>
        <v/>
      </c>
      <c r="E31" s="2" t="str">
        <f t="array" ref="E31">IF(NOT(ISBLANK($A31)), (_xlfn.XLOOKUP($A31,Index!$B$2:$B$103,Index!$D$2:$D$103,"Not Found")),"")</f>
        <v/>
      </c>
      <c r="F31" s="1" t="str">
        <f t="array" ref="F31">IF(NOT(ISBLANK($A31)), (_xlfn.XLOOKUP($A31,Index!$B$2:$B$103,Index!$E$2:$E$103,"Not Found")),"")</f>
        <v/>
      </c>
      <c r="G31" s="1" t="str">
        <f t="array" ref="G31">IF(NOT(ISBLANK(A31)), ((_xlfn.XLOOKUP(A31,Index!$B$2:$B$103,Index!$F$2:$F$103,"Not Found"))*B31),"")</f>
        <v/>
      </c>
    </row>
    <row r="32">
      <c r="C32" s="1" t="str">
        <f t="array" ref="C32">IF(NOT(ISBLANK($A32)), (_xlfn.XLOOKUP($A32,Index!$B$2:$B$103,Index!$C$2:$C$103,"Not Found")),"")</f>
        <v/>
      </c>
      <c r="D32" s="1" t="str">
        <f t="array" ref="D32">IF(NOT(ISBLANK(A32)), (_xlfn.XLOOKUP($A32,Index!$B$2:B$103,Index!$A$2:$A$103,"Not Found")),"")</f>
        <v/>
      </c>
      <c r="E32" s="2" t="str">
        <f t="array" ref="E32">IF(NOT(ISBLANK($A32)), (_xlfn.XLOOKUP($A32,Index!$B$2:$B$103,Index!$D$2:$D$103,"Not Found")),"")</f>
        <v/>
      </c>
      <c r="F32" s="1" t="str">
        <f t="array" ref="F32">IF(NOT(ISBLANK($A32)), (_xlfn.XLOOKUP($A32,Index!$B$2:$B$103,Index!$E$2:$E$103,"Not Found")),"")</f>
        <v/>
      </c>
      <c r="G32" s="1" t="str">
        <f t="array" ref="G32">IF(NOT(ISBLANK(A32)), ((_xlfn.XLOOKUP(A32,Index!$B$2:$B$103,Index!$F$2:$F$103,"Not Found"))*B32),"")</f>
        <v/>
      </c>
    </row>
    <row r="33">
      <c r="C33" s="1" t="str">
        <f t="array" ref="C33">IF(NOT(ISBLANK($A33)), (_xlfn.XLOOKUP($A33,Index!$B$2:$B$103,Index!$C$2:$C$103,"Not Found")),"")</f>
        <v/>
      </c>
      <c r="D33" s="1" t="str">
        <f t="array" ref="D33">IF(NOT(ISBLANK(A33)), (_xlfn.XLOOKUP($A33,Index!$B$2:B$103,Index!$A$2:$A$103,"Not Found")),"")</f>
        <v/>
      </c>
      <c r="E33" s="2" t="str">
        <f t="array" ref="E33">IF(NOT(ISBLANK($A33)), (_xlfn.XLOOKUP($A33,Index!$B$2:$B$103,Index!$D$2:$D$103,"Not Found")),"")</f>
        <v/>
      </c>
      <c r="F33" s="1" t="str">
        <f t="array" ref="F33">IF(NOT(ISBLANK($A33)), (_xlfn.XLOOKUP($A33,Index!$B$2:$B$103,Index!$E$2:$E$103,"Not Found")),"")</f>
        <v/>
      </c>
      <c r="G33" s="1" t="str">
        <f t="array" ref="G33">IF(NOT(ISBLANK(A33)), ((_xlfn.XLOOKUP(A33,Index!$B$2:$B$103,Index!$F$2:$F$103,"Not Found"))*B33),"")</f>
        <v/>
      </c>
    </row>
    <row r="34">
      <c r="C34" s="1" t="str">
        <f t="array" ref="C34">IF(NOT(ISBLANK($A34)), (_xlfn.XLOOKUP($A34,Index!$B$2:$B$103,Index!$C$2:$C$103,"Not Found")),"")</f>
        <v/>
      </c>
      <c r="D34" s="1" t="str">
        <f t="array" ref="D34">IF(NOT(ISBLANK(A34)), (_xlfn.XLOOKUP($A34,Index!$B$2:B$103,Index!$A$2:$A$103,"Not Found")),"")</f>
        <v/>
      </c>
      <c r="E34" s="2" t="str">
        <f t="array" ref="E34">IF(NOT(ISBLANK($A34)), (_xlfn.XLOOKUP($A34,Index!$B$2:$B$103,Index!$D$2:$D$103,"Not Found")),"")</f>
        <v/>
      </c>
      <c r="F34" s="1" t="str">
        <f t="array" ref="F34">IF(NOT(ISBLANK($A34)), (_xlfn.XLOOKUP($A34,Index!$B$2:$B$103,Index!$E$2:$E$103,"Not Found")),"")</f>
        <v/>
      </c>
      <c r="G34" s="1" t="str">
        <f t="array" ref="G34">IF(NOT(ISBLANK(A34)), ((_xlfn.XLOOKUP(A34,Index!$B$2:$B$103,Index!$F$2:$F$103,"Not Found"))*B34),"")</f>
        <v/>
      </c>
    </row>
    <row r="35">
      <c r="C35" s="1" t="str">
        <f t="array" ref="C35">IF(NOT(ISBLANK($A35)), (_xlfn.XLOOKUP($A35,Index!$B$2:$B$103,Index!$C$2:$C$103,"Not Found")),"")</f>
        <v/>
      </c>
      <c r="D35" s="1" t="str">
        <f t="array" ref="D35">IF(NOT(ISBLANK(A35)), (_xlfn.XLOOKUP($A35,Index!$B$2:B$103,Index!$A$2:$A$103,"Not Found")),"")</f>
        <v/>
      </c>
      <c r="E35" s="2" t="str">
        <f t="array" ref="E35">IF(NOT(ISBLANK($A35)), (_xlfn.XLOOKUP($A35,Index!$B$2:$B$103,Index!$D$2:$D$103,"Not Found")),"")</f>
        <v/>
      </c>
      <c r="F35" s="1" t="str">
        <f t="array" ref="F35">IF(NOT(ISBLANK($A35)), (_xlfn.XLOOKUP($A35,Index!$B$2:$B$103,Index!$E$2:$E$103,"Not Found")),"")</f>
        <v/>
      </c>
      <c r="G35" s="1" t="str">
        <f t="array" ref="G35">IF(NOT(ISBLANK(A35)), ((_xlfn.XLOOKUP(A35,Index!$B$2:$B$103,Index!$F$2:$F$103,"Not Found"))*B35),"")</f>
        <v/>
      </c>
    </row>
    <row r="36">
      <c r="C36" s="1" t="str">
        <f t="array" ref="C36">IF(NOT(ISBLANK($A36)), (_xlfn.XLOOKUP($A36,Index!$B$2:$B$103,Index!$C$2:$C$103,"Not Found")),"")</f>
        <v/>
      </c>
      <c r="D36" s="1" t="str">
        <f t="array" ref="D36">IF(NOT(ISBLANK(A36)), (_xlfn.XLOOKUP($A36,Index!$B$2:B$103,Index!$A$2:$A$103,"Not Found")),"")</f>
        <v/>
      </c>
      <c r="E36" s="2" t="str">
        <f t="array" ref="E36">IF(NOT(ISBLANK($A36)), (_xlfn.XLOOKUP($A36,Index!$B$2:$B$103,Index!$D$2:$D$103,"Not Found")),"")</f>
        <v/>
      </c>
      <c r="F36" s="1" t="str">
        <f t="array" ref="F36">IF(NOT(ISBLANK($A36)), (_xlfn.XLOOKUP($A36,Index!$B$2:$B$103,Index!$E$2:$E$103,"Not Found")),"")</f>
        <v/>
      </c>
      <c r="G36" s="1" t="str">
        <f t="array" ref="G36">IF(NOT(ISBLANK(A36)), ((_xlfn.XLOOKUP(A36,Index!$B$2:$B$103,Index!$F$2:$F$103,"Not Found"))*B36),"")</f>
        <v/>
      </c>
    </row>
    <row r="37">
      <c r="C37" s="1" t="str">
        <f t="array" ref="C37">IF(NOT(ISBLANK($A37)), (_xlfn.XLOOKUP($A37,Index!$B$2:$B$103,Index!$C$2:$C$103,"Not Found")),"")</f>
        <v/>
      </c>
      <c r="D37" s="1" t="str">
        <f t="array" ref="D37">IF(NOT(ISBLANK(A37)), (_xlfn.XLOOKUP($A37,Index!$B$2:B$103,Index!$A$2:$A$103,"Not Found")),"")</f>
        <v/>
      </c>
      <c r="E37" s="1" t="str">
        <f t="array" ref="E37">IF(NOT(ISBLANK($A37)), (_xlfn.XLOOKUP($A37,Index!$B$2:$B$103,Index!$D$2:$D$103,"Not Found")),"")</f>
        <v/>
      </c>
      <c r="F37" s="1" t="str">
        <f t="array" ref="F37">IF(NOT(ISBLANK($A37)), (_xlfn.XLOOKUP($A37,Index!$B$2:$B$103,Index!$E$2:$E$103,"Not Found")),"")</f>
        <v/>
      </c>
    </row>
    <row r="38">
      <c r="C38" s="1"/>
      <c r="D38" s="1" t="str">
        <f t="array" ref="D38">IF(NOT(ISBLANK(A38)), (_xlfn.XLOOKUP(A38,Index!$B$2:B$103,Index!$A$2:$A$103,"Not Found")),"")</f>
        <v/>
      </c>
      <c r="E38" s="1" t="str">
        <f t="array" ref="E38">IF(NOT(ISBLANK($A38)), (_xlfn.XLOOKUP($A38,Index!$B$2:$B$103,Index!$D$2:$D$103,"Not Found")),"")</f>
        <v/>
      </c>
    </row>
    <row r="39">
      <c r="C39" s="1"/>
      <c r="D39" s="1" t="str">
        <f t="array" ref="D39">IF(NOT(ISBLANK(A39)), (_xlfn.XLOOKUP(A39,Index!$B$2:B$103,Index!$A$2:$A$103,"Not Found")),"")</f>
        <v/>
      </c>
      <c r="E39" s="1" t="str">
        <f t="array" ref="E39">IF(NOT(ISBLANK($A39)), (_xlfn.XLOOKUP($A39,Index!$B$2:$B$103,Index!$D$2:$D$103,"Not Found")),"")</f>
        <v/>
      </c>
    </row>
    <row r="40">
      <c r="C40" s="1"/>
      <c r="D40" s="1" t="str">
        <f t="array" ref="D40">IF(NOT(ISBLANK(A40)), (_xlfn.XLOOKUP(A40,Index!B$2:B$103,Index!A$2:A$103,"Not Found")),"")</f>
        <v/>
      </c>
      <c r="E40" s="1" t="str">
        <f t="array" ref="E40">IF(NOT(ISBLANK($A40)), (_xlfn.XLOOKUP($A40,Index!$B$2:$B$103,Index!$D$2:$D$103,"Not Found")),"")</f>
        <v/>
      </c>
    </row>
    <row r="41">
      <c r="C41" s="1"/>
      <c r="D41" s="1" t="str">
        <f t="array" ref="D41">IF(NOT(ISBLANK(A41)), (_xlfn.XLOOKUP(A41,Index!B$2:B$103,Index!A$2:A$103,"Not Found")),"")</f>
        <v/>
      </c>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conditionalFormatting sqref="G1:G1000">
    <cfRule type="cellIs" dxfId="0" priority="1" operator="equal">
      <formula>0</formula>
    </cfRule>
  </conditionalFormatting>
  <conditionalFormatting sqref="L1:Q4 L11 L16:L19">
    <cfRule type="cellIs" dxfId="1" priority="2" operator="equal">
      <formula>0</formula>
    </cfRule>
  </conditionalFormatting>
  <drawing r:id="rId1"/>
</worksheet>
</file>