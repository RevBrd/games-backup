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Deck List" sheetId="2" r:id="rId6"/>
    <sheet state="visible" name="Template" sheetId="3" r:id="rId7"/>
    <sheet state="visible" name="R T2-1" sheetId="4" r:id="rId8"/>
    <sheet state="visible" name="R T2-2" sheetId="5" r:id="rId9"/>
    <sheet state="visible" name="R T2-3" sheetId="6" r:id="rId10"/>
    <sheet state="visible" name="R T2-4" sheetId="7" r:id="rId11"/>
    <sheet state="visible" name="R T3-1" sheetId="8" r:id="rId12"/>
    <sheet state="visible" name="R T3-2" sheetId="9" r:id="rId13"/>
    <sheet state="visible" name="R T3-3" sheetId="10" r:id="rId14"/>
    <sheet state="visible" name="R T4" sheetId="11" r:id="rId15"/>
  </sheets>
  <definedNames/>
  <calcPr/>
</workbook>
</file>

<file path=xl/sharedStrings.xml><?xml version="1.0" encoding="utf-8"?>
<sst xmlns="http://schemas.openxmlformats.org/spreadsheetml/2006/main" count="2749" uniqueCount="1134">
  <si>
    <t>Card</t>
  </si>
  <si>
    <t>ID</t>
  </si>
  <si>
    <t>Quantity</t>
  </si>
  <si>
    <t>Type</t>
  </si>
  <si>
    <t>Stage / Rarity (trainer)</t>
  </si>
  <si>
    <t>Stage / Rarity</t>
  </si>
  <si>
    <t>Base1</t>
  </si>
  <si>
    <t>Remaining Evo</t>
  </si>
  <si>
    <t>Deck Feature Tier</t>
  </si>
  <si>
    <t>Opener Archetype</t>
  </si>
  <si>
    <t>Pressure</t>
  </si>
  <si>
    <t>Feature Weight</t>
  </si>
  <si>
    <t>Card Total</t>
  </si>
  <si>
    <t>Wants</t>
  </si>
  <si>
    <t>Num</t>
  </si>
  <si>
    <t>Possible CPU Deck Block?</t>
  </si>
  <si>
    <t>Included in opp Deck?</t>
  </si>
  <si>
    <t>Basic</t>
  </si>
  <si>
    <t>Gated Until (promo only)</t>
  </si>
  <si>
    <t>S1 Max</t>
  </si>
  <si>
    <t>Feature Tier Key</t>
  </si>
  <si>
    <t>S1 Mid</t>
  </si>
  <si>
    <t>S2</t>
  </si>
  <si>
    <t>No Evolve</t>
  </si>
  <si>
    <t>base1-1</t>
  </si>
  <si>
    <t>Jungle</t>
  </si>
  <si>
    <t>Alakazam</t>
  </si>
  <si>
    <t>P</t>
  </si>
  <si>
    <t>Fossil</t>
  </si>
  <si>
    <t>AP, SL</t>
  </si>
  <si>
    <t>Eevee R</t>
  </si>
  <si>
    <t>Tanks on the bench to move damage to with its pokemon power. It's a competent fighter with its ability to confuse but leans toward prefering the bench. If it's in the active spot itself or if a valuable ally is, it likes to move damage counters off the active one onto a tank on the bench. It prefers decks with several high-HP tank pokemon like Kangaskhan, Chansey, and Snorlax</t>
  </si>
  <si>
    <t>Challenge 1</t>
  </si>
  <si>
    <t>Rocket</t>
  </si>
  <si>
    <t>Not shown</t>
  </si>
  <si>
    <t>Not worth noting</t>
  </si>
  <si>
    <t>base1-10</t>
  </si>
  <si>
    <t>Mewtwo</t>
  </si>
  <si>
    <t>T2-1</t>
  </si>
  <si>
    <t>b</t>
  </si>
  <si>
    <t>n</t>
  </si>
  <si>
    <t>f</t>
  </si>
  <si>
    <t>Its damage from Psychic scales with opponent energy, so it likes to come in after there's already a powered-up opponent. The bot should be able to do the math in terms of how much damage Psychic would do to the opponent's active pokemon every time a new pokemon has to be promoted to active. I can't think of any situation Barrier would be used. It requires an energy funnel in order to survive long enough for the next energy funnel, all while the enegy funnel prevents you from powering anything up.</t>
  </si>
  <si>
    <t>F, W</t>
  </si>
  <si>
    <t>Strategic Opener / Tank / Other utility</t>
  </si>
  <si>
    <t>base1-100</t>
  </si>
  <si>
    <t>E Energy</t>
  </si>
  <si>
    <t>Energy</t>
  </si>
  <si>
    <t>Starmie</t>
  </si>
  <si>
    <t>Secondary Feature</t>
  </si>
  <si>
    <t>base1-101</t>
  </si>
  <si>
    <t>P Energy</t>
  </si>
  <si>
    <t>E, R, W</t>
  </si>
  <si>
    <t>Eevee</t>
  </si>
  <si>
    <t>Primary Feature</t>
  </si>
  <si>
    <t>W, P</t>
  </si>
  <si>
    <t>base1-102</t>
  </si>
  <si>
    <t>Hypno NH</t>
  </si>
  <si>
    <t>W Energy</t>
  </si>
  <si>
    <t>G</t>
  </si>
  <si>
    <t>Weezing</t>
  </si>
  <si>
    <t>Elite Feature</t>
  </si>
  <si>
    <t>base1-11</t>
  </si>
  <si>
    <t>Nidoking</t>
  </si>
  <si>
    <t>T2-2</t>
  </si>
  <si>
    <t>P, R</t>
  </si>
  <si>
    <t>G, P</t>
  </si>
  <si>
    <t>Nidoqueen</t>
  </si>
  <si>
    <t>F, E</t>
  </si>
  <si>
    <t>SL</t>
  </si>
  <si>
    <t>Hitmonlee</t>
  </si>
  <si>
    <t>F</t>
  </si>
  <si>
    <t>Both its moves cost the same and both are worth using, but it usually wants to start with Toxic due to the extra poision damage before switching to Thrash, as the extra poision damage on top of Toxic's natural damage equal the 50/50 damage potential of Thrash. Once the opponent is poisoned, Toxic cannot add additional poison damage, so Thrash becomes more valuable.</t>
  </si>
  <si>
    <t>Aerodactyl</t>
  </si>
  <si>
    <t>E, G</t>
  </si>
  <si>
    <t>Dark Raichu</t>
  </si>
  <si>
    <t>base1-12</t>
  </si>
  <si>
    <t>T2-3</t>
  </si>
  <si>
    <t>Ninetales</t>
  </si>
  <si>
    <t>G, E</t>
  </si>
  <si>
    <t>R</t>
  </si>
  <si>
    <t>Beedrill</t>
  </si>
  <si>
    <t>F, G</t>
  </si>
  <si>
    <t>Rhydon</t>
  </si>
  <si>
    <t>HD</t>
  </si>
  <si>
    <t>G, W</t>
  </si>
  <si>
    <t>Muk</t>
  </si>
  <si>
    <t>To come in after it's ready to use Fire Blast, and to never be required to choose between Lure and nothing. Fire Blast wants an energy funnel but does high damage, so it requires some maintenance and stops bench growth every turn it attacks, but can one-shot many opponents. Lure does have uses, such as removing a dangerous pokemon and replacing it with one that is not ready to attack and is not able to retreat.</t>
  </si>
  <si>
    <t>Gengar</t>
  </si>
  <si>
    <t>R, P</t>
  </si>
  <si>
    <t>base1-13</t>
  </si>
  <si>
    <t>Dark Charizard</t>
  </si>
  <si>
    <t>T2-4</t>
  </si>
  <si>
    <t>E, F</t>
  </si>
  <si>
    <t>Machamp</t>
  </si>
  <si>
    <t>Poliwrath</t>
  </si>
  <si>
    <t>W</t>
  </si>
  <si>
    <t>ED</t>
  </si>
  <si>
    <t>An Attack Choice, as both attacks are valid. Whirlpool is preferred due to the very high value of discarding opponent energy cards, but Water Gun can be Over-Attached into doing higher damage. Water Gun should be used when it results in a kill that Whrilpool wouldn't, and the bot should be willing to add that fifth energy to do so</t>
  </si>
  <si>
    <t>Tier ranking is only for last of evolution line and select useful others. Partially based in subjectivity and play experience</t>
  </si>
  <si>
    <t>Moltres</t>
  </si>
  <si>
    <t>P, C</t>
  </si>
  <si>
    <t>base1-14</t>
  </si>
  <si>
    <t>Dark Alakazam</t>
  </si>
  <si>
    <t>Raichu</t>
  </si>
  <si>
    <t>E</t>
  </si>
  <si>
    <t>T2-5</t>
  </si>
  <si>
    <t>WP, HD</t>
  </si>
  <si>
    <t>To use Agility when Thunder wouldn't kill, or when Thunder risks a self-kill that isn't worthwhile. Does need some degree of Kamakaze Timing. Agility buys turns through damage *and status* denial on a coin flip, while Thunder risks 30 self-dmg on a coin flip.</t>
  </si>
  <si>
    <t>Zapdos B3</t>
  </si>
  <si>
    <t>Remaining Evo only applies to Basic and Stage 1. All stage 2 are assumed to not have evolutions remaining</t>
  </si>
  <si>
    <t>T3-1</t>
  </si>
  <si>
    <t>base1-15</t>
  </si>
  <si>
    <t>Venusaur</t>
  </si>
  <si>
    <t>C, G</t>
  </si>
  <si>
    <t>Pidgeot</t>
  </si>
  <si>
    <t>BG, HD</t>
  </si>
  <si>
    <t>Omastar</t>
  </si>
  <si>
    <t>Articuno</t>
  </si>
  <si>
    <t>Does not necessarily prefer the bench despite its pokemon power, but doesn't mind it there either. Uses Energy Trans to shift energy from bench pokemon to whatever is active for an instant power up, as long as the active pokemon isn't just going to die and lose it all right away. While the newly powered up active pokemon (which could be Venusaur itself) fights, its owner can slowly re-power the bench cards they stripped energy from</t>
  </si>
  <si>
    <t>Dark Vileplume</t>
  </si>
  <si>
    <t>Labels here are used for the lookup table on the deck tabs, but we can possibly get utility from it as well with the AI</t>
  </si>
  <si>
    <t>T3-2</t>
  </si>
  <si>
    <t>base1-16</t>
  </si>
  <si>
    <t>Blastoise</t>
  </si>
  <si>
    <t>Zapdos</t>
  </si>
  <si>
    <t>C, F</t>
  </si>
  <si>
    <t>Dragonite</t>
  </si>
  <si>
    <t>C</t>
  </si>
  <si>
    <t>Wigglytuff</t>
  </si>
  <si>
    <t>h</t>
  </si>
  <si>
    <t>Dark Machamp</t>
  </si>
  <si>
    <t>To deal high damage and die rather quickly. Prefers to go down fighting over retreat, though not by self-kill. Thunder is the preferred attack until Zapdos looks like it will die on the opponent's next turn, or it risks a self-kill on this turn. In those cases, Thunderbolt should be used.</t>
  </si>
  <si>
    <t>T3-3</t>
  </si>
  <si>
    <t>Trainer rarity is used to gauge usefulness in decks</t>
  </si>
  <si>
    <t>base1-17</t>
  </si>
  <si>
    <t>C, E, R, W</t>
  </si>
  <si>
    <t>Dark Dragonite</t>
  </si>
  <si>
    <t>T4</t>
  </si>
  <si>
    <t>To use Poison Sting first, and then Twineedle when the opponent is already poisoned. Poison Sting is preferred again when a guaranteed 40 damage or less is needed, rather than gambled on Twineedle's coin flip</t>
  </si>
  <si>
    <t>Charizard</t>
  </si>
  <si>
    <t>Vileplume</t>
  </si>
  <si>
    <t>Half steps are used. Consider those candidates for the next tier with proper support</t>
  </si>
  <si>
    <t>Haunter B3</t>
  </si>
  <si>
    <t>base1-18</t>
  </si>
  <si>
    <t>Dark Blastoise</t>
  </si>
  <si>
    <t>Dragonair</t>
  </si>
  <si>
    <t>y</t>
  </si>
  <si>
    <t xml:space="preserve">Is not afraid to fight even though it's not fully evolved, as long as Hyper Beam can be used and the opponent is unable to powerup for a kill because of it. Slam use is rare due to the value of discarding an opponent energy. </t>
  </si>
  <si>
    <t>Opener archetypes per card are tracked. I don't know if we'll need these but it's cheap to do while going through the set anyway. Unlabeled ones should be deferred as openers when possible, but usually committed to once they're in. Based on battle utility, not whether they can evolve, etc</t>
  </si>
  <si>
    <t>base1-19</t>
  </si>
  <si>
    <t>Dugtrio</t>
  </si>
  <si>
    <t>Slash is preferred unless Earthquake would kill and Slash wouldn't. The damage to its user's own bench should be weighed against Earthquake</t>
  </si>
  <si>
    <t>Challenge ignores regular Tier structure</t>
  </si>
  <si>
    <t>Numbers added to the end of names is for differentiation purposes between cards with the same name. Ex: B2 means base2/Jungle</t>
  </si>
  <si>
    <t>base1-2</t>
  </si>
  <si>
    <t>5-ish extra W energy in deck, Over-Attach 2 extra energy for Hydro Pump's max potential, which is worth it. Loves to fight. When it evolves, its user should immediately use Rain Dance to dump as many energy cards on their pokemon as those pokemon require, prioritizing the ones currently fighting and Blastoise itself</t>
  </si>
  <si>
    <t>Nonholo duplicates are tagged with NH after their name. It helps the lookup table</t>
  </si>
  <si>
    <t>base1-20</t>
  </si>
  <si>
    <t>Electabuzz</t>
  </si>
  <si>
    <t>a</t>
  </si>
  <si>
    <t xml:space="preserve">Loves to open. Chooses between its moves based on the quickest path to a kill (assuming Thunderpunch's guaranteed 30 damage rather than an average), but prefers Thundershock first when it doesn't lose it a turn by doing so. </t>
  </si>
  <si>
    <t>Trainer Function Key, Pressure, and Wants were added at the advice of #15 and haven't been fully applied retroactively yet</t>
  </si>
  <si>
    <t>base1-21</t>
  </si>
  <si>
    <t>Electrode</t>
  </si>
  <si>
    <t>Opener archetypes are only applied to basic pokemon here</t>
  </si>
  <si>
    <t>base1-22</t>
  </si>
  <si>
    <t>Pidgeotto</t>
  </si>
  <si>
    <t>PC</t>
  </si>
  <si>
    <t>Almost always uses Whirlwind to throw opponents around the play area and doens't even power up Mirror Move unless doing so to prepare for evolution. Mirror Move should only be used when it would result in a kill that Whirlwind wouldn't, and the bot should be willing to spend the energy at the time to do so rather than in advance</t>
  </si>
  <si>
    <t>base1-23</t>
  </si>
  <si>
    <t>Arcanine</t>
  </si>
  <si>
    <t>Both attacks do high damage and both have drawbacks. Flamethrower requires an energy funnel but should be the default due to Take Down's self-damage. However, Take Down should stay powered up and ready to go for when it's needed, meaning the bot should not want to use even Flamethrower until Arcanine has four energies attached, as it requires that constant funnel that would make Take Down unavailable if used at three energies</t>
  </si>
  <si>
    <t>base1-24</t>
  </si>
  <si>
    <t>Charmeleon</t>
  </si>
  <si>
    <t>Does decent damage but does not want to fight. Prefers to sit on the bench and pre-Over-Attach energies for an evolution to Charizard, even when Charizard isn't in the hand. Flamethrower does good damage but requires an energy funnel on the card that you want to evolve into the biggest energy funnel of all, so it's best avoided unless necessary. A Charmeleon that ends up fighting and having to use Flamethrower should almost be written off for evolution and used only as a fodder attacker.</t>
  </si>
  <si>
    <t>Opener Archetype Key:</t>
  </si>
  <si>
    <t>base1-25</t>
  </si>
  <si>
    <t>Dewgong</t>
  </si>
  <si>
    <t>Classic Attack Choice between Aurora Beam and Ice Beam. Punches above its weight and doesn't retreat</t>
  </si>
  <si>
    <t>base1-26</t>
  </si>
  <si>
    <t>Dratini</t>
  </si>
  <si>
    <t>A</t>
  </si>
  <si>
    <t>Attack Opener. Openers that use stalling attacks, low damage attacks w/ high HP, or build up to damage quickly without evo. Should be weighted high for starter selection or stalling jobs, lower for retreat. Can sometimes also build up to stronger moves while stalling. Ex: Onix, Jynx</t>
  </si>
  <si>
    <t>base1-27</t>
  </si>
  <si>
    <t>Farfetch'd</t>
  </si>
  <si>
    <t>Likes to open, and its only useful role ever is to open, and even that is not very useful. Should use Leek Slap and then be left to die while other things are powered up, unless desperate enough to need to power up Pot Smash. Our autobuilder should probably weight this one rather low</t>
  </si>
  <si>
    <t>T</t>
  </si>
  <si>
    <t>Tanks. Usually used as openers but attacks are usually defensive stalling or card drawing. Usually weighted higher than other openers. Ex: Chansey</t>
  </si>
  <si>
    <t>base1-28</t>
  </si>
  <si>
    <t>Growlithe</t>
  </si>
  <si>
    <t>Low-weight opener. Arcanine's high energy cost makes it prefer the bench</t>
  </si>
  <si>
    <t>Fallback opener. Good cheap attack option during game, not a main weapon but capable of bridging gaps. Good opener if other options aren't available. Ex: Mewtwo (1-10)</t>
  </si>
  <si>
    <t>Dark Jolteon</t>
  </si>
  <si>
    <t>base1-29</t>
  </si>
  <si>
    <t>Haunter</t>
  </si>
  <si>
    <t>Hypnosis + Dream Eater is a Setup Turn combo but Dream Eater only has a 1/4 chance of being successful before even before you factor in the opponent's chance to wake up by evolving. Therefore it doesn't want to fight, and should be used only as a staller when it does. It's still useful to keep at 2 energies rather than Dream Eater being a reactive energy-add at the time it's needed, due to Gengar's attack needing 3 energies. If kept at 2 while Haunter, it can evolve and attack the same turn a Gengar is drawn (as long as its player has the extra energy in hand)</t>
  </si>
  <si>
    <t>Evo openerer. Lower weight when it comes to opening due to evolution possibility but does have stalling moves or can do damage, and should be prioritized when stalling is needed and no other options available. Higher priority if evolution exists in hand and is realistic to survive long enough to evolve. Ex: Squirtle</t>
  </si>
  <si>
    <t>base1-3</t>
  </si>
  <si>
    <t>Chansey</t>
  </si>
  <si>
    <t>t</t>
  </si>
  <si>
    <t>WP</t>
  </si>
  <si>
    <t>To work as a tank or staller, hiding behind Scrunch and rarely ever retreating or using Double-Edge</t>
  </si>
  <si>
    <t>N</t>
  </si>
  <si>
    <t>Avoid using as an opener when possible. Should be weighted lower than the baseline and possibly even switched out when other options become available. Ex: Magikarp</t>
  </si>
  <si>
    <t>base1-30</t>
  </si>
  <si>
    <t>Ivysaur</t>
  </si>
  <si>
    <t>A middle stage that doesn't mind fighting due to Poisonpowder's guaranteed poisoning. If it evolved from Bulbasaur in the active spot, then it's already in good position to deal damage due to Bulbasaur's attack costing 2 energies, and both of Ivysaur's costing 3, meaning Bulbasaur can be evolved fluidly without being pre-loaded while fighting</t>
  </si>
  <si>
    <t>H</t>
  </si>
  <si>
    <t xml:space="preserve">HP staller. A high HP card that would normally be used as an attacker is substituted as a tank due to lack of other options. Committed to once in, not retreated or powered up unless smart to do so. A complete sacrifice. Ex: Zapdos </t>
  </si>
  <si>
    <t>base1-31</t>
  </si>
  <si>
    <t>Jynx</t>
  </si>
  <si>
    <t>Meditate is preferred and can be extremely effective against much stronger (but damaged) pokemon. Loves to start and use Doubleslap while powering up Meditate, or might choose to tank without only Doubleslap while something more valuable is powered up on the bench instead. Meditate's potential damage should always be considered by the bot when choosing something to promote</t>
  </si>
  <si>
    <t>base1-32</t>
  </si>
  <si>
    <t>Kadabra</t>
  </si>
  <si>
    <t>Super Psy does high damage for what it is, and even outdoes its own evolution's damage. The evolution is still preferred in most situations though due to its pokemon power and chance to confuse. Recover should never be used. It drains an energy from a pokemon that wants to stay at 3 energies at all times. Getting in a 50 dmg hit and dying is almost always preferable to recovery or retreat</t>
  </si>
  <si>
    <t>base1-33</t>
  </si>
  <si>
    <t>Kakuna</t>
  </si>
  <si>
    <t>Is a good fighting mid-stage that likes to meddle with Poisonpowder. Damage and chance to poison is almost always preferable to a 50/50 chance at damage prevention with Stiffen</t>
  </si>
  <si>
    <t>base1-34</t>
  </si>
  <si>
    <t>Machoke</t>
  </si>
  <si>
    <t>A tough card to use because one attack's damage shrinks very quickly with damage taken, and the other deals self-damage. Can deal high damage to an opponent quickly but can become useless after that. Prefers to evolve on the bench unless a quick cheap hit is needed, at which time it does have a use</t>
  </si>
  <si>
    <t>Trainer Function Key (uses the Deck Feature Tier column):</t>
  </si>
  <si>
    <t>base1-35</t>
  </si>
  <si>
    <t>Magikarp</t>
  </si>
  <si>
    <t>If this guy is fighting, you're in a bad spot</t>
  </si>
  <si>
    <t>D</t>
  </si>
  <si>
    <t>Draw. Cards are picked up from the top of the deck</t>
  </si>
  <si>
    <t>base1-36</t>
  </si>
  <si>
    <t>Magmar</t>
  </si>
  <si>
    <t>Flamethrower does good damage but requires an energy funnel, and this is not a pokemon you want consuming all your energies. Use Fire Punch as default but be ready for Flamethrower when needed. Low HP means it dies rather quickly.</t>
  </si>
  <si>
    <t>S</t>
  </si>
  <si>
    <t>Search. Search for a card in the deck</t>
  </si>
  <si>
    <t>base1-37</t>
  </si>
  <si>
    <t>Nidorino</t>
  </si>
  <si>
    <t>Horn Drill preferred, Double Kick only when it can't be afforded</t>
  </si>
  <si>
    <t>Disruption. Interferes with the opponent or the status of the board</t>
  </si>
  <si>
    <t>base1-38</t>
  </si>
  <si>
    <t>Poliwhirl</t>
  </si>
  <si>
    <t>Amnesia can block an opponent's damage before Doubleslap has the energy to be used or if Poliwhirl needs to survive to the next turn to evolve. Otherwise Doubleslap is always preferred</t>
  </si>
  <si>
    <t>Heal. Removes damage from Pokemon</t>
  </si>
  <si>
    <t>base1-39</t>
  </si>
  <si>
    <t>Porygon</t>
  </si>
  <si>
    <t>To use Conversion 2 to stay resistant to its opponent while it stalls as long as it can before death. Conversion 1 should only be used when Conversion 2 can't be afforded, and when it is, the bot should shift the opponent's weakness the type of their own current strongest (non-colorless) bench pokemon</t>
  </si>
  <si>
    <t>M</t>
  </si>
  <si>
    <t>Movement. Moves someone from somewhere to somewhere</t>
  </si>
  <si>
    <t>base1-4</t>
  </si>
  <si>
    <t>A deck where four DCE replace four R energies, and to be pre-Over-Attached with as many energies as possibe before being sent into battle. Even Charmeleon should be preloaded on the bench before evolution in anticipation of this card's high Energy Funel costs.</t>
  </si>
  <si>
    <t>Recovery. Removes status conditions</t>
  </si>
  <si>
    <t>base1-40</t>
  </si>
  <si>
    <t>Raticate</t>
  </si>
  <si>
    <t>Dark Flareon</t>
  </si>
  <si>
    <t>Bite is primary, and Super Fang usually isn't worth it. Power up beyond Bite only if there are no better options for that energy</t>
  </si>
  <si>
    <t>Exclude from baseline. Doesn't fall in with the other functions but should be excluded from baseline readings</t>
  </si>
  <si>
    <t>base1-41</t>
  </si>
  <si>
    <t>Seel</t>
  </si>
  <si>
    <t>base1-42</t>
  </si>
  <si>
    <t>Wartortle</t>
  </si>
  <si>
    <t>Only withdraws when it can't use Bite. Doesn't mind fighting while it waits to evolve</t>
  </si>
  <si>
    <t>base1-43</t>
  </si>
  <si>
    <t>Abra</t>
  </si>
  <si>
    <t>e</t>
  </si>
  <si>
    <t>base1-44</t>
  </si>
  <si>
    <t>Bulbasaur</t>
  </si>
  <si>
    <t>To open if starting with an Ivysaur in hand</t>
  </si>
  <si>
    <t>base1-45</t>
  </si>
  <si>
    <t>Caterpie</t>
  </si>
  <si>
    <t>Energy Denial - Strips the investement you already made</t>
  </si>
  <si>
    <t>base1-46</t>
  </si>
  <si>
    <t>Charmander</t>
  </si>
  <si>
    <t>Ember is an energy funnel on a card whose evolutions also demand energy funnels, so a Charmander forced to use it should almost be written off for evolution if there are other options</t>
  </si>
  <si>
    <t>BD</t>
  </si>
  <si>
    <t>Bench Damage - Your cards aren't safe</t>
  </si>
  <si>
    <t>base1-47</t>
  </si>
  <si>
    <t>Diglett</t>
  </si>
  <si>
    <t>To open when a better option isn't available due to Mud Slap's high damage for that stage</t>
  </si>
  <si>
    <t>Position Control - You fight with the wrong pokemon</t>
  </si>
  <si>
    <t>base1-48</t>
  </si>
  <si>
    <t>Doduo</t>
  </si>
  <si>
    <t>Status Lock - It takes your turns away</t>
  </si>
  <si>
    <t>base1-49</t>
  </si>
  <si>
    <t>Drowzee</t>
  </si>
  <si>
    <t>Pound only used when Confuse Ray can't be</t>
  </si>
  <si>
    <t>HT</t>
  </si>
  <si>
    <t>Hand/Trainer Denial - Your outs stop arriving</t>
  </si>
  <si>
    <t>base1-5</t>
  </si>
  <si>
    <t>Clefairy</t>
  </si>
  <si>
    <t>Prefers to evolve on the bench. Sing is only a 25% chance to cost the opponent an attack and Metronome takes up a turn before the Copied Effect can be used, during which time Clefairy would likely die (if copying any move worthwhile).</t>
  </si>
  <si>
    <t>Wall/Prevention - Your damage stops landing</t>
  </si>
  <si>
    <t>base1-50</t>
  </si>
  <si>
    <t>Gastly</t>
  </si>
  <si>
    <t>Sleeping gas only has a 25% chance to cost the opponent a turn, so this pokemon probably shouldn't be used at all. Destiny Bond does become useful if it's in the active spot and about to die, though it requires an energy funnel and any opponent (including the bot) should weigh the option of just not attacking for that turn, as Gastly would need another Energy Funneled in to try it again.</t>
  </si>
  <si>
    <t>AP</t>
  </si>
  <si>
    <t>Dark Vaporeon</t>
  </si>
  <si>
    <t>Attrition/Recovery - It refuses to run out</t>
  </si>
  <si>
    <t>base1-51</t>
  </si>
  <si>
    <t>Koffing</t>
  </si>
  <si>
    <t>Loves to open and wreaks havok when it does. Foul Gas guarantees one of two different status conditions</t>
  </si>
  <si>
    <t>High Damage - Hits you harder than you can absorb</t>
  </si>
  <si>
    <t>base1-52</t>
  </si>
  <si>
    <t>Machop</t>
  </si>
  <si>
    <t>To open as a solid attacker. Low Kick deals high damage for low energy and Machop has high HP relative to other evolving basics</t>
  </si>
  <si>
    <t>BG</t>
  </si>
  <si>
    <t>Bench Growth - Your opponent is able to build up their reserves more quickly. Definition expanded to include drawing cards and skipping turns via quick evolution or extra energy attachments</t>
  </si>
  <si>
    <t>base1-53</t>
  </si>
  <si>
    <t>Magnemite</t>
  </si>
  <si>
    <t>SL, HD, BD</t>
  </si>
  <si>
    <t>Thunder Wave is primary and tries to paralyze, while Selfdestruct should be a Kamakaze Timer that also weighs the damage to both players' benches</t>
  </si>
  <si>
    <t>base1-54</t>
  </si>
  <si>
    <t>Metapod</t>
  </si>
  <si>
    <t>Stun Spore is always preferred, and there are extremely few situations Stiffen is used due to the 50/50 damage block chance. For the same energy cost and same 50/50 chance, Stun Spore can cost a turn through paralysis while dealing 20 guaranteed damage</t>
  </si>
  <si>
    <t>Order matters for pokemon with multiple pressures listed. The first has priority</t>
  </si>
  <si>
    <t>base1-55</t>
  </si>
  <si>
    <t>Nidoran ♂</t>
  </si>
  <si>
    <t>To open but its effectiveness depends on Coin Luck</t>
  </si>
  <si>
    <t>base1-56</t>
  </si>
  <si>
    <t>Onix</t>
  </si>
  <si>
    <t>Loves to open as a tank. Never powers up to Harden because it doesn't need it. Rock Throw is a good, cheap, steady 10 dmg to do each turn</t>
  </si>
  <si>
    <t>base1-57</t>
  </si>
  <si>
    <t>Pidgey</t>
  </si>
  <si>
    <t>Likes the bench, but plays position control when it's forced to attack</t>
  </si>
  <si>
    <t>Promo cards become available in *all* packs after the one it's gated until</t>
  </si>
  <si>
    <t>base1-58</t>
  </si>
  <si>
    <t>Pikachu</t>
  </si>
  <si>
    <t>Thunder Jolt is the preferred attack but risks self-damage toward a low-HP pokemon. Prefers to evolve on the bench. There are about a thousand Pikachu variants and our autobuilder should prefer most of the others over this one.</t>
  </si>
  <si>
    <t>Promo Card gate order contains judgement calls for balance and is not always released in order for us</t>
  </si>
  <si>
    <t>base1-59</t>
  </si>
  <si>
    <t>Poliwag</t>
  </si>
  <si>
    <t>Wants to Over-Attach two energies for Water Gun while fighting, which puts in a good position for evolution</t>
  </si>
  <si>
    <t>Promo suffexes are for differentiation in the spreadsheet, not necessarily in-game</t>
  </si>
  <si>
    <t>base1-6</t>
  </si>
  <si>
    <t>Gyarados</t>
  </si>
  <si>
    <t>Magikarp kept safe enough to evolve</t>
  </si>
  <si>
    <t>Magnemite R</t>
  </si>
  <si>
    <t>base1-60</t>
  </si>
  <si>
    <t>Ponyta</t>
  </si>
  <si>
    <t>An okay starter if Rapidash is in hand</t>
  </si>
  <si>
    <t>Promo Suffix Key</t>
  </si>
  <si>
    <t>base1-61</t>
  </si>
  <si>
    <t>Rattata</t>
  </si>
  <si>
    <t>GP</t>
  </si>
  <si>
    <t>General Promo release</t>
  </si>
  <si>
    <t>base1-62</t>
  </si>
  <si>
    <t>Sandshrew</t>
  </si>
  <si>
    <t>MS</t>
  </si>
  <si>
    <t>Movie Stamp - Special visual stamp from movie release</t>
  </si>
  <si>
    <t>base1-63</t>
  </si>
  <si>
    <t>Squirtle</t>
  </si>
  <si>
    <t>Likes to open if its deck contains Blastoise, as it's a very good line to evolve while fighting at the start of a match</t>
  </si>
  <si>
    <t>CH</t>
  </si>
  <si>
    <t>Cosmos Holo - A special holo promo card</t>
  </si>
  <si>
    <t>base1-64</t>
  </si>
  <si>
    <t>Recover needs an Energy Funnel and should be avoided. See Kadabra entry for more detail</t>
  </si>
  <si>
    <t>base1-65</t>
  </si>
  <si>
    <t>Staryu</t>
  </si>
  <si>
    <t>base1-66</t>
  </si>
  <si>
    <t>Tangela</t>
  </si>
  <si>
    <t>Poisonpowder first, Bind once poisoned or before it can be afforded. See Nidoking for reasoning</t>
  </si>
  <si>
    <t>base1-67</t>
  </si>
  <si>
    <t>Voltorb</t>
  </si>
  <si>
    <t>Ancient Mew, which is unnumbered and not part of any set, has been given a number and added to the Promo set by me. This might be done for some other unnumbered cards as well in the future</t>
  </si>
  <si>
    <t>base1-68</t>
  </si>
  <si>
    <t>Vulpix</t>
  </si>
  <si>
    <t>Per WotC rulings: Promo Cool Porygon *can* evolve (when Porygon2 is introduced), but the [adjective] Pikachu variants *cannot* evolve</t>
  </si>
  <si>
    <t>base1-69</t>
  </si>
  <si>
    <t>Weedle</t>
  </si>
  <si>
    <t>"Trevor's Pikachu" was originally "_____'s Pikachu" that has variable attack damage based on its owner's birthday. Rather than building in a birthday system, I decided to use mine as a placeholder</t>
  </si>
  <si>
    <t>base1-7</t>
  </si>
  <si>
    <t>Hitmonchan</t>
  </si>
  <si>
    <t xml:space="preserve">A stalling or opening role. Jab is the main one to power up. Special Punch is expensive and should only be powered up if the bench doesn't have better options. </t>
  </si>
  <si>
    <t>If you don't have stats for Ancient Mew I can provide them.</t>
  </si>
  <si>
    <t>base1-70</t>
  </si>
  <si>
    <t>Clefairy Doll</t>
  </si>
  <si>
    <t>r</t>
  </si>
  <si>
    <t>base1-71</t>
  </si>
  <si>
    <t>Computer Search</t>
  </si>
  <si>
    <t>s</t>
  </si>
  <si>
    <t>To be used to find a needed evolution card, another basic if basics are in short supply or if its evolution is in hand, or whatever else might be most needed at the moment</t>
  </si>
  <si>
    <t>base1-72</t>
  </si>
  <si>
    <t>Devolution Spray</t>
  </si>
  <si>
    <t>base1-73</t>
  </si>
  <si>
    <t>Impostor Professor Oak</t>
  </si>
  <si>
    <t>p</t>
  </si>
  <si>
    <t>To be used when its opponent has a lot of cards in their hand. It's disruptive in many cases, but this gets the largest effect</t>
  </si>
  <si>
    <t>base1-74</t>
  </si>
  <si>
    <t>Item Finder</t>
  </si>
  <si>
    <t>base1-75</t>
  </si>
  <si>
    <t>Lass</t>
  </si>
  <si>
    <t>A deck with relatively few trainer cards so the opponent is disproportionately affected</t>
  </si>
  <si>
    <t>base1-76</t>
  </si>
  <si>
    <t>Pokemon Breeder</t>
  </si>
  <si>
    <t>m</t>
  </si>
  <si>
    <t>A deck with many stage 2 cards, and preferably multiple stage 2 lines</t>
  </si>
  <si>
    <t>base1-77</t>
  </si>
  <si>
    <t>Pokemon Trader</t>
  </si>
  <si>
    <t>Same use case as Computer Search but a card is sent back to the deck rather than discarded</t>
  </si>
  <si>
    <t>base1-78</t>
  </si>
  <si>
    <t>Scoop Up</t>
  </si>
  <si>
    <t>To rescue a high-HP basic pokemon, usually a tank like Snorlax or Chansey, after it has high damage. As a tank, there are usually few energy cards attached so not much is lost, and as a basic they can just be thrown back to the bench right away with now damage. This works great in combination with Alakazam's Pokemon Power loading up a tank on the bench with damage, scooping up the high damage pokemon, and then putting it right back on the bench to be loaded up again</t>
  </si>
  <si>
    <t>base1-79</t>
  </si>
  <si>
    <t>Super Energy Removal</t>
  </si>
  <si>
    <t>Costs you a turn of tempo in exchange for costing the opponent two turns of tempo. Your own energy drop should be from a pokemon who needs it the least, and the opponent pokemon selected should be one where this would really cost it, usually the active one. DOES NOT want to be used on an opponent pokemon with only one energy because then you don't gain an advantage.</t>
  </si>
  <si>
    <t>base1-8</t>
  </si>
  <si>
    <t>Dark Magneton NH</t>
  </si>
  <si>
    <t>A very standard card that our bot will do fine with. Strikes Back is more of a passive punishment for killing it that's hard to strategize for other than the nuisanse it is just by existing</t>
  </si>
  <si>
    <t>base1-80</t>
  </si>
  <si>
    <t>Defender</t>
  </si>
  <si>
    <t>u</t>
  </si>
  <si>
    <t>To be used only when the active pokemon expects to take damage on the next turn, and only damage that's survivable with the Defender attached. Defenders also block self-damage, so they can be used strategically there as well (our game does not block self-damage yet with Defender but it should). The best time to use it is when it would save a valuable active pokemon that would otherwise die. Should not be played just because it exists in the bot's hand.</t>
  </si>
  <si>
    <t>base1-81</t>
  </si>
  <si>
    <t>Energy Retrieval</t>
  </si>
  <si>
    <t>To be in decks that require energy funnels, or in multi-type decks where a desired energy can be rescued from discard if running short</t>
  </si>
  <si>
    <t>base1-82</t>
  </si>
  <si>
    <t>Full Heal</t>
  </si>
  <si>
    <t>To be in most decks, and save a pokemon from a missed turn from an opponent's status move. It especially loves decks with pokemon that apply status conditions to themselves, like Vileplume</t>
  </si>
  <si>
    <t>base1-83</t>
  </si>
  <si>
    <t>Maintenance</t>
  </si>
  <si>
    <t>d</t>
  </si>
  <si>
    <t>Not a useful card. Autobuilder should avoid</t>
  </si>
  <si>
    <t>base1-84</t>
  </si>
  <si>
    <t>PlusPower</t>
  </si>
  <si>
    <t>To be used strategically but not be held onto like it's in a vault. The best times are when your own pokemon would fall 10 damage short of knocking out the opponent, or when an additional 10 damage would result in 1 fewer turn to kill the opponent, as in a move doing 30 damage attacking a pokemon with 70 HP. The best practice there is to plant to hit for 30 on the first turn and use the PlusPower for 40 on the second turn. If you might not survive until the second turn, the PlusPower could probably be used early</t>
  </si>
  <si>
    <t>base1-85</t>
  </si>
  <si>
    <t>Pokemon Center</t>
  </si>
  <si>
    <t>base1-86</t>
  </si>
  <si>
    <t>Pokemon Flute</t>
  </si>
  <si>
    <t>base1-87</t>
  </si>
  <si>
    <t>Pokedex</t>
  </si>
  <si>
    <t>Best if the autobuilder avoids</t>
  </si>
  <si>
    <t>base1-88</t>
  </si>
  <si>
    <t>Professor Oak</t>
  </si>
  <si>
    <t>To be played when either desperate for cards or when little of value would be lost by discarding its owner's hand. Consumables like Potion or PlusPower want to be used immediately before Professor Oak even if they're not needed, because they get discarded otherwise</t>
  </si>
  <si>
    <t>base1-89</t>
  </si>
  <si>
    <t>Revive</t>
  </si>
  <si>
    <t>To be used to revive a tank, and not much else. Best if the autobuilder avoids</t>
  </si>
  <si>
    <t>Total</t>
  </si>
  <si>
    <t>base1-9</t>
  </si>
  <si>
    <t>Magneton</t>
  </si>
  <si>
    <t>SL, HD</t>
  </si>
  <si>
    <t>The same logic as base1 Magnemite and other Kamakaze Timers. Thunder Wave is used as a status lock until that's needed</t>
  </si>
  <si>
    <t>base1-90</t>
  </si>
  <si>
    <t>Super Potion</t>
  </si>
  <si>
    <t>To heal a moderate amount of damage at the cost of 1 tempo of energy. Should not be used to save a pokemon that it would prevent from powering up enough to attack, as that would just be stalling for no benefit</t>
  </si>
  <si>
    <t>base1-91</t>
  </si>
  <si>
    <t>Bill</t>
  </si>
  <si>
    <t>c</t>
  </si>
  <si>
    <t>To be used right away and exist in almost every deck. Weak decks have 1-2, stronger decks have 3-4</t>
  </si>
  <si>
    <t>Ponyta R</t>
  </si>
  <si>
    <t>base1-92</t>
  </si>
  <si>
    <t>Energy Removal</t>
  </si>
  <si>
    <t>To be used liberally and strategically. Do not remove an energy just to remove an energy, do it to something that it would inconvenience by having to re-attach. The opponent's active pokemon usually makes for the best target, but something powerful on the bench could work as well. Denying the active pokemon forces the opponent to re-power that one instead of preparing the bench, might lead to the opponent taking an extra turn to attack, and might completely stop the opponent if he doesn't have any extra energies. After a pokemone is selected, if it has multiple energy types, DCE should be the first target and its own energy type (as in the hard requirements for its moves rather than the colorless extras) should be the second.</t>
  </si>
  <si>
    <t>base1-93</t>
  </si>
  <si>
    <t>Gust of Wind</t>
  </si>
  <si>
    <t>To drag in a damaged bench pokemon to finish it off, preferably a strong one that could pose a menace. Bringing in a high damage pokemon from the bench with low HP can still lay a large hit on you before you have a turn to finish it off, and this card allows you to preempt that. It can also shift a dangerous pokemon out of the active spot and replace it with something else that doesn't have the energy to attack or retreat yet.</t>
  </si>
  <si>
    <t>base1-94</t>
  </si>
  <si>
    <t>Potion</t>
  </si>
  <si>
    <t>To not be used to heal only 10 damage unless that has the immediate potential to be life saving (and the pokemon is worth saving)</t>
  </si>
  <si>
    <t>base1-95</t>
  </si>
  <si>
    <t>Switch</t>
  </si>
  <si>
    <t>To retreat a high value pokemon without paying the retreat cost, or launch a sudden switch for a quick attack that the opponent wasn't expecting. Does not want to be used on a free-retreat cost pokemon and prefers heavier retreat costs to nullify. Should not be played just because it exists in the bot's hand</t>
  </si>
  <si>
    <t>base1-96</t>
  </si>
  <si>
    <t>DC Energy</t>
  </si>
  <si>
    <t>base1-97</t>
  </si>
  <si>
    <t>F Energy</t>
  </si>
  <si>
    <t>base1-98</t>
  </si>
  <si>
    <t>R Energy</t>
  </si>
  <si>
    <t>base1-99</t>
  </si>
  <si>
    <t>G Energy</t>
  </si>
  <si>
    <t>base2-1</t>
  </si>
  <si>
    <t>Clefable</t>
  </si>
  <si>
    <t>To never use Minimize. Metronome is a Copy Effects move that requires a Setup Turn to actually copy the target move, but the very low energy cost makes it worth it. It could potentially copy a Charizard's attack on the first turn (as long as the Charizard can't attack on its turn to kill it), and then use it against the Charizard on the next turn with only 1 energy and no discards. It just needs to survive long enough to copy and then use on separate turns. Hates coming in against cards with only weak attacks or ones that don't do damage at all</t>
  </si>
  <si>
    <t>base2-10</t>
  </si>
  <si>
    <t>Scyther</t>
  </si>
  <si>
    <t>Swords Dance is a Setup Turn move that eats a turn in order to deal double damage with Slash on the next turn. This balances out to the same damage total each way, so best strategy is to only use Swords Dance at exactly 2 energies when a third can be attached for Slash on the next turn. Otherwise, it's better to deal the guaranteed Slash damage each turn</t>
  </si>
  <si>
    <t>base2-11</t>
  </si>
  <si>
    <t>Snorlax</t>
  </si>
  <si>
    <t>To stall, not attack or retreat. It can't be affected by status conditions, making it a very effective tank. Its attack is decent for what it is, but shouldn't be powered up by the bot when preparing evolutions on the bench is available instead due to its high cost. It exists to eat damage, eat turns, and then die. Likes decks with Alakazam, because that allows it to eat the active pokemon's damage from the bench. Likes playing against Psychic type decks because it's resistant, making it the ultimate tank against those decks (applies to Chansey as well)</t>
  </si>
  <si>
    <t>base2-12</t>
  </si>
  <si>
    <t>Vaporeon</t>
  </si>
  <si>
    <t>Water Gun asks to Over-Attach two extra energies for extra damage, and should be seen as the primary attack. Quick Attack has two use cases: When Water Gun can't be afforded, and when Vaporeon is played in a non-water deck. The latter is viable because Quick Attack only requires Colorless energy, meaning it can be used in any deck if the user is okay never having access to Water Gun. Does well in multi-type decks with other Eevee-lutions.</t>
  </si>
  <si>
    <t>Dark Rapidash</t>
  </si>
  <si>
    <t>base2-13</t>
  </si>
  <si>
    <t>Venomoth</t>
  </si>
  <si>
    <t xml:space="preserve">To use its pokemon power to change its type to whatever the defending pokemon is weak to. This should happen at the first opportunity, as its attack is underwhelming even with its layered status chances without it. It probably shouldn't change its type arbitrarily though; if the opponent has no weakness it should just stay in its current type. But due to this type changing, its attack can be considered 20 dmg instead of 10 in most cases. Maybe the bot can calculate damage ahead of time by assuming Venomoth is already whatever the defender is weak to, as it will be by the time it attacks. </t>
  </si>
  <si>
    <t>base2-14</t>
  </si>
  <si>
    <t>Victreebel</t>
  </si>
  <si>
    <t>SL, PC</t>
  </si>
  <si>
    <t>Acid is the primary attack but its retreat-blocking ability has too limited of a use-case to train the bot to account for it. Lure follows the same logic as it does with Ninetales</t>
  </si>
  <si>
    <t>base2-15</t>
  </si>
  <si>
    <t>AP, HD</t>
  </si>
  <si>
    <t>To attempt to heal damaged G pokemon each turn, which I've already witnessed the bot do correctly. Its attack is too valuable to keep it confined to the bench though, though it should be considered a one (or two) and done that can deal very high potential damage when fighting. Likes decks with a Full Heal, since it can self-confuse</t>
  </si>
  <si>
    <t>base2-16</t>
  </si>
  <si>
    <t>HD, SL</t>
  </si>
  <si>
    <t>To have many allies on the bench. Do The Wave scales in damage with bench pokemon numbers. At a full bench Wigglytuff punches above its weight, becoming a Stage 1 with the stopping power and survivability of a Stage 2. Lullaby should only be used when Do The Wave can't be, and this card doesn't like being put in a position where it has to use it.</t>
  </si>
  <si>
    <t>base2-17</t>
  </si>
  <si>
    <t>Clefable NH</t>
  </si>
  <si>
    <t>Same as holo variant</t>
  </si>
  <si>
    <t>base2-18</t>
  </si>
  <si>
    <t>Electrode B2 NH</t>
  </si>
  <si>
    <t>base2-19</t>
  </si>
  <si>
    <t>Flareon NH</t>
  </si>
  <si>
    <t>base2-2</t>
  </si>
  <si>
    <t>Electrode B2</t>
  </si>
  <si>
    <t>Many pokemon on the opponent's bench that are the same type as their active pokemon (as long as not colorless). Chain Lightning's bench damage potential should be a factor the bot considers when promoting this card to active. Other than this, I think the bot will handle fine.</t>
  </si>
  <si>
    <t>base2-20</t>
  </si>
  <si>
    <t>Jolteon NH</t>
  </si>
  <si>
    <t>base2-21</t>
  </si>
  <si>
    <t>Kangaskhan NH</t>
  </si>
  <si>
    <t>Common</t>
  </si>
  <si>
    <t>Uncommon</t>
  </si>
  <si>
    <t>Rare</t>
  </si>
  <si>
    <t>base2-22</t>
  </si>
  <si>
    <t>Tentacool</t>
  </si>
  <si>
    <t>Mr. Mime NH</t>
  </si>
  <si>
    <t>base2-23</t>
  </si>
  <si>
    <t>Nidoqueen NH</t>
  </si>
  <si>
    <t>base2-24</t>
  </si>
  <si>
    <t>Pidgeot NH</t>
  </si>
  <si>
    <t>base2-25</t>
  </si>
  <si>
    <t>Pinsir NH</t>
  </si>
  <si>
    <t>base2-26</t>
  </si>
  <si>
    <t>Scyther NH</t>
  </si>
  <si>
    <t>base2-27</t>
  </si>
  <si>
    <t>Snorlax NH</t>
  </si>
  <si>
    <t>base2-28</t>
  </si>
  <si>
    <t>Vaporeon NH</t>
  </si>
  <si>
    <t>base2-29</t>
  </si>
  <si>
    <t>Venomoth NH</t>
  </si>
  <si>
    <t>base2-3</t>
  </si>
  <si>
    <t>Flareon</t>
  </si>
  <si>
    <t>Needs an Energy Funnel for Flamethrower but can do large damage with it. Quick attack follows the same logic as Vaporeon's move of the same name, including deck composition options</t>
  </si>
  <si>
    <t>base2-30</t>
  </si>
  <si>
    <t>Victreebel NH</t>
  </si>
  <si>
    <t>Trainer</t>
  </si>
  <si>
    <t>base2-31</t>
  </si>
  <si>
    <t>Vileplume NH</t>
  </si>
  <si>
    <t>base2-32</t>
  </si>
  <si>
    <t>Wigglytuff NH</t>
  </si>
  <si>
    <t>base2-33</t>
  </si>
  <si>
    <t>Butterfree</t>
  </si>
  <si>
    <t>PC, AP</t>
  </si>
  <si>
    <t>To move dangerous pokemon away with Whirlwind, while Mega Drain is used as the primary. Always wants Mega Drain powered up and only uses Whirlwind while powering, or when a dangerous pokemon needs to be moved away in a situation where it can't just be brought back right away on the next turn (as in none of the potential replacements are able to retreat). Often evolves in the active spot so this is sometimes a legitimate scenario. Mega Drain's healing should be factored into the bot's calculations</t>
  </si>
  <si>
    <t>base2-34</t>
  </si>
  <si>
    <t>Dodrio</t>
  </si>
  <si>
    <t>To stay in when damaged and use Rage, which relies on Damage Scaling. Its pokemon power makes it prefer the bench as it's more useful there, but it has zero retreat cost so it can be sent in and pulled out at-will. Its pokemon power can be useful but probably doesn't have enough use-cases to train the bot on it. Its current behavior will probably manage it okay enough</t>
  </si>
  <si>
    <t>base2-35</t>
  </si>
  <si>
    <t>Exeggutor</t>
  </si>
  <si>
    <t>HD, PC</t>
  </si>
  <si>
    <t>To Over-Attach for Big Eggsplosion by as many energies as it can (unless about to die and the bot weighs a bench powerup's future benefit higher than an additional coin flip for Big Eggsplosion). It wants to be used in a Grass OR Psychic deck, and Teleport can't be used at all in a pure-grass one (but it shouldn't be avoided in grass decks for that reason). Teleport is rarely beneficial, as it's usually better to try for high damage with Big Eggsplosion even if it risks death on the next turn. Teleport becomes a benefit when Big Eggsplosion's damage potential isn't very high, as long as you weren't planning to use Exeggutor as a staller</t>
  </si>
  <si>
    <t>base2-36</t>
  </si>
  <si>
    <t>Fearow</t>
  </si>
  <si>
    <t>Classic Attack Choice in the same shape as Dewgong, except rolling for damage prevention instead of a status lock. Our bot probably handles it fine</t>
  </si>
  <si>
    <t>base2-37</t>
  </si>
  <si>
    <t>Gloom</t>
  </si>
  <si>
    <t>Foul Odor confuses both Gloom and the opponent at the same time, which can be strategic if Gloom is planning to evolve on the next turn or otherwise isn't expecting to need to attack again itself. Gloom can be turned into an effective sacrifice by doing this as well. Poisonpowder is also very useful and should be used as the default at all other times. Foul Odor wants to be powered up even when not being used to help prepare it for evolution, as Vileplume wants 4 energies to attack</t>
  </si>
  <si>
    <t>base2-38</t>
  </si>
  <si>
    <t>Lickitung</t>
  </si>
  <si>
    <t>Tentacruel</t>
  </si>
  <si>
    <t>An opening role due to its high HP and chance to paralyze, making it an excellent opening staller. It rarely uses Supersonic as the coin flip for confusion coupled with non-damage doesn't make the energy price worth it, and most often doesn't even power up for it.</t>
  </si>
  <si>
    <t>base2-39</t>
  </si>
  <si>
    <t>Marowak</t>
  </si>
  <si>
    <t>To use Bonemerang primarily and not even power up Call for Friend, which is only used in desperate scenarios where bench pokemon are needed, such as Marowak being the only pokemon left and its death impending.</t>
  </si>
  <si>
    <t>base2-4</t>
  </si>
  <si>
    <t>Jolteon</t>
  </si>
  <si>
    <t>Pin Missile is primary. Quick Attack uses the same logic as Vaporeon's move of the same name, including deck composition options</t>
  </si>
  <si>
    <t>base2-40</t>
  </si>
  <si>
    <t>Nidorina</t>
  </si>
  <si>
    <t>Double Kick is primary. It doesn't want to be in a situation where it has to use Supersonic</t>
  </si>
  <si>
    <t>base2-41</t>
  </si>
  <si>
    <t>Parasect</t>
  </si>
  <si>
    <t>Spore causes Sleep automatically, but that only results in a 50/50 chance the opponent will miss a turn. Therefore, Slash is usually preferable.</t>
  </si>
  <si>
    <t>base2-42</t>
  </si>
  <si>
    <t>Persian</t>
  </si>
  <si>
    <t>Pounce is preferable due to the resulting damage reduction on the next turn. I think the bot will probably play this fine, though we should check if it accounts for the damage reduction in its planning</t>
  </si>
  <si>
    <t>base2-43</t>
  </si>
  <si>
    <t>Primeape</t>
  </si>
  <si>
    <t>Our bot might favor Tantrum due to the damage math, but it should account for the self-confuse potential as well. Tantrum does do high damage and the self-confuse isn't guaranteed, so using it as the primary might still be viable. I'd rather not try to overdictate to the bot on this one unless we find it's needed later</t>
  </si>
  <si>
    <t>base2-44</t>
  </si>
  <si>
    <t>Rapidash</t>
  </si>
  <si>
    <t>Classic Attack Choice in the same shape as Fearow. The bot is probably fine</t>
  </si>
  <si>
    <t>base2-45</t>
  </si>
  <si>
    <t>Horn Attack is primary since Ram does self-damage that might not be worth the attack damage. Ram becomes useful when it would kill but Horn Attack wouldn't, or if pushing the opponent's active pokemon to the bench would be useful</t>
  </si>
  <si>
    <t>base2-46</t>
  </si>
  <si>
    <t>Seaking</t>
  </si>
  <si>
    <t>Very weak for a stage 1 with no attack benefits. Autobuilder should avoid</t>
  </si>
  <si>
    <t>base2-47</t>
  </si>
  <si>
    <t>Tauros</t>
  </si>
  <si>
    <t>Follows Primeape's logic in terms of Damage Scaling attack choices</t>
  </si>
  <si>
    <t>base2-48</t>
  </si>
  <si>
    <t>Weepinbell</t>
  </si>
  <si>
    <t>Same logic as others who poison first, switch to a more damaging attack once poisoned</t>
  </si>
  <si>
    <t>base2-49</t>
  </si>
  <si>
    <t>Bellsprout</t>
  </si>
  <si>
    <t xml:space="preserve">Vine Whip is primary. Call for Family should only be used on the first turn if there's little on the bench, or when desperate for bench pokemon. </t>
  </si>
  <si>
    <t>base2-5</t>
  </si>
  <si>
    <t>Kangaskhan</t>
  </si>
  <si>
    <t>To go first/stall while using Fetch. Only rarely wants to use Comet Punch or retreat. Its best use is to sit there and draw cards for as long as possible to help its owner power up the bench more quickly than their opponent. Comes at the risk of draining your own deck too quickly if it survives for too long, so Fetch should be instantly de-prioritized when deck cards start running low. At a certain point, passing without attacking becomes preferable over drawing more of the remaining card supply.</t>
  </si>
  <si>
    <t>base2-50</t>
  </si>
  <si>
    <t>Cubone</t>
  </si>
  <si>
    <t>To open or stall using Snivel. Rage is damage scaling and should be powered up, but only used when it might kill. The damage reduction from Swivel is usually higher value and should factor into the bot's choices. Rage is powered up ahead of time only because the energy is needed for Marowak</t>
  </si>
  <si>
    <t>base2-51</t>
  </si>
  <si>
    <t>Likes to open if an evolution card is in hand. Otherwise it prefers the bench to wait until one shows up.</t>
  </si>
  <si>
    <t>base2-52</t>
  </si>
  <si>
    <t>Exeggcute</t>
  </si>
  <si>
    <t>Its primary attack depends on the deck it's in, as each cost different energy types. It can do just fine in a Psychic deck (due to Exeggutor's energy requirements more than its own), and if so, Hypnosis is available. If in a grass deck, Leech Seed is the one that can be used. Both being available is probably too rare to train the bot on for a basic pokemon that's trying to evolve anyway.</t>
  </si>
  <si>
    <t>base2-53</t>
  </si>
  <si>
    <t>Goldeen</t>
  </si>
  <si>
    <t>base2-54</t>
  </si>
  <si>
    <t>Jigglypuff</t>
  </si>
  <si>
    <t>Same Attack Choice logic as Wigglytuff, minus the scale of Wigglytuff's damage</t>
  </si>
  <si>
    <t>base2-55</t>
  </si>
  <si>
    <t>Mankey</t>
  </si>
  <si>
    <t>To use its pokemon power liberally so the bot can find out which prizes it wants to take or what's in the deck. Even if this doesn't actually give the bot a benefit, it looks like it's doing something</t>
  </si>
  <si>
    <t>base2-56</t>
  </si>
  <si>
    <t>Meowth</t>
  </si>
  <si>
    <t xml:space="preserve">To go first/early and use Pay Day to draw cards. Less valuable than Kangaskhan for the same function, even with its evolution factored in. </t>
  </si>
  <si>
    <t>base2-57</t>
  </si>
  <si>
    <t>Pokemon</t>
  </si>
  <si>
    <t>Nidoran ♀</t>
  </si>
  <si>
    <t>Same Call for Family logic as others with the same move, like Bellsprout. Should still power it up to ready it for evolution rather than actually wanting to use that attack</t>
  </si>
  <si>
    <t>base2-58</t>
  </si>
  <si>
    <t>Oddish</t>
  </si>
  <si>
    <t>Sprout logic is the same as Call for Family in Bellsprout.</t>
  </si>
  <si>
    <t>base2-59</t>
  </si>
  <si>
    <t>Paras</t>
  </si>
  <si>
    <t>To use Scratch instead of Spore in most cases following the same logic as others. If the bot does not do this for Paras specifically, it's probably fine. The others are more worth tuning than this one</t>
  </si>
  <si>
    <t>base2-6</t>
  </si>
  <si>
    <t>Mr. Mime</t>
  </si>
  <si>
    <t>To be thrown in mid-game against anything that doesn't have an attack that deals 20 dmg or below, or confers a status condition other than paralysis, due to its pokemon power blocking damage above 20 and persistent status conditions nullifying that power. Its attack Damage Scales by the amount of damage the opponent has taken, so it can be a very effective finisher. It's a tank against strong things and flimsy against weak things.</t>
  </si>
  <si>
    <t>base2-60</t>
  </si>
  <si>
    <t>Pikachu B2</t>
  </si>
  <si>
    <t>Opponent bench pokemon to deal sneaky damage to. Targets vulnerable ones.</t>
  </si>
  <si>
    <t>base2-61</t>
  </si>
  <si>
    <t>Rhyhorn</t>
  </si>
  <si>
    <t>Leer is the primary as it turns Rhyhorn into a very good staller. Horn Attack should only be powered up if it's planning to evolve, but takes over the primary position once powered. 3 energy on Rhyhorn usually translates into an evolution though, so this doesn't happen much.</t>
  </si>
  <si>
    <t>base2-62</t>
  </si>
  <si>
    <t>Spearow</t>
  </si>
  <si>
    <t>Peck is primary. 3 energies is a lot to want to attach to a pokemon as weak as Spearow just for a chance at Mirror Move, and Spearow's HP is so low that a copied attack that it previously survived would probably not do much damage. It shouldn't even try to power this up unless readying itself for evolution</t>
  </si>
  <si>
    <t>base2-63</t>
  </si>
  <si>
    <t>Venonat</t>
  </si>
  <si>
    <t xml:space="preserve">Stun Spore is primary, due to its HP being too low to benifit much from Leech Life's healing. </t>
  </si>
  <si>
    <t>base2-64</t>
  </si>
  <si>
    <t>Poke Ball</t>
  </si>
  <si>
    <t>To be used right away</t>
  </si>
  <si>
    <t>base2-7</t>
  </si>
  <si>
    <t>Mega Punch is the primary since having enough Nidokings on the bench for Boyfriends to be effective is unrealistic, even for a human player actively attempting to do it. The bot should only use this if energies don't allow for Mega Punch, and I think the bot will probably get this right already</t>
  </si>
  <si>
    <t>base2-8</t>
  </si>
  <si>
    <t>Hurricane is the most disruptive attack in the game so far and should be preferred in all cases. Pidgeot loves to fight because of its harrassement potential, and it has high value in the active spot and low value on the bench</t>
  </si>
  <si>
    <t>base2-9</t>
  </si>
  <si>
    <t>Pinsir</t>
  </si>
  <si>
    <t>To usually only power up Irongrip. Guillotine does good damage but is expensive, and its energies are usually better applied elsewhere. If nothing else needs it, then Pinsir becomes happy to have Guillotine powered up, after which it becomes the primary attack</t>
  </si>
  <si>
    <t>base3-1</t>
  </si>
  <si>
    <t>To evolve before most opponent pokemon due to its evolution blocking other evolutions for both players. Prefers a deck with a lot of no-evolve pokemon to maximize the advantage. Hates fighting unless a duplicate exists because keeping its pokemon power active is too valuable to risk losing.</t>
  </si>
  <si>
    <t>base3-10</t>
  </si>
  <si>
    <t>Lapras</t>
  </si>
  <si>
    <t>To Over-Attach energy for Water Gun, which is used as the primary attack. As long as it doesn't cost an extra turn in terms of killing the opponent, Lapras will try to confuse with Confuse Ray as well. Performs the function of a tank but fully invests in its attacks, unlike most other tanks, which is why it's not labeled as one. A high value single-stage pokemon for the autobuilder</t>
  </si>
  <si>
    <t>base3-11</t>
  </si>
  <si>
    <t>Magneton B3</t>
  </si>
  <si>
    <t>HD, BD</t>
  </si>
  <si>
    <t>Kamikaze Timing pattern in the same shape as others with self-destruct. Like those, potential bench self-kills and opponent kills should be factored into the weight.</t>
  </si>
  <si>
    <t>base3-12</t>
  </si>
  <si>
    <t>To only use Dive Bomb since Wildfire asks for an Energy Funnel just to discard the opponent's next card(s) in the deck, and is nowhere near a good tradeoff unless the opponent's deck is close to empty (then it suddenly gains a lot of value). This will be excedingly rare though and might be a waste of time to tune. Its main attack is expensive and is a 50/50 chance of landing, making this card nearly useless. If the autobuilder wants a Moltres, it should take a different variant.</t>
  </si>
  <si>
    <t>base3-13</t>
  </si>
  <si>
    <t>Very valuable against decks with passive pokemon powers, which is common in the Team Rocket set but doesn't get much play elsewhere. Most useful to nullify Aerodactyl, Mr. Mime, or Charizard's ability to attach DCE, which are not in every deck of their energy type. Muk's main attack is decent though, so the autobuilder shouldn't ignore.</t>
  </si>
  <si>
    <t>base3-14</t>
  </si>
  <si>
    <t>Raichu B3</t>
  </si>
  <si>
    <t>To come in against an opponent with 3 or more bench pokemon in order to take full advantage of its attack. As multiple bench pokemon can be damaged, it's best practice to choose already-damaged ones, ones with low HP that you can kill across multiple turns, and stronger ones that you might want to pre-weaken a little.</t>
  </si>
  <si>
    <t>base3-15</t>
  </si>
  <si>
    <t xml:space="preserve">To use Thunderstorm and weight potential bench damage over potential self-damage, unless close to death itself. Self-kills allow the opponent first strike against your replacement pokemon, so it'll affect your next fighter negatively as well. Depending on potential benefits of the attack, it's sometimes best to pass rather than take a self-kill. </t>
  </si>
  <si>
    <t>base3-16</t>
  </si>
  <si>
    <t>Aerodactyl NH</t>
  </si>
  <si>
    <t>base3-17</t>
  </si>
  <si>
    <t>Articuno NH</t>
  </si>
  <si>
    <t>SL, BD</t>
  </si>
  <si>
    <t>base3-18</t>
  </si>
  <si>
    <t>Ditto NH</t>
  </si>
  <si>
    <t>base3-19</t>
  </si>
  <si>
    <t>Dragonite NH</t>
  </si>
  <si>
    <t>base3-2</t>
  </si>
  <si>
    <t>Follows the Dewgong pattern for Attack Choice. Potential self-damage to the bench should be factored in to using Blizzard as well. It has a 50/50 shot to damage each bench so the bot might price it the same, but potential deaths on either bench should be factored in too. Costing yourself a prize if you have something with only 10 HP left might not always be worth it.</t>
  </si>
  <si>
    <t>base3-20</t>
  </si>
  <si>
    <t>Gengar NH</t>
  </si>
  <si>
    <t>base3-21</t>
  </si>
  <si>
    <t>Haunter B3 NH</t>
  </si>
  <si>
    <t>WP, SL</t>
  </si>
  <si>
    <t>base3-22</t>
  </si>
  <si>
    <t>Hitmonlee NH</t>
  </si>
  <si>
    <t>BD, HD</t>
  </si>
  <si>
    <t>base3-23</t>
  </si>
  <si>
    <t>Feature Weight:</t>
  </si>
  <si>
    <t>base3-24</t>
  </si>
  <si>
    <t>Kabutops NH</t>
  </si>
  <si>
    <t>base3-25</t>
  </si>
  <si>
    <t>Lapras NH</t>
  </si>
  <si>
    <t>base3-26</t>
  </si>
  <si>
    <t>Magneton B3 NH</t>
  </si>
  <si>
    <t>base3-27</t>
  </si>
  <si>
    <t>Moltres NH</t>
  </si>
  <si>
    <t>base3-28</t>
  </si>
  <si>
    <t>Muk NH</t>
  </si>
  <si>
    <t>base3-29</t>
  </si>
  <si>
    <t>Raichu B3 NH</t>
  </si>
  <si>
    <t>base3-3</t>
  </si>
  <si>
    <t>Ditto</t>
  </si>
  <si>
    <t>To copy a pesky opponent or one with a high damage/low energy cost ratio. Autobuilder should probably block this</t>
  </si>
  <si>
    <t>base3-30</t>
  </si>
  <si>
    <t>Zapdos B3 NH</t>
  </si>
  <si>
    <t>base3-31</t>
  </si>
  <si>
    <t>Arbok</t>
  </si>
  <si>
    <t>Poison Fang is the primary. Terror Strike's logic follows the same shape as Ninetales' Lure, except with a small amount of damage dealt first. That damage still does not weight it above Poison Fang, but also makes Arbok more willing to enter in situations that force its use than Ninetales is to enter when only Lure is available</t>
  </si>
  <si>
    <t>base3-32</t>
  </si>
  <si>
    <t>Cloyster</t>
  </si>
  <si>
    <t>Spike Cannon is primary. Already confirmed that the bot handles correctly as it even corrected my original logic here</t>
  </si>
  <si>
    <t>base3-33</t>
  </si>
  <si>
    <t>Gastly B3</t>
  </si>
  <si>
    <t>SL, BG</t>
  </si>
  <si>
    <t>To always use Lick in every situation, except the extremely rare scenario of not having enough energies in hand for building the bench/evolving Gastly while those energies do exist in the discard pile. We probably don't need to teach the bot Energy Conversion due to the rarity of its use cases. Gastly should still accept the second energy though because it's needed for evolution. If not hoping to evolve, no second energy.</t>
  </si>
  <si>
    <t>base3-34</t>
  </si>
  <si>
    <t>Golbat</t>
  </si>
  <si>
    <t>Wing Attack should be primary even if Golbat has damage that can be removed with Leech Life, so 30 offensive damage should outweigh 20 offensive damage + 20 healing. Leech Life becomes preferred if its healing will allow Golbat to survive until its next turn, when it would otherwise die. The damage potential of the next turn should be factored into the decision, as 20 offensive damage + 30 on the next turn is preferable to just doing 30 this turn and dying.</t>
  </si>
  <si>
    <t>base3-35</t>
  </si>
  <si>
    <t>Golduck</t>
  </si>
  <si>
    <t>A deck that is a combo Water/Psychic type, but is perfectly viable in just water. Should be avoided in just Psychic. Hyper Beam is an Energy Denial move, and those should always be weighted highly due to turning every turn into an Energy Funnel for the opponent. Works even better if the opponent's move is already an energy funnel. If it is not in a deck with P type energy, its other move isn't usable and doesn't need to be tuned. If both are available it's a standard Attack Choice in the shape of several others, including Dragonair</t>
  </si>
  <si>
    <t>base3-36</t>
  </si>
  <si>
    <t>Golem</t>
  </si>
  <si>
    <t>Kamikaze Timing pattern in the same shape as others with self-destruct. Like those, potential bench self-kills and opponent kills should be factored into the weight. Should never, ever retreat unless retreating prevents an outright loss due to its astronomical retreat cost (and kamikazes should very rarely be retreated anyway).</t>
  </si>
  <si>
    <t>base3-37</t>
  </si>
  <si>
    <t>Graveler</t>
  </si>
  <si>
    <t>Harden only if Rock Throw is not available or if a turn is needed to stall. Not indefinite stalling like Kangaskhan or another tank, but intentional stalling like it needs another turn before it can be powered up enough to evolve.</t>
  </si>
  <si>
    <t>base3-38</t>
  </si>
  <si>
    <t>Kingler</t>
  </si>
  <si>
    <t>Crabhammer is usually primary but Flail follows the same Damage Scaling pattern as anything with Rage, and can potentially overtake Crabhammer in terms of damage dealt. The bot should be fine as long as it doesn't retreat in this position, which based on observed behavior, it might.</t>
  </si>
  <si>
    <t>base3-39</t>
  </si>
  <si>
    <t>Magmar B3</t>
  </si>
  <si>
    <t>An opening role, as it's one of the best openers available. Smokescreen has the potential to deny an attack, and Smog has a chance to poison. Similar to Beedrill, use Smog when opponent is not poisoned, Smokescreen after it is or before Smog is ready. If opening, it's perfectly valid to give that second energy to the bench instead if something high value is already available or can be evolved realistically quickly.</t>
  </si>
  <si>
    <t>base3-4</t>
  </si>
  <si>
    <t xml:space="preserve">To evolve on the bench and use its Pokemon Power to Step In at an opportune time. Its attack is relatively underwhelming for what it is but can be powered up quickly in a deck with available DCE. Step In, if used well, can make up for this to some degree too, but is useless if Dragonite evolves in the active spot, which it might considering how useful Dragonair's attacks are. </t>
  </si>
  <si>
    <t>base3-40</t>
  </si>
  <si>
    <t>Water Gun asks for an Over-Attach of up to two additional energies. As long as the bot can do that freely and purposefully, it should handle this card fine</t>
  </si>
  <si>
    <t>base3-41</t>
  </si>
  <si>
    <t>Sandslash</t>
  </si>
  <si>
    <t>Fury Swipes preferred due to damage potential. Slash should only be used when a guaranteed 20 dmg is needed and rarely ever else</t>
  </si>
  <si>
    <t>base3-42</t>
  </si>
  <si>
    <t>Seadra</t>
  </si>
  <si>
    <t>Water Gun asks for an Over-Attach in the same pattern as Omastar. Normal Attack Choice decisions after that, with Agility's potential damage denial being preferred unless Water Gun's added damage can kill or cost fewer turns to get to a kill</t>
  </si>
  <si>
    <t>base3-43</t>
  </si>
  <si>
    <t>Slowbro</t>
  </si>
  <si>
    <t>To hide on the bench and take damage away from the active pokemon, rather than fight itself. Its attack is decent but it'll often already have stolen damage on it, as its pokemon power is more valuable than its attack. The bot should use it every turn where it's viable, but avoid actually killing Slowbro with it</t>
  </si>
  <si>
    <t>base3-44</t>
  </si>
  <si>
    <t>Pretty useless, autobuilder should avoid. Jellyfish Sting is primary, bot probably does fine.</t>
  </si>
  <si>
    <t>base3-45</t>
  </si>
  <si>
    <t>Another Kamikaze Timer with Selfdestruct, same pattern as the others. Bench damage is guaranteed to both benches rather than a coin flip</t>
  </si>
  <si>
    <t>base3-46</t>
  </si>
  <si>
    <t>Ekans</t>
  </si>
  <si>
    <t>To open, as it's an excellent status-locker. Poison first with Spit Poison and then switch to Wrap, in the same pattern as Beedrill</t>
  </si>
  <si>
    <t>base3-47</t>
  </si>
  <si>
    <t>Geodude</t>
  </si>
  <si>
    <t>Coin luck for doing any damage at all. Would much rather be on the bench collecting energy to evolve.</t>
  </si>
  <si>
    <t>base3-48</t>
  </si>
  <si>
    <t>Grimer</t>
  </si>
  <si>
    <t>Almost no situation where Minimize would be used due to a 50/50 attack denial chance coming from Nasty Goo.</t>
  </si>
  <si>
    <t>base3-49</t>
  </si>
  <si>
    <t>Horsea</t>
  </si>
  <si>
    <t xml:space="preserve">Both Dark Mind and its pokemon power follow Hypno's bench damage logic. Its pokemon power should look to move damage from an injured pokemon on the bench to the active one if it results in a quicker death, or away from the active (or another bench pokemon) and onto a vulnerable bench pokemon. Taking damage away from the opponent's active should account for what the new HP would be after it loses that 10 dmg, and should not be done if that results in an additional turn required to kill it. Killing an opponent's active pokemon with its pokemon power (rather than an attack) is a situation it loves and should possibly even aim for, as that gives it a free attack against the replacement. A bot on the other side of that should be able to recognize it and try to avoid it by healing or retreating, as giving the opponent first attack against a fresh pokemon should be a high weight to avoid, overriding even the unwillingness to spend a retreat cost in many cases. This is why a post-attack poison death (right before the opponent's turn) and a self-kill are rated low as well. </t>
  </si>
  <si>
    <t>base3-5</t>
  </si>
  <si>
    <t>To sneaky knock out opponents using bench damage or its Pokemon Power</t>
  </si>
  <si>
    <t>base3-50</t>
  </si>
  <si>
    <t>Kabuto</t>
  </si>
  <si>
    <t>To sit on the bench and wait for an evolution, though its pokemon power does help it survive if forced to fight. This should not be counted on though, and it hates a fighting evolution due to low HP and the energy disparity between itself and Kabutops</t>
  </si>
  <si>
    <t>base3-51</t>
  </si>
  <si>
    <t>Krabby</t>
  </si>
  <si>
    <t>Call for Family follows the same pattern as with Bellsprout</t>
  </si>
  <si>
    <t>base3-52</t>
  </si>
  <si>
    <t>Omanyte</t>
  </si>
  <si>
    <t>To Over-Attach two additional energies, though it prefers to stay on the bench and evolve. Its pokemon power is passive but shouldn't factor into decisions.</t>
  </si>
  <si>
    <t>Rainbow Energy NH</t>
  </si>
  <si>
    <t>base3-53</t>
  </si>
  <si>
    <t>Psyduck</t>
  </si>
  <si>
    <t>To play in a combined Water/Psychic deck if Golduck (from this set or Team Rocket) is there too. Does just fine in a water-only deck but can't use Headache if it does, which should should rarely be used anyway</t>
  </si>
  <si>
    <t>base3-54</t>
  </si>
  <si>
    <t>Shellder</t>
  </si>
  <si>
    <t>To Confuse with Supersonic first, deny damage with Hide in Shell second.</t>
  </si>
  <si>
    <t>base3-55</t>
  </si>
  <si>
    <t>Slowpoke</t>
  </si>
  <si>
    <t>Space Out is the primary attack due to the Energy Funnel cost of Scavenge. Scavenge should be useful if a specific Trainer card is wanted from the discard pile that could benefit the player more than anything that can be done with Slowpoke at the time, as Slowpoke likely won't survive to evolve after using this.</t>
  </si>
  <si>
    <t>base3-56</t>
  </si>
  <si>
    <t>To escape to the player's hand using its pokemon power when the situation looks bad for it. This can happen mid-turn so the turn-loss of a 'Teleport'-type move shouldn't be a factor. This is free so it should be done rather than letting Tentacool be killed on the next turn, unless there's a need to stall for one additional turn at the cost of sacrificing Tentacool instead</t>
  </si>
  <si>
    <t>base3-57</t>
  </si>
  <si>
    <t>Zubat</t>
  </si>
  <si>
    <t>SL, AP</t>
  </si>
  <si>
    <t>Confusing with Supersonic first is the most valuable move. Once the opponent is confused, Leech Life becomes preferred.</t>
  </si>
  <si>
    <t>base3-58</t>
  </si>
  <si>
    <t>Mr. Fuji</t>
  </si>
  <si>
    <t>m, r</t>
  </si>
  <si>
    <t>The same function as Scoop Up, except it only applies to the bench and cards are shuffled back into the deck rather than the player's hand. GBC didn't give this to the CPU decks, and I don't think we should either</t>
  </si>
  <si>
    <t>base3-59</t>
  </si>
  <si>
    <t>Energy Search</t>
  </si>
  <si>
    <t>To exist in multiple numbers in decks with more than one energy type. Used very easily and possibly by default just because it exists in the bot's hand. The best time is when a specific variety of energy is needed at the time but lacked in its owner's hand. Its weight when an energy is not immediately needed could come from the fact that it removes an additional card from the deck, meaning desired cards have one less card to contend with for being drawn by the RNG on subsequent turns. That weight inverts as the number of cards in its user's deck gets lower. If we do this right, the bot should be forced to make difficult decisions in situations where it draws an Energy Search, desperately needs energy, but is running low on cards in its deck. A test of our success might be the bot doing a variety of different choices here based on all the other factors around it, though the situation won't be super common.</t>
  </si>
  <si>
    <t>base3-6</t>
  </si>
  <si>
    <t>To punch above its weight while stalling for an evolution, as it's a very competent fighter that might even be overpowered for an evolving Stage 1. Its pokemon power requires a coin flip for damage to land, so the bot should factor that in to promotion decisions. Playing this guy without an evolution ready is a valid choice, though it should still choose to evolve rather than stay as a Haunter when it doesn have the option. The autobuilder should limit the number of these in deck for balance rather than because it's a bad card, but not avoid them entirely. Maybe combine with other Haunter variants instead of keeping it consistent in either direction.</t>
  </si>
  <si>
    <t>base3-60</t>
  </si>
  <si>
    <t>Gambler</t>
  </si>
  <si>
    <t>Trigger conditions should be the same as Professor Oak, but its usefulness should be weighted lower. Hand cards get returned to the deck rather than sent to the discard pile, but this means a tails not only gives you a worse hand but also adds more noise to the deck's remaining RNG pool, though you don't have to worry about burning as many cards as you can before discarding your hand like with Oak.</t>
  </si>
  <si>
    <t>base3-61</t>
  </si>
  <si>
    <t>Recycle</t>
  </si>
  <si>
    <t>To be used liberally and resurrect valuable pokemon or a needed evolution card</t>
  </si>
  <si>
    <t>base3-62</t>
  </si>
  <si>
    <t>Mysterious Fossil</t>
  </si>
  <si>
    <t>To sit on the bench and not be put in the active spot unless used to stall, which will normally only provide a single extra turn, but does not give the opponent a prize for killing it. Its preferred spot is the bench, where it's Over-Attached with energy needed for its eventual evolution, if planning to evolve it</t>
  </si>
  <si>
    <t>base3-7</t>
  </si>
  <si>
    <t xml:space="preserve">To use Stretch Kick whenever High Jump Kick isn't available or when it can kill something on the bench. Otherwise, High Jump Kick is a very high value move. </t>
  </si>
  <si>
    <t>base3-8</t>
  </si>
  <si>
    <t>Hypno</t>
  </si>
  <si>
    <t xml:space="preserve">Rarely ever uses Prophecy, as it doesn't want to enter a match when Dark Mind isn't available. Dark Mind should be used to deal steady bench damage to whatever is vulnerable, even choosing to build up damage on a bench pokemon over multiple turns. Weak things like Magikarp or something already close to death are preferred. The next priority after that is to pre-damage something strong that hasn't entered the fight yet. </t>
  </si>
  <si>
    <t>base3-9</t>
  </si>
  <si>
    <t>Kabutops</t>
  </si>
  <si>
    <t>Absorb is primary and should be built up to. As long as that happens, it's a classic Attack Choice for the bot that it will probably get correct</t>
  </si>
  <si>
    <t>base5-1</t>
  </si>
  <si>
    <t>To hit and run with Teleport Blast. Attack the opponent and escape to the bench behind sacrificial fodder or a tank (fodder allows a quick return at the cost of giving the opponent a prize). A low/zero retreat cost pokemon that can eat the attack is also an option. Mind Shock is useful when the opponent is resistant to Psychic type or if the added 10 damage can result in a kill. If the opponent is not a threat, Dark Alakazam can hang in there and Mind Shock</t>
  </si>
  <si>
    <t>base5-10</t>
  </si>
  <si>
    <t>To jump in mid-game and surprise a strong, evolved, and powered-up opponent pokemon with Fling, sending all the cards back into the opponent's deck. It does not want to use Mega Punch and does not want to be put in a position where it will ever be forced to use Mega Punch unless the opponent is on their last pokemon</t>
  </si>
  <si>
    <t>base5-11</t>
  </si>
  <si>
    <t>Dark Magneton</t>
  </si>
  <si>
    <t>To use Magnetic Lines to sweep energy away from the opponent's active pokemon each turn and onto the most useless looking bench pokemon. Not one like Magikarp that can evolve strong and be aided in its evolution by additional energies. Preferably a non-evolving one like Electabuzz who doesn't benefit much from additional energies, pushing as many as it can onto these targets. If the opponent pokemon is already as powered up as they will need to be, additional energy attachments become free. It only needs Sonicboom when the opponent is resistant to Electric type</t>
  </si>
  <si>
    <t>base5-12</t>
  </si>
  <si>
    <t>Dark Slowbro</t>
  </si>
  <si>
    <t>To time its evolution in order to resurrect high value pokemon from the discard pile. Its attack is very under powered and using it is almost a throwaway of the card while trying to inflict a 50/50 shot at a medium amount of damage, which can be more valid than retreating.</t>
  </si>
  <si>
    <t>base5-13</t>
  </si>
  <si>
    <t>HT, HD</t>
  </si>
  <si>
    <t>To strategically deny the opponent's use of trainer cards by simply existing, meaning its evolution involves timing since it blocks your own trainers too. Its attack has high damage potential but almost guarantees death on the next turn. Therefore its best place is on the bench, holding off trainer usage. It should only be sent in when its trainer-blocking abilities are no longer wanted, no longer needed, if a duplicate exists on the bench, if your need to try for large damage quickly becomes great enough. It prefers a deck that intentionally does not use many trainer cards in order to use this denial as a strategy.</t>
  </si>
  <si>
    <t>base5-14</t>
  </si>
  <si>
    <t>Dark Weezing</t>
  </si>
  <si>
    <t>To ruin a strong opponent pokemon's day by showing up and using Stun Gas, where Poisoning is the opponent's best possible outcome. It likes to live in a deck full of Koffings and Weezings/Dark Weezings, and if enough exist on the bench at the same time, it can become a competent attacker with Mass Explosion, with a maximum of 80 dmg if all four Koffings/evolutions are in play, which is enough to one-shot almost any other "dark" pokemon</t>
  </si>
  <si>
    <t>base5-15</t>
  </si>
  <si>
    <t>Here Comes Team Rocket!</t>
  </si>
  <si>
    <t>base5-16</t>
  </si>
  <si>
    <t>Rocket's Sneak Attack</t>
  </si>
  <si>
    <t>To check the opponent's hand and get rid of the most dangerous Trainer card there</t>
  </si>
  <si>
    <t>base5-17</t>
  </si>
  <si>
    <t>Rainbow Energy</t>
  </si>
  <si>
    <t>base5-18</t>
  </si>
  <si>
    <t>Dark Alakazam NH</t>
  </si>
  <si>
    <t>base5-19</t>
  </si>
  <si>
    <t>Dark Arbok NH</t>
  </si>
  <si>
    <t>BD, SL</t>
  </si>
  <si>
    <t>To deal bench damage and poison the opponent at the same time with Poison Vapor. Stare is used before Dark Arbok is powered up enough for Poison Vapor or if there is an actively disruptive Pokemon Power on the opponent's bench, like Aerodactyl's Prehistoric Power. This is a much more menacing card than the 10 damage number on its face suggests, though its HP is low</t>
  </si>
  <si>
    <t>base5-2</t>
  </si>
  <si>
    <t>Dark Arbok</t>
  </si>
  <si>
    <t>base5-20</t>
  </si>
  <si>
    <t>Dark Blastoise NH</t>
  </si>
  <si>
    <t>HD, WP</t>
  </si>
  <si>
    <t>Hydrocannon wants Over-attach. Attack Choice between that and Rocket Tackle once powered up enough</t>
  </si>
  <si>
    <t>base5-21</t>
  </si>
  <si>
    <t>Dark Charizard NH</t>
  </si>
  <si>
    <t>Wants Coin Luck for Continuous Fireball, and to Over-Attach as many energies as possible (though maybe not more than 8 or so) for additional chances at Coin Luck</t>
  </si>
  <si>
    <t>base5-22</t>
  </si>
  <si>
    <t>Dark Dragonite NH</t>
  </si>
  <si>
    <t>Loves to come from the bench to summon additional pokemon when the bench is low. Other than that it depends on luck, as it's low HP and its attack is all or nothing</t>
  </si>
  <si>
    <t>base5-23</t>
  </si>
  <si>
    <t>Dark Dugtrio NH</t>
  </si>
  <si>
    <t>Total:</t>
  </si>
  <si>
    <t>A Bench Engine that wants to hang out on the bench in high numbers, multiplying the number of 20 Dmg coin flips a retreating opponent pokemon must go through</t>
  </si>
  <si>
    <t>base5-24</t>
  </si>
  <si>
    <t>Dark Golbat NH</t>
  </si>
  <si>
    <t>Attacks vulnerable bench pokemon through its pokemon power and Flitter. Flitter can also hit the opponent's active pokemon if beneficial. Low HP so best use-cases might be quick cheap kills. It's hard to keep a vulnerable pokemon safe from this one, but it's hard to keep Dark Golbat safe after it strikes.</t>
  </si>
  <si>
    <t>base5-25</t>
  </si>
  <si>
    <t>Dark Gyarados NH</t>
  </si>
  <si>
    <t>Uses Ice Beam to try to hold the opponent in place. Its Pokemon Power means that a fully powered-up Dark Gyarados has a 50/50 chance upon death to deal 60 dmg to its attacker. It also has the potential to Over-Attach energies to deal even more potential damage upon death, with the aim of being just enough to take its attacker with it. However, the 50/50 chance should make this a secondary investment, with the primary investment still being readying the bench</t>
  </si>
  <si>
    <t>base5-26</t>
  </si>
  <si>
    <t>Dark Hypno NH</t>
  </si>
  <si>
    <t xml:space="preserve">To come in after the opponent has a full or mostly full bench and deal high potential damage with Bench Manipulation, preferably as a surprise against a strong opponent pokemon. It does not want to use Psypunch, unless no pokemon exist on the bench or it evolved from Drowzee while in the active spot and does not have the required energy for its main attack yet. </t>
  </si>
  <si>
    <t>base5-27</t>
  </si>
  <si>
    <t>Dark Machamp NH</t>
  </si>
  <si>
    <t>base5-28</t>
  </si>
  <si>
    <t>base5-29</t>
  </si>
  <si>
    <t>Dark Slowbro NH</t>
  </si>
  <si>
    <t>base5-3</t>
  </si>
  <si>
    <t>base5-30</t>
  </si>
  <si>
    <t>Dark Vileplume NH</t>
  </si>
  <si>
    <t>base5-31</t>
  </si>
  <si>
    <t>Dark Weezing NH</t>
  </si>
  <si>
    <t>base5-32</t>
  </si>
  <si>
    <t>Dark Charmeleon</t>
  </si>
  <si>
    <t>To evolve rather than attack, but is capable of having a 50/50 chance at dealing a high amount of surprise damage. It is extremely vulnerable after attacking so it should avoid having to. If it's ever in a position where it has to use Tail Slap, it's either extremely safe, the opponent has 20 HP or less remaining (as it's guaranteed damage for a finisher rather than a coin flip), or if something went very very wrong. Fireball specifies that it can ONLY be used if there's at least one R energy attached, but the attack costs RRR. Therefore, I think this implies that it excludes Rainbow in terms of requiring at least one actual R energy to be used, and that the real R energy would have to be the one discarded on a successful attack.</t>
  </si>
  <si>
    <t>base5-33</t>
  </si>
  <si>
    <t>Dark Dragonair</t>
  </si>
  <si>
    <t>To evolve whenever it wants by using its Pokemon Power to summon a Dark Dragonite from the deck, or even aid other bench pokemon by summoning their evolutions. It can even be thrown into the active spot, summon its own evolution, and evolve in the same turn, so it's smart to pre-load enough energy for what Dark Dragonite might need. It should very rarely stay unevolved in the active spot long enough to use its own attack. This would mean it's in action before it's ready.</t>
  </si>
  <si>
    <t>base5-34</t>
  </si>
  <si>
    <t>Dark Electrode</t>
  </si>
  <si>
    <t>To stall for a small amount of time against a weaker opponent or deal some quick damage before loading up the bench. Energy Bomb's usage will transfer both/all of its energies to bench pokemon however its user would like, but means Dark Electrode will have to wait two turns to use it again, during which time it'll likely be killed. Rolling Tackle should only be used if it isn't ready to use Energy Bomb or it's not an opportune time with survival until the opportune time seeming likely.</t>
  </si>
  <si>
    <t>base5-35</t>
  </si>
  <si>
    <t>Uses Playing with Fire as the main attack, which requires a single R energy discard each use, which requires the player to invest their only energy attachment each turn to keep it going. Once it takes enough damage, Rage can become a viable alternative. Card wording contains the same R energy caveat as Dark Charmeleon</t>
  </si>
  <si>
    <t>base5-36</t>
  </si>
  <si>
    <t>Dark Gloom</t>
  </si>
  <si>
    <t>Pollen Stench is a gamble in terms of Confusing the opponent vs itself. Therefore it wants to be used after the opponent has already been poisoned by Poisonpowder, or if it seems like Poison Powder will not be able to be used.</t>
  </si>
  <si>
    <t>base5-37</t>
  </si>
  <si>
    <t>Dark Golduck</t>
  </si>
  <si>
    <t>Super Psy is a high damage attack and it wants to be used. Third Eye is much cheaper but requires an energy discard, meaning it should only be used when the player doesn't want to power up to Super Psy. If it was about to be killed on the opponent's next turn and cannot afford Super Psy, that would be a good time.</t>
  </si>
  <si>
    <t>base5-38</t>
  </si>
  <si>
    <t>SL, WP</t>
  </si>
  <si>
    <t>Is not afraid to enter right after evolving or unpowered, or even from a quick evolution from an Eevee opener. Lighting Flash is an excellent stalling attack while it builds up energy for Thunder Attack, which should become the primary attack after. Thunder Attack has a 50/50 chance at 10 self-damage, so Lightning Flash becomes cheaper again if it can get a clean kill or 10 self-damage might kill Dark Jolteon and Kamazake is decided against.</t>
  </si>
  <si>
    <t>base5-39</t>
  </si>
  <si>
    <t>Dark Kadabra</t>
  </si>
  <si>
    <t>Its Pokemon Power wants to be used liberally, but only if there are duplicate cards in the hand that can be cheaply dumped. Dumping energy cards from the hand can be cheap or expensive depending on how many others are currently required for bench evolutions and exist in the hand.</t>
  </si>
  <si>
    <t>base5-4</t>
  </si>
  <si>
    <t>base5-40</t>
  </si>
  <si>
    <t>Dark Machoke</t>
  </si>
  <si>
    <t>BD, PC</t>
  </si>
  <si>
    <t>To leave a copy strategically unevolved on the bench, as long as the evolved version is also available. If one is available on the bench and powered up, it has the potential to jump in at any time and auto-kill any pokemon on the opponent's bench with 20 HP or less remaining by draggin them into the active spot. It can also do the reverse where it damages the active opponent and throws that pokemon back to the bench, so these should be chosen based on the situaiton. Due to their energy cost, powering up before an evolution exists in the hand is viable in case it needs to enter and land a cheap shot</t>
  </si>
  <si>
    <t>Sleep!</t>
  </si>
  <si>
    <t>base5-41</t>
  </si>
  <si>
    <t>Dark Muk</t>
  </si>
  <si>
    <t>PC, SL</t>
  </si>
  <si>
    <t>Prevents the opponent from leaving when it's in the active spot. There aren't many situaitons where this is beneficial but it can be sometimes. If it's obvious the opponent will want to retreat rather than let a pokemon be killed, it's a good idea to move Dark Muk to the active spot to stop it if it's something high value. It should be prioritized as a poisoner over that.</t>
  </si>
  <si>
    <t>base5-42</t>
  </si>
  <si>
    <t>Dark Persian</t>
  </si>
  <si>
    <t>To be a better card because it's pretty useless for a Stage 1, and the autobuilder should probably avoid it. Only uses Fascinate when there is not enough energy for Poison Claws and the options on the bench would be the same or preferable.</t>
  </si>
  <si>
    <t>base5-43</t>
  </si>
  <si>
    <t>Dark Primeape</t>
  </si>
  <si>
    <t>Coin Luck and a Setup Turn, so it can deal decent damage, confuse itself, and then flip heads to deal high damage on the next turn. If it flips tails, it (likely) kills itself and gives the opponent first attack against the replacement pokemon. And that's if its 60 HP even survives the setup turn.</t>
  </si>
  <si>
    <t>base5-44</t>
  </si>
  <si>
    <t>To use Flame Pillar only if it finds doing 10 dmg to the bench worth having to use your only energy attachment to recharge its R energy on your next turn. Right before it's about to die is a good time, as well as right before an opp. bench pokemon is about to die. There is almost no situation where Rear Kick should be used.</t>
  </si>
  <si>
    <t>base5-45</t>
  </si>
  <si>
    <t xml:space="preserve">To use Whirlpool as a primary attack to force the opponent to discard energies, which is a very effective form of harrassment. Bite should be used when it can kill but Whirlpool can't. </t>
  </si>
  <si>
    <t>base5-46</t>
  </si>
  <si>
    <t>Dark Wartortle</t>
  </si>
  <si>
    <t>To use Mirror Shell any turn it thinks it's about to die. Doesn't like to fight unless used as a trap</t>
  </si>
  <si>
    <t>base5-47</t>
  </si>
  <si>
    <t>Magikarp R</t>
  </si>
  <si>
    <t>To power up for evolution before the evolution card is in hand. It wants to evolve on the bench but if an evolution card never shows up, it can switch to the active spot and summon its own evolution card from the deck using Rapid Evolution. This costs its attack for the turn though, so the cost is a free hit from the opponent on the evolved pokemon.</t>
  </si>
  <si>
    <t>base5-48</t>
  </si>
  <si>
    <t>Porygon R</t>
  </si>
  <si>
    <t>To assist the next turn by changing the opponent pokemon's type to be weak to your deck or the next pokemon you want to bring in. Porygon will likely die on the next turn so it comes at the price of a prize. If Porygon isn't killed, it has a free retreat cost, and should do so immediately to switch with the planned attacker, before becoming available to be used again. Things are going either very poorly or very well if Psybeam gets charged up, let alone used. Autobuilder should avoid</t>
  </si>
  <si>
    <t>base5-49</t>
  </si>
  <si>
    <t>Abra R</t>
  </si>
  <si>
    <t xml:space="preserve">Cover Card: </t>
  </si>
  <si>
    <t>Psyshock to be its primary attack. Vanish is almost never used unless about to die and prizes are short</t>
  </si>
  <si>
    <t>base5-5</t>
  </si>
  <si>
    <t>base5-50</t>
  </si>
  <si>
    <t>Charmander R</t>
  </si>
  <si>
    <t>To use its Pokemon Power to attach an extra energy needed before evolving. It can open a game, attach an energy Turn 1 and use Fire Tail, and then its next turn attach a second energy, use Gather Fire to attach a third, and then evolve and use Charmeleon's three-energy attacks right away</t>
  </si>
  <si>
    <t>base5-51</t>
  </si>
  <si>
    <t>Dark Raticate</t>
  </si>
  <si>
    <t>To use Hyper Fang even though it's 50/50 to land, Gnaw is weaker than Hyper Fang landing half the time. Gnaw becomes useful when a guaranteed 20 damage is needed for a kill</t>
  </si>
  <si>
    <t>base5-52</t>
  </si>
  <si>
    <t>Diglett R</t>
  </si>
  <si>
    <t>To open a game by wreaking havok on the bench while it itself hopes to evolve. Both attacks are good ones for a basic vs basic matchup, and Scratch is also worth investing in. Even when Scratch is powered up, Dig Under should be considered when a bench strike can earn a kill in the next couple turns.</t>
  </si>
  <si>
    <t>base5-53</t>
  </si>
  <si>
    <t>Dratini R</t>
  </si>
  <si>
    <t>To not start a match unless theres a DCE ready to attach. Would prefer to evolve on the bench</t>
  </si>
  <si>
    <t>base5-54</t>
  </si>
  <si>
    <t>Drowzee R</t>
  </si>
  <si>
    <t>Its Pokemon Power is a gamble so it doesn't want to be used as a default. If the player won't be able to attack this turn anyway, that might be a very good time to take the chance. Worth keeping on the bench for that reason. Nightmare along with its 50 HP doesn't make it a bad opener either, but sitting on the bench is where it's most valuable. The card text does not state a limit, so a valid strategy would be to have multiple of these on the bench for multiple chances and putting an opponent to sleep on a turn where you already couldn't attack</t>
  </si>
  <si>
    <t>base5-55</t>
  </si>
  <si>
    <t>Only wants to open if an evolution and realistic energy path is in hand. If fighting, which it would prefer to avoid, Tackle is only used if Sand-attack is unaffordable.</t>
  </si>
  <si>
    <t>base5-56</t>
  </si>
  <si>
    <t>Ekans R</t>
  </si>
  <si>
    <t>Poison Sting is the primary attack but it Poisons on a coin flip. This card would prefer to evolve on the bench but would stand a chance if dragged out against another basic</t>
  </si>
  <si>
    <t>base5-57</t>
  </si>
  <si>
    <t>Grimer R</t>
  </si>
  <si>
    <t>To open a match as often as it can. Any chance it gets to use Sticky Hands is a good one, even in a sacrific/stalling situation, and Poison Gas is an excellent move to build up to it (though isn't used anymore after Sticky Hands is available)</t>
  </si>
  <si>
    <t>base5-58</t>
  </si>
  <si>
    <t>Koffing R</t>
  </si>
  <si>
    <t>To fight only if it can survive to evolve. Would prefer the bench. Poison Gas is the primary attack and Tackle is never needed after Poison Gas is affordable</t>
  </si>
  <si>
    <t>base5-59</t>
  </si>
  <si>
    <t>Machop R</t>
  </si>
  <si>
    <t>Only wants to open if a DCE is in hand. Otherwise its attacks take to long to build it and it's better off sitting on the bench to evolve. If you already have a deck that uses DCE and the Machamp line, this card will be an asset above all other Machop cards. Otherwise it's worse than the base1 Machop.</t>
  </si>
  <si>
    <t>base5-6</t>
  </si>
  <si>
    <t>Dark Dugtrio</t>
  </si>
  <si>
    <t>base5-60</t>
  </si>
  <si>
    <t>To open only if a DCE is already in-deck and in-hand. Otherwise the bench is where it belongs. There are very few occasions where Magnetism would be useful and I suspect our bot would get it right without extra planning</t>
  </si>
  <si>
    <t>base5-61</t>
  </si>
  <si>
    <t>Mankey R</t>
  </si>
  <si>
    <t>Doesn't want to fight. Might not survive long enough to use Anger if opening, might not survive to its next turn if brought in to use Anger later. Would prefer the bench. Mischief is only used if Anger can't be.</t>
  </si>
  <si>
    <t>base5-62</t>
  </si>
  <si>
    <t>Meowth R</t>
  </si>
  <si>
    <t>Prefers not to open without a DCE in hand</t>
  </si>
  <si>
    <t>base5-63</t>
  </si>
  <si>
    <t>Oddish R</t>
  </si>
  <si>
    <t>Loves to open. Uses Sleep Powder when it wants to cost the opponent a turn, and uses Poisonpowder when it wants to do damage. Since Sleep Powder is 50/50 and both attacks have the same energy cost, it's probably better to Poison first and then attempt to put the poisoned pokemon to sleep.</t>
  </si>
  <si>
    <t>base5-64</t>
  </si>
  <si>
    <t>Hates to fight because its attack requires an Energy Funnel, and energy feeding a basic pokemon that you'd rather power up to evolve is a very bad thing. Only worth doing if no other option is available.</t>
  </si>
  <si>
    <t>base5-65</t>
  </si>
  <si>
    <t>Psyduck R</t>
  </si>
  <si>
    <t>To play in a Water/Psychic combo deck, though it would do just fine in Water only (but not Psychic only). Doesn't mind opening, especially in a deck with Psychic energy. Water Gun is an Over-Attach move, though it might be best to not stack energy beyond what Golduck/Dark Golduck will need, unless doing so scores a kill.</t>
  </si>
  <si>
    <t>base5-66</t>
  </si>
  <si>
    <t>Rattata R</t>
  </si>
  <si>
    <t>Likes to open if its evolution is in hand. There's no way to know if its Pokemon Power is benefiting its user or hurting it, so it can be used liberally by the AI as long as it's not just swapping out the same card over and over.</t>
  </si>
  <si>
    <t>base5-67</t>
  </si>
  <si>
    <t>Slowpoke R</t>
  </si>
  <si>
    <t>Loves to open if its evolution is in hand. Headbutt should be used if not planning to evolve, Afternoon Nap should be used if evolution is in hand and survivability until then is realistic, as it's a Setup Turn to steal an extra energy</t>
  </si>
  <si>
    <t>base5-68</t>
  </si>
  <si>
    <t>Squirtle R</t>
  </si>
  <si>
    <t>Probably shouldn't open but isn't the worst option. Wants the bench</t>
  </si>
  <si>
    <t>base5-69</t>
  </si>
  <si>
    <t>Voltorb R</t>
  </si>
  <si>
    <t>Decent evo opener. Prefers the bench if not planning to evolve</t>
  </si>
  <si>
    <t>base5-7</t>
  </si>
  <si>
    <t>Dark Golbat</t>
  </si>
  <si>
    <t>base5-70</t>
  </si>
  <si>
    <t>Zubat R</t>
  </si>
  <si>
    <t>Might not survive to use Bite if coming in cold. Prefers the bench if evolution isn't realistic</t>
  </si>
  <si>
    <t>base5-71</t>
  </si>
  <si>
    <t>Here Comes Team Rocket! NH</t>
  </si>
  <si>
    <t>The bot can play this liberally. The only benefit is revealing prizes for both players, which the bot can then use to be strategic in what it takes.</t>
  </si>
  <si>
    <t>base5-72</t>
  </si>
  <si>
    <t>Rocket's Sneak Attack NH</t>
  </si>
  <si>
    <t>base5-73</t>
  </si>
  <si>
    <t>The Boss's Way</t>
  </si>
  <si>
    <t>To be used right away to find a desired evolution card. The autobuilder should only put this in decks with multiple cards with "Dark" in its name.</t>
  </si>
  <si>
    <t>base5-74</t>
  </si>
  <si>
    <t>Challenge!</t>
  </si>
  <si>
    <t>Probably doesn't need additional logic if the bot treats it like Bill. The exception might be holding off if the bench is already full and it doesn't feel like it's desperate for any cards.</t>
  </si>
  <si>
    <t>base5-75</t>
  </si>
  <si>
    <t>Digger</t>
  </si>
  <si>
    <t>To be used when doing 10 dmg to the opponent would mean more than 10 points of self-damage. To be avoided when the bot's own bench has pokemon with only 10 HP remaining</t>
  </si>
  <si>
    <t>base5-76</t>
  </si>
  <si>
    <t>Imposter Oak's Revenge</t>
  </si>
  <si>
    <t>To be played any time the bot has a hand card it doesn't mind throwing away (duplicate, energy card when energy is in abundance, etc)</t>
  </si>
  <si>
    <t>base5-77</t>
  </si>
  <si>
    <t>Nightly Garbage Run</t>
  </si>
  <si>
    <t>Should prefer a balance beetween basic, evo, and energy cards as the default. Card families should be prefered when available, like a Staryu -&gt; Starmie, energy should be preferred if a lot of energy has been burned through and the AI is running short</t>
  </si>
  <si>
    <t>base5-78</t>
  </si>
  <si>
    <t>Goop Gas Attack</t>
  </si>
  <si>
    <t>Should be played when its opponent has a passive Pokemon Power currently in use that directly hampers what the AI would like to do. Aerodactyl and Mr. Mime are prime targets</t>
  </si>
  <si>
    <t>base5-79</t>
  </si>
  <si>
    <t>Should not be played against a pokemon that's going to die in the same turn or is already asleep. Other than that, it's a very good thing to play whenever it's received</t>
  </si>
  <si>
    <t>base5-8</t>
  </si>
  <si>
    <t>Dark Gyarados</t>
  </si>
  <si>
    <t>Uses Ice Beam to try to hold the opponent in place. Its Pokemon Power means that a fully powered-up Dark Gyarados has a 50/50 chance upon death to deal 60 dmg to its attacker. It also has the potential to Over-Attach energies to deal even more potential damage upon death, with the aim of being just enough to take its attacker with it. However, the 50/50 chance should make this a secondary investment, with the primary investment still being readying the bench. If expected to die in the next turn, an additional Over-Attach might actually be desired as long as it's not denying that energy from something on the bench that needs it more.</t>
  </si>
  <si>
    <t>base5-80</t>
  </si>
  <si>
    <t>base5-81</t>
  </si>
  <si>
    <t>Full Heal Energy</t>
  </si>
  <si>
    <t>base5-82</t>
  </si>
  <si>
    <t>Potion Energy</t>
  </si>
  <si>
    <t>base5-83</t>
  </si>
  <si>
    <t>Coin Luck in terms of dealing high bench damage before it's killed itself. Would prefer several turns to attack the bench without being killed itself, so it likes facing weaker pokemon or tanks.</t>
  </si>
  <si>
    <t>base5-9</t>
  </si>
  <si>
    <t>Dark Hypno</t>
  </si>
  <si>
    <t>basep-1</t>
  </si>
  <si>
    <t>Pikachu GP</t>
  </si>
  <si>
    <t>To use Thundershock as its main attack and rarely ever use Growl. Similar pattern to other basics</t>
  </si>
  <si>
    <t>base1</t>
  </si>
  <si>
    <t>basep-10</t>
  </si>
  <si>
    <t>Meowth CH</t>
  </si>
  <si>
    <t>To open and use Cat Punch, which has a 50/50 chance to force the opponent to choose which pokemon to damage on the bench. Our bot should probably weight that slightly below getting to pick its own pokemon to damage</t>
  </si>
  <si>
    <t>basep-11</t>
  </si>
  <si>
    <t>Eevee CH</t>
  </si>
  <si>
    <t xml:space="preserve">To be ready to evolve even when no evolution cards exist in the hand. Its pokemon power allows it to summon its own evolution whenever an allied pokemon evolves, so timing that can be important. </t>
  </si>
  <si>
    <t>basep-12</t>
  </si>
  <si>
    <t>Mewtwo GP</t>
  </si>
  <si>
    <t>BD, ED</t>
  </si>
  <si>
    <t>To disrupt with Energy Control before it's ready to use Telekinesis to hurt the bench. Telekinesis can also hit the active pokemon if desired, so all in play should be considered potential targets that the bot weighs. Energy Control should only be used when Telekinesis can't, and should not be intentionally used as a stalling move. If it is used and successful, energy choices should follow the pattern of Dark Magneton's Electric Lines.</t>
  </si>
  <si>
    <t>basep-13</t>
  </si>
  <si>
    <t>Venusaur CH</t>
  </si>
  <si>
    <t>To sit on the bench against status-pressure opponents and heal every status infliction right after it's inflicted. It doesn't like to fight itself, as its attack is weak for its stage and requires a lot of energy, and losing it loses your free status healing (and it can't heal its own status conditions either). Shouldn't even be powered up if other options exist. Prime target for an opponent's Gust of Wind.</t>
  </si>
  <si>
    <t>basep-14</t>
  </si>
  <si>
    <t>Mewtwo GP 2</t>
  </si>
  <si>
    <t>Identical to basep-3</t>
  </si>
  <si>
    <t>basep-15</t>
  </si>
  <si>
    <t>Cool Porygon</t>
  </si>
  <si>
    <t>To use Texture Magic to become resistant to its opponent, and then use 3-D Attack. If the opponent switches out and is replaced by a new type, first priority becomes changing its resistance again.</t>
  </si>
  <si>
    <t>basep-16</t>
  </si>
  <si>
    <t>Computer Error</t>
  </si>
  <si>
    <t>To be used only when desperate, as the card drawing also benefits your opponent AND it makes you miss a turn</t>
  </si>
  <si>
    <t>Team Rocket</t>
  </si>
  <si>
    <t>basep-17</t>
  </si>
  <si>
    <t>Dark Persian CH</t>
  </si>
  <si>
    <t>To only use Poison Claws. Tempt is only useful in the same pattern as Ninetales' Lure, except it relies on a coin flip and should be treated with even less value because of that</t>
  </si>
  <si>
    <t>basep-18</t>
  </si>
  <si>
    <t>Team Rocket's Meowth</t>
  </si>
  <si>
    <t>To enter play when a lot of pokemon occupy both benches against a strong opponent and attempt a Kamikaze as its main strategy.</t>
  </si>
  <si>
    <t>Gym Challenge</t>
  </si>
  <si>
    <t>basep-19</t>
  </si>
  <si>
    <t>Sabrina's Abra</t>
  </si>
  <si>
    <t>To match the opponent's energy amount and use Synchronize, and to otherwise use Pound. The bot should be willing to even Over-Attach a third energy if the opponent pokemon has three energies and could be killed by a 40 dmg move (but not a 10 dmg one)</t>
  </si>
  <si>
    <t>Gym Heroes</t>
  </si>
  <si>
    <t>basep-2</t>
  </si>
  <si>
    <t>Electabuzz MS</t>
  </si>
  <si>
    <t>Quick Attack is primary, Light Screen only if it can't be afforded or won't land damage (like if the opponent protects itself first)</t>
  </si>
  <si>
    <t>basep-20</t>
  </si>
  <si>
    <t>Psyduck GP</t>
  </si>
  <si>
    <t>Identical to base3-53</t>
  </si>
  <si>
    <t>basep-21</t>
  </si>
  <si>
    <t>Moltres GP</t>
  </si>
  <si>
    <t>To deal quick damage and be sacrificed, as it's a liability as a sustained attacker.</t>
  </si>
  <si>
    <t>Challenge 2</t>
  </si>
  <si>
    <t>basep-22</t>
  </si>
  <si>
    <t>Articuno GP</t>
  </si>
  <si>
    <t>Straightforward for the bot</t>
  </si>
  <si>
    <t>basep-23</t>
  </si>
  <si>
    <t>Zapdos GP</t>
  </si>
  <si>
    <t>Straightforward with bench damage mechanics, nothing fancy</t>
  </si>
  <si>
    <t>basep-24</t>
  </si>
  <si>
    <t>Trevor's Pikachu</t>
  </si>
  <si>
    <t>To deal bonus damage every July 31. Probably shouldn't be played any other day as it can't evolve</t>
  </si>
  <si>
    <t>basep-25</t>
  </si>
  <si>
    <t>Flying Pikachu</t>
  </si>
  <si>
    <t>SL, DP</t>
  </si>
  <si>
    <t>The bot should try to use Fly most often but will probably be fine on its own</t>
  </si>
  <si>
    <t>basep-26</t>
  </si>
  <si>
    <t>Pikachu GP 2</t>
  </si>
  <si>
    <t>See basep-54 for Thunderbolt logic</t>
  </si>
  <si>
    <t>basep-27</t>
  </si>
  <si>
    <t>Pikachu GP 3</t>
  </si>
  <si>
    <t>Attack Choice, should prefer Agility due to higher damage. Both moves have a 50/50 chance at damage denial</t>
  </si>
  <si>
    <t>basep-28</t>
  </si>
  <si>
    <t>Surfing Pikachu</t>
  </si>
  <si>
    <t>To play in a Water type deck instead of Lightning type</t>
  </si>
  <si>
    <t>basep-3</t>
  </si>
  <si>
    <t>Mewtwo MS</t>
  </si>
  <si>
    <t>To come in mid-game with energy in the discard pile without even being powered up. As long as two energy exist in discard, it can attach a single energy and use a Setup Turn (Energy Absorbtion attack) to power up the rest of the way, essentially skipping a turn of powerup at the cost of giving the opponent a free attack during the Setup Turn. Having it enter fully powered is a good strategy too. Does not want to fight if there is insufficient energy in the discard pile and doesn't have enough energy for Psyburn on its own.</t>
  </si>
  <si>
    <t>basep-4</t>
  </si>
  <si>
    <t>Pikachu MS</t>
  </si>
  <si>
    <t xml:space="preserve">Thunderbolt deals high damage but costs 3 energy and demands that all be discarded each time. However, Recharge adds an extra energy from the deck, making it a Setup Turn move that recharges Thunderbolt in 2 turns rather than the natural 3. The bot might do fine with this </t>
  </si>
  <si>
    <t>basep-5</t>
  </si>
  <si>
    <t>Dragonite MS</t>
  </si>
  <si>
    <t>To sit on the bench and use its Pokemon Power when needed, as its attack makes it a low-value card. The pokemon power should be used every turn, as it allows for the card just drawn from the deck to be the one returned if it's not desirable. The bot should do this each turn and then select from what's in its hand with the drawn card added when choosing what to send back to the deck, prioritizing both strength and current need.</t>
  </si>
  <si>
    <t>basep-6</t>
  </si>
  <si>
    <t>Arcanine GP</t>
  </si>
  <si>
    <t>Flames of Rage is a Damage Scaling move that should be treated like a Kamikaze Timer. It requires a double Energy Funnel to maintain, so it should not plan to be maintained. Quick Attack is preferred unless near death, then Flames of Rage becomes valuable. This card should be expected to be lost on the following turn.</t>
  </si>
  <si>
    <t>basep-7</t>
  </si>
  <si>
    <t>Jigglypuff GP</t>
  </si>
  <si>
    <t>To evolve before fighting. If fighting, it only wants to use Double-Edge if there aren't better targets on the bench for those energy cards. If it's already powered up, Double-Edge is the primary attack unles resulting in self-kill</t>
  </si>
  <si>
    <t>basep-8</t>
  </si>
  <si>
    <t>Mew GP</t>
  </si>
  <si>
    <t>To use Devolution Beam only when the HP reduction from the de-evolved opponent would result in its death. Otherwise, the opponent can just re-evolve it again. Otherwise, Psywave scales in damage based on opponent energy count, and can be a hard hitting attack in certain situations. The bot should calculate that when deciding who to promote.</t>
  </si>
  <si>
    <t>basep-9</t>
  </si>
  <si>
    <t>Mew GP CH</t>
  </si>
  <si>
    <t>Identical to basep-8</t>
  </si>
  <si>
    <t>basep-54</t>
  </si>
  <si>
    <t>Ancient Mew</t>
  </si>
  <si>
    <t>Its only attack, Psyche, only does 40 dmg at the cost of a double Energy Funnel. Its HP is only 30, so it powers up on the bench and comes in just to use that attack before dying. Is a collectible and not worth having in most decks</t>
  </si>
  <si>
    <t>base1, lower odds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</si>
</sst>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color theme="1"/>
      <name val="Arial"/>
    </font>
    <font/>
  </fonts>
  <fills count="2">
    <fill>
      <patternFill patternType="none"/>
    </fill>
    <fill>
      <patternFill patternType="lightGray"/>
    </fill>
  </fills>
  <borders count="3">
    <border/>
    <border>
      <left style="thin">
        <color rgb="FF000000"/>
      </left>
    </border>
    <border>
      <right style="thin">
        <color rgb="FF000000"/>
      </right>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xf>
    <xf borderId="0" fillId="0" fontId="1" numFmtId="0" xfId="0" applyAlignment="1" applyFont="1">
      <alignment horizontal="left" readingOrder="0"/>
    </xf>
    <xf borderId="0" fillId="0" fontId="3" numFmtId="0" xfId="0" applyAlignment="1" applyFont="1">
      <alignment vertical="bottom"/>
    </xf>
    <xf borderId="1" fillId="0" fontId="2" numFmtId="0" xfId="0" applyAlignment="1" applyBorder="1" applyFont="1">
      <alignment horizontal="center" readingOrder="0"/>
    </xf>
    <xf borderId="2" fillId="0" fontId="4" numFmtId="0" xfId="0" applyBorder="1" applyFont="1"/>
    <xf borderId="0" fillId="0" fontId="3" numFmtId="0" xfId="0" applyAlignment="1" applyFont="1">
      <alignment vertical="bottom"/>
    </xf>
    <xf borderId="0" fillId="0" fontId="3" numFmtId="0" xfId="0" applyAlignment="1" applyFont="1">
      <alignment readingOrder="0" vertical="bottom"/>
    </xf>
    <xf borderId="0" fillId="0" fontId="2" numFmtId="0" xfId="0" applyAlignment="1" applyFont="1">
      <alignment readingOrder="0"/>
    </xf>
    <xf borderId="1" fillId="0" fontId="1" numFmtId="0" xfId="0" applyAlignment="1" applyBorder="1" applyFont="1">
      <alignment readingOrder="0"/>
    </xf>
    <xf borderId="0" fillId="0" fontId="1" numFmtId="0" xfId="0" applyAlignment="1" applyFont="1">
      <alignment horizontal="left"/>
    </xf>
    <xf borderId="2" fillId="0" fontId="1" numFmtId="0" xfId="0" applyAlignment="1" applyBorder="1" applyFont="1">
      <alignment readingOrder="0"/>
    </xf>
    <xf borderId="1" fillId="0" fontId="1" numFmtId="0" xfId="0" applyBorder="1" applyFont="1"/>
    <xf borderId="2" fillId="0" fontId="1" numFmtId="0" xfId="0" applyBorder="1" applyFont="1"/>
    <xf borderId="0" fillId="0" fontId="1" numFmtId="0" xfId="0" applyFont="1"/>
    <xf borderId="0" fillId="0" fontId="2" numFmtId="0" xfId="0" applyFont="1"/>
  </cellXfs>
  <cellStyles count="1">
    <cellStyle xfId="0" name="Normal" builtinId="0"/>
  </cellStyles>
  <dxfs count="3">
    <dxf>
      <font/>
      <fill>
        <patternFill patternType="solid">
          <fgColor rgb="FFF4CCCC"/>
          <bgColor rgb="FFF4CCCC"/>
        </patternFill>
      </fill>
      <border/>
    </dxf>
    <dxf>
      <font>
        <color theme="0"/>
      </font>
      <fill>
        <patternFill patternType="none"/>
      </fill>
      <border/>
    </dxf>
    <dxf>
      <font>
        <color rgb="FFFFFFF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0</v>
      </c>
      <c r="C1" s="1" t="s">
        <v>3</v>
      </c>
      <c r="D1" s="3" t="s">
        <v>4</v>
      </c>
      <c r="E1" s="1" t="s">
        <v>7</v>
      </c>
      <c r="F1" s="1" t="s">
        <v>8</v>
      </c>
      <c r="G1" s="1" t="s">
        <v>9</v>
      </c>
      <c r="H1" s="4" t="s">
        <v>10</v>
      </c>
      <c r="I1" s="4" t="s">
        <v>13</v>
      </c>
      <c r="J1" s="1" t="s">
        <v>15</v>
      </c>
      <c r="K1" s="1" t="s">
        <v>16</v>
      </c>
      <c r="L1" s="1" t="s">
        <v>18</v>
      </c>
      <c r="M1" s="1"/>
      <c r="N1" s="1" t="s">
        <v>20</v>
      </c>
    </row>
    <row r="2">
      <c r="A2" s="7" t="s">
        <v>24</v>
      </c>
      <c r="B2" s="7" t="s">
        <v>26</v>
      </c>
      <c r="C2" s="1" t="s">
        <v>27</v>
      </c>
      <c r="D2" s="3">
        <v>2.0</v>
      </c>
      <c r="F2" s="1">
        <v>2.5</v>
      </c>
      <c r="H2" s="7" t="s">
        <v>29</v>
      </c>
      <c r="I2" s="8" t="s">
        <v>31</v>
      </c>
      <c r="J2" s="7"/>
      <c r="K2" s="1" t="b">
        <v>1</v>
      </c>
      <c r="M2" s="1"/>
      <c r="N2" s="1" t="s">
        <v>34</v>
      </c>
      <c r="O2" s="1" t="s">
        <v>35</v>
      </c>
    </row>
    <row r="3">
      <c r="A3" s="7" t="s">
        <v>36</v>
      </c>
      <c r="B3" s="7" t="s">
        <v>37</v>
      </c>
      <c r="C3" s="1" t="s">
        <v>27</v>
      </c>
      <c r="D3" s="3" t="s">
        <v>39</v>
      </c>
      <c r="E3" s="1" t="s">
        <v>40</v>
      </c>
      <c r="F3" s="1">
        <v>0.5</v>
      </c>
      <c r="G3" s="1" t="s">
        <v>41</v>
      </c>
      <c r="H3" s="1"/>
      <c r="I3" s="1" t="s">
        <v>42</v>
      </c>
      <c r="K3" s="1" t="b">
        <v>1</v>
      </c>
      <c r="M3" s="1"/>
      <c r="N3" s="1">
        <v>1.0</v>
      </c>
      <c r="O3" s="1" t="s">
        <v>44</v>
      </c>
    </row>
    <row r="4">
      <c r="A4" s="7" t="s">
        <v>45</v>
      </c>
      <c r="B4" s="8" t="s">
        <v>46</v>
      </c>
      <c r="C4" s="1" t="s">
        <v>47</v>
      </c>
      <c r="D4" s="11"/>
      <c r="K4" s="1" t="b">
        <v>1</v>
      </c>
      <c r="M4" s="1"/>
      <c r="N4" s="1">
        <v>2.0</v>
      </c>
      <c r="O4" s="1" t="s">
        <v>49</v>
      </c>
    </row>
    <row r="5">
      <c r="A5" s="7" t="s">
        <v>50</v>
      </c>
      <c r="B5" s="8" t="s">
        <v>51</v>
      </c>
      <c r="C5" s="1" t="s">
        <v>47</v>
      </c>
      <c r="D5" s="11"/>
      <c r="K5" s="1" t="b">
        <v>1</v>
      </c>
      <c r="M5" s="1"/>
      <c r="N5" s="1">
        <v>3.0</v>
      </c>
      <c r="O5" s="1" t="s">
        <v>54</v>
      </c>
    </row>
    <row r="6">
      <c r="A6" s="7" t="s">
        <v>56</v>
      </c>
      <c r="B6" s="8" t="s">
        <v>58</v>
      </c>
      <c r="C6" s="1" t="s">
        <v>47</v>
      </c>
      <c r="D6" s="11"/>
      <c r="K6" s="1" t="b">
        <v>1</v>
      </c>
      <c r="M6" s="1"/>
      <c r="N6" s="1">
        <v>4.0</v>
      </c>
      <c r="O6" s="1" t="s">
        <v>61</v>
      </c>
    </row>
    <row r="7">
      <c r="A7" s="7" t="s">
        <v>62</v>
      </c>
      <c r="B7" s="7" t="s">
        <v>63</v>
      </c>
      <c r="C7" s="1" t="s">
        <v>59</v>
      </c>
      <c r="D7" s="3">
        <v>2.0</v>
      </c>
      <c r="F7" s="1">
        <v>3.0</v>
      </c>
      <c r="H7" s="1" t="s">
        <v>69</v>
      </c>
      <c r="I7" s="1" t="s">
        <v>72</v>
      </c>
      <c r="K7" s="1" t="b">
        <v>1</v>
      </c>
    </row>
    <row r="8">
      <c r="A8" s="7" t="s">
        <v>76</v>
      </c>
      <c r="B8" s="7" t="s">
        <v>78</v>
      </c>
      <c r="C8" s="1" t="s">
        <v>80</v>
      </c>
      <c r="D8" s="3">
        <v>1.0</v>
      </c>
      <c r="E8" s="1" t="s">
        <v>40</v>
      </c>
      <c r="F8" s="1">
        <v>2.0</v>
      </c>
      <c r="H8" s="1" t="s">
        <v>84</v>
      </c>
      <c r="I8" s="1" t="s">
        <v>87</v>
      </c>
      <c r="K8" s="1" t="b">
        <v>1</v>
      </c>
    </row>
    <row r="9">
      <c r="A9" s="7" t="s">
        <v>90</v>
      </c>
      <c r="B9" s="7" t="s">
        <v>95</v>
      </c>
      <c r="C9" s="1" t="s">
        <v>96</v>
      </c>
      <c r="D9" s="3">
        <v>2.0</v>
      </c>
      <c r="F9" s="1">
        <v>3.0</v>
      </c>
      <c r="H9" s="1" t="s">
        <v>97</v>
      </c>
      <c r="I9" s="1" t="s">
        <v>98</v>
      </c>
      <c r="K9" s="1" t="b">
        <v>1</v>
      </c>
      <c r="M9" s="1"/>
      <c r="N9" s="1" t="s">
        <v>99</v>
      </c>
    </row>
    <row r="10">
      <c r="A10" s="7" t="s">
        <v>102</v>
      </c>
      <c r="B10" s="7" t="s">
        <v>104</v>
      </c>
      <c r="C10" s="1" t="s">
        <v>105</v>
      </c>
      <c r="D10" s="3">
        <v>1.0</v>
      </c>
      <c r="E10" s="1" t="s">
        <v>40</v>
      </c>
      <c r="F10" s="1">
        <v>2.0</v>
      </c>
      <c r="H10" s="1" t="s">
        <v>107</v>
      </c>
      <c r="I10" s="1" t="s">
        <v>108</v>
      </c>
      <c r="K10" s="1" t="b">
        <v>1</v>
      </c>
      <c r="M10" s="1"/>
      <c r="N10" s="1" t="s">
        <v>110</v>
      </c>
    </row>
    <row r="11">
      <c r="A11" s="7" t="s">
        <v>112</v>
      </c>
      <c r="B11" s="7" t="s">
        <v>113</v>
      </c>
      <c r="C11" s="1" t="s">
        <v>59</v>
      </c>
      <c r="D11" s="3">
        <v>2.0</v>
      </c>
      <c r="F11" s="1">
        <v>3.0</v>
      </c>
      <c r="H11" s="1" t="s">
        <v>116</v>
      </c>
      <c r="I11" s="1" t="s">
        <v>119</v>
      </c>
      <c r="K11" s="1" t="b">
        <v>1</v>
      </c>
      <c r="M11" s="1"/>
      <c r="N11" s="1" t="s">
        <v>121</v>
      </c>
    </row>
    <row r="12">
      <c r="A12" s="7" t="s">
        <v>123</v>
      </c>
      <c r="B12" s="7" t="s">
        <v>125</v>
      </c>
      <c r="C12" s="1" t="s">
        <v>105</v>
      </c>
      <c r="D12" s="3" t="s">
        <v>39</v>
      </c>
      <c r="E12" s="1" t="s">
        <v>40</v>
      </c>
      <c r="F12" s="1">
        <v>1.5</v>
      </c>
      <c r="G12" s="1" t="s">
        <v>130</v>
      </c>
      <c r="H12" s="1" t="s">
        <v>84</v>
      </c>
      <c r="I12" s="1" t="s">
        <v>132</v>
      </c>
      <c r="K12" s="1" t="b">
        <v>1</v>
      </c>
      <c r="M12" s="1"/>
      <c r="N12" s="1" t="s">
        <v>134</v>
      </c>
    </row>
    <row r="13">
      <c r="A13" s="7" t="s">
        <v>135</v>
      </c>
      <c r="B13" s="7" t="s">
        <v>81</v>
      </c>
      <c r="C13" s="1" t="s">
        <v>59</v>
      </c>
      <c r="D13" s="3">
        <v>2.0</v>
      </c>
      <c r="F13" s="1">
        <v>3.0</v>
      </c>
      <c r="H13" s="1" t="s">
        <v>69</v>
      </c>
      <c r="I13" s="1" t="s">
        <v>139</v>
      </c>
      <c r="K13" s="1" t="b">
        <v>1</v>
      </c>
      <c r="M13" s="1"/>
      <c r="N13" s="1" t="s">
        <v>142</v>
      </c>
    </row>
    <row r="14">
      <c r="A14" s="7" t="s">
        <v>144</v>
      </c>
      <c r="B14" s="7" t="s">
        <v>146</v>
      </c>
      <c r="C14" s="1" t="s">
        <v>128</v>
      </c>
      <c r="D14" s="3">
        <v>1.0</v>
      </c>
      <c r="E14" s="1" t="s">
        <v>147</v>
      </c>
      <c r="F14" s="1">
        <v>1.0</v>
      </c>
      <c r="H14" s="1" t="s">
        <v>97</v>
      </c>
      <c r="I14" s="1" t="s">
        <v>148</v>
      </c>
      <c r="K14" s="1" t="b">
        <v>1</v>
      </c>
      <c r="M14" s="1"/>
      <c r="N14" s="1" t="s">
        <v>149</v>
      </c>
    </row>
    <row r="15">
      <c r="A15" s="7" t="s">
        <v>150</v>
      </c>
      <c r="B15" s="7" t="s">
        <v>151</v>
      </c>
      <c r="C15" s="1" t="s">
        <v>71</v>
      </c>
      <c r="D15" s="3">
        <v>1.0</v>
      </c>
      <c r="E15" s="1" t="s">
        <v>40</v>
      </c>
      <c r="F15" s="1">
        <v>2.0</v>
      </c>
      <c r="H15" s="1" t="s">
        <v>84</v>
      </c>
      <c r="I15" s="1" t="s">
        <v>152</v>
      </c>
      <c r="K15" s="1" t="b">
        <v>1</v>
      </c>
      <c r="M15" s="1"/>
      <c r="N15" s="1" t="s">
        <v>154</v>
      </c>
    </row>
    <row r="16">
      <c r="A16" s="7" t="s">
        <v>155</v>
      </c>
      <c r="B16" s="7" t="s">
        <v>124</v>
      </c>
      <c r="C16" s="1" t="s">
        <v>96</v>
      </c>
      <c r="D16" s="3">
        <v>2.0</v>
      </c>
      <c r="F16" s="1">
        <v>4.0</v>
      </c>
      <c r="H16" s="7" t="s">
        <v>84</v>
      </c>
      <c r="I16" s="8" t="s">
        <v>156</v>
      </c>
      <c r="J16" s="7"/>
      <c r="K16" s="1" t="b">
        <v>1</v>
      </c>
      <c r="M16" s="1"/>
      <c r="N16" s="1" t="s">
        <v>157</v>
      </c>
    </row>
    <row r="17">
      <c r="A17" s="7" t="s">
        <v>158</v>
      </c>
      <c r="B17" s="7" t="s">
        <v>159</v>
      </c>
      <c r="C17" s="1" t="s">
        <v>105</v>
      </c>
      <c r="D17" s="3" t="s">
        <v>39</v>
      </c>
      <c r="E17" s="1" t="s">
        <v>40</v>
      </c>
      <c r="F17" s="1">
        <v>1.0</v>
      </c>
      <c r="G17" s="1" t="s">
        <v>160</v>
      </c>
      <c r="H17" s="1" t="s">
        <v>69</v>
      </c>
      <c r="I17" s="1" t="s">
        <v>161</v>
      </c>
      <c r="K17" s="1" t="b">
        <v>1</v>
      </c>
      <c r="M17" s="1"/>
      <c r="N17" s="1" t="s">
        <v>162</v>
      </c>
    </row>
    <row r="18">
      <c r="A18" s="7" t="s">
        <v>163</v>
      </c>
      <c r="B18" s="7" t="s">
        <v>164</v>
      </c>
      <c r="C18" s="1" t="s">
        <v>105</v>
      </c>
      <c r="D18" s="3">
        <v>1.0</v>
      </c>
      <c r="E18" s="1" t="s">
        <v>40</v>
      </c>
      <c r="F18" s="1">
        <v>2.0</v>
      </c>
      <c r="J18" s="1" t="s">
        <v>147</v>
      </c>
      <c r="K18" s="1" t="b">
        <v>1</v>
      </c>
      <c r="M18" s="1"/>
      <c r="N18" s="1" t="s">
        <v>165</v>
      </c>
    </row>
    <row r="19">
      <c r="A19" s="7" t="s">
        <v>166</v>
      </c>
      <c r="B19" s="7" t="s">
        <v>167</v>
      </c>
      <c r="C19" s="1" t="s">
        <v>128</v>
      </c>
      <c r="D19" s="3">
        <v>1.0</v>
      </c>
      <c r="E19" s="1" t="s">
        <v>147</v>
      </c>
      <c r="H19" s="1" t="s">
        <v>168</v>
      </c>
      <c r="I19" s="1" t="s">
        <v>169</v>
      </c>
      <c r="K19" s="1" t="b">
        <v>1</v>
      </c>
    </row>
    <row r="20">
      <c r="A20" s="7" t="s">
        <v>170</v>
      </c>
      <c r="B20" s="7" t="s">
        <v>171</v>
      </c>
      <c r="C20" s="1" t="s">
        <v>80</v>
      </c>
      <c r="D20" s="3">
        <v>1.0</v>
      </c>
      <c r="E20" s="1" t="s">
        <v>40</v>
      </c>
      <c r="F20" s="1">
        <v>2.0</v>
      </c>
      <c r="H20" s="1" t="s">
        <v>84</v>
      </c>
      <c r="I20" s="1" t="s">
        <v>172</v>
      </c>
      <c r="K20" s="1" t="b">
        <v>1</v>
      </c>
    </row>
    <row r="21">
      <c r="A21" s="7" t="s">
        <v>173</v>
      </c>
      <c r="B21" s="7" t="s">
        <v>174</v>
      </c>
      <c r="C21" s="1" t="s">
        <v>80</v>
      </c>
      <c r="D21" s="3">
        <v>1.0</v>
      </c>
      <c r="E21" s="1" t="s">
        <v>147</v>
      </c>
      <c r="I21" s="1" t="s">
        <v>175</v>
      </c>
      <c r="K21" s="1" t="b">
        <v>1</v>
      </c>
      <c r="M21" s="1"/>
      <c r="N21" s="1" t="s">
        <v>176</v>
      </c>
    </row>
    <row r="22">
      <c r="A22" s="7" t="s">
        <v>177</v>
      </c>
      <c r="B22" s="7" t="s">
        <v>178</v>
      </c>
      <c r="C22" s="1" t="s">
        <v>96</v>
      </c>
      <c r="D22" s="3">
        <v>1.0</v>
      </c>
      <c r="E22" s="1" t="s">
        <v>40</v>
      </c>
      <c r="F22" s="1">
        <v>2.0</v>
      </c>
      <c r="H22" s="1" t="s">
        <v>69</v>
      </c>
      <c r="I22" s="1" t="s">
        <v>179</v>
      </c>
      <c r="K22" s="1" t="b">
        <v>1</v>
      </c>
    </row>
    <row r="23">
      <c r="A23" s="7" t="s">
        <v>180</v>
      </c>
      <c r="B23" s="7" t="s">
        <v>181</v>
      </c>
      <c r="C23" s="1" t="s">
        <v>128</v>
      </c>
      <c r="D23" s="3" t="s">
        <v>39</v>
      </c>
      <c r="E23" s="1" t="s">
        <v>147</v>
      </c>
      <c r="K23" s="1" t="b">
        <v>1</v>
      </c>
      <c r="M23" s="1"/>
      <c r="N23" s="1" t="s">
        <v>182</v>
      </c>
      <c r="O23" s="1" t="s">
        <v>183</v>
      </c>
    </row>
    <row r="24">
      <c r="A24" s="7" t="s">
        <v>184</v>
      </c>
      <c r="B24" s="7" t="s">
        <v>185</v>
      </c>
      <c r="C24" s="1" t="s">
        <v>128</v>
      </c>
      <c r="D24" s="3" t="s">
        <v>39</v>
      </c>
      <c r="E24" s="1" t="s">
        <v>40</v>
      </c>
      <c r="G24" s="1" t="s">
        <v>160</v>
      </c>
      <c r="H24" s="1"/>
      <c r="I24" s="1" t="s">
        <v>186</v>
      </c>
      <c r="K24" s="1" t="b">
        <v>1</v>
      </c>
      <c r="M24" s="1"/>
      <c r="N24" s="1" t="s">
        <v>187</v>
      </c>
      <c r="O24" s="1" t="s">
        <v>188</v>
      </c>
    </row>
    <row r="25">
      <c r="A25" s="7" t="s">
        <v>189</v>
      </c>
      <c r="B25" s="7" t="s">
        <v>190</v>
      </c>
      <c r="C25" s="1" t="s">
        <v>80</v>
      </c>
      <c r="D25" s="3" t="s">
        <v>39</v>
      </c>
      <c r="E25" s="1" t="s">
        <v>147</v>
      </c>
      <c r="I25" s="1" t="s">
        <v>191</v>
      </c>
      <c r="K25" s="1" t="b">
        <v>1</v>
      </c>
      <c r="M25" s="1"/>
      <c r="N25" s="1" t="s">
        <v>71</v>
      </c>
      <c r="O25" s="1" t="s">
        <v>192</v>
      </c>
    </row>
    <row r="26">
      <c r="A26" s="7" t="s">
        <v>194</v>
      </c>
      <c r="B26" s="7" t="s">
        <v>195</v>
      </c>
      <c r="C26" s="1" t="s">
        <v>27</v>
      </c>
      <c r="D26" s="3">
        <v>1.0</v>
      </c>
      <c r="E26" s="1" t="s">
        <v>147</v>
      </c>
      <c r="H26" s="1" t="s">
        <v>69</v>
      </c>
      <c r="I26" s="1" t="s">
        <v>196</v>
      </c>
      <c r="K26" s="1" t="b">
        <v>1</v>
      </c>
      <c r="M26" s="1"/>
      <c r="N26" s="1" t="s">
        <v>105</v>
      </c>
      <c r="O26" s="1" t="s">
        <v>197</v>
      </c>
    </row>
    <row r="27">
      <c r="A27" s="7" t="s">
        <v>198</v>
      </c>
      <c r="B27" s="7" t="s">
        <v>199</v>
      </c>
      <c r="C27" s="1" t="s">
        <v>128</v>
      </c>
      <c r="D27" s="3" t="s">
        <v>39</v>
      </c>
      <c r="E27" s="1" t="s">
        <v>40</v>
      </c>
      <c r="F27" s="1">
        <v>1.0</v>
      </c>
      <c r="G27" s="1" t="s">
        <v>200</v>
      </c>
      <c r="H27" s="4" t="s">
        <v>201</v>
      </c>
      <c r="I27" s="8" t="s">
        <v>202</v>
      </c>
      <c r="J27" s="7"/>
      <c r="K27" s="1" t="b">
        <v>1</v>
      </c>
      <c r="M27" s="1"/>
      <c r="N27" s="1" t="s">
        <v>203</v>
      </c>
      <c r="O27" s="1" t="s">
        <v>204</v>
      </c>
    </row>
    <row r="28">
      <c r="A28" s="7" t="s">
        <v>205</v>
      </c>
      <c r="B28" s="7" t="s">
        <v>206</v>
      </c>
      <c r="C28" s="1" t="s">
        <v>59</v>
      </c>
      <c r="D28" s="3">
        <v>1.0</v>
      </c>
      <c r="E28" s="1" t="s">
        <v>147</v>
      </c>
      <c r="H28" s="1" t="s">
        <v>69</v>
      </c>
      <c r="I28" s="1" t="s">
        <v>207</v>
      </c>
      <c r="K28" s="1" t="b">
        <v>1</v>
      </c>
      <c r="M28" s="1"/>
      <c r="N28" s="1" t="s">
        <v>208</v>
      </c>
      <c r="O28" s="1" t="s">
        <v>209</v>
      </c>
    </row>
    <row r="29">
      <c r="A29" s="7" t="s">
        <v>210</v>
      </c>
      <c r="B29" s="7" t="s">
        <v>211</v>
      </c>
      <c r="C29" s="1" t="s">
        <v>27</v>
      </c>
      <c r="D29" s="3" t="s">
        <v>39</v>
      </c>
      <c r="E29" s="1" t="s">
        <v>40</v>
      </c>
      <c r="F29" s="1">
        <v>0.5</v>
      </c>
      <c r="G29" s="1" t="s">
        <v>160</v>
      </c>
      <c r="H29" s="1"/>
      <c r="I29" s="1" t="s">
        <v>212</v>
      </c>
      <c r="K29" s="1" t="b">
        <v>1</v>
      </c>
    </row>
    <row r="30">
      <c r="A30" s="7" t="s">
        <v>213</v>
      </c>
      <c r="B30" s="7" t="s">
        <v>214</v>
      </c>
      <c r="C30" s="1" t="s">
        <v>27</v>
      </c>
      <c r="D30" s="3">
        <v>1.0</v>
      </c>
      <c r="E30" s="1" t="s">
        <v>147</v>
      </c>
      <c r="H30" s="1" t="s">
        <v>84</v>
      </c>
      <c r="I30" s="1" t="s">
        <v>215</v>
      </c>
      <c r="K30" s="1" t="b">
        <v>1</v>
      </c>
    </row>
    <row r="31">
      <c r="A31" s="7" t="s">
        <v>216</v>
      </c>
      <c r="B31" s="7" t="s">
        <v>217</v>
      </c>
      <c r="C31" s="1" t="s">
        <v>59</v>
      </c>
      <c r="D31" s="3">
        <v>1.0</v>
      </c>
      <c r="E31" s="1" t="s">
        <v>147</v>
      </c>
      <c r="H31" s="1" t="s">
        <v>69</v>
      </c>
      <c r="I31" s="1" t="s">
        <v>218</v>
      </c>
      <c r="K31" s="1" t="b">
        <v>1</v>
      </c>
    </row>
    <row r="32">
      <c r="A32" s="7" t="s">
        <v>219</v>
      </c>
      <c r="B32" s="7" t="s">
        <v>220</v>
      </c>
      <c r="C32" s="1" t="s">
        <v>71</v>
      </c>
      <c r="D32" s="3">
        <v>1.0</v>
      </c>
      <c r="E32" s="1" t="s">
        <v>147</v>
      </c>
      <c r="I32" s="1" t="s">
        <v>221</v>
      </c>
      <c r="K32" s="1" t="b">
        <v>1</v>
      </c>
      <c r="M32" s="7"/>
      <c r="N32" s="8" t="s">
        <v>222</v>
      </c>
      <c r="O32" s="7"/>
      <c r="P32" s="7"/>
      <c r="Q32" s="7"/>
      <c r="R32" s="7"/>
    </row>
    <row r="33">
      <c r="A33" s="7" t="s">
        <v>223</v>
      </c>
      <c r="B33" s="7" t="s">
        <v>224</v>
      </c>
      <c r="C33" s="1" t="s">
        <v>96</v>
      </c>
      <c r="D33" s="3" t="s">
        <v>39</v>
      </c>
      <c r="E33" s="1" t="s">
        <v>147</v>
      </c>
      <c r="G33" s="1" t="s">
        <v>40</v>
      </c>
      <c r="H33" s="1"/>
      <c r="I33" s="1" t="s">
        <v>225</v>
      </c>
      <c r="K33" s="1" t="b">
        <v>1</v>
      </c>
      <c r="M33" s="7"/>
      <c r="N33" s="7" t="s">
        <v>226</v>
      </c>
      <c r="O33" s="7" t="s">
        <v>227</v>
      </c>
      <c r="P33" s="7"/>
      <c r="Q33" s="7"/>
      <c r="R33" s="7"/>
    </row>
    <row r="34">
      <c r="A34" s="7" t="s">
        <v>228</v>
      </c>
      <c r="B34" s="7" t="s">
        <v>229</v>
      </c>
      <c r="C34" s="1" t="s">
        <v>80</v>
      </c>
      <c r="D34" s="3" t="s">
        <v>39</v>
      </c>
      <c r="E34" s="1" t="s">
        <v>40</v>
      </c>
      <c r="G34" s="1" t="s">
        <v>41</v>
      </c>
      <c r="H34" s="1" t="s">
        <v>84</v>
      </c>
      <c r="I34" s="1" t="s">
        <v>230</v>
      </c>
      <c r="K34" s="1" t="b">
        <v>1</v>
      </c>
      <c r="M34" s="7"/>
      <c r="N34" s="7" t="s">
        <v>231</v>
      </c>
      <c r="O34" s="7" t="s">
        <v>232</v>
      </c>
      <c r="P34" s="7"/>
      <c r="Q34" s="7"/>
      <c r="R34" s="7"/>
    </row>
    <row r="35">
      <c r="A35" s="7" t="s">
        <v>233</v>
      </c>
      <c r="B35" s="7" t="s">
        <v>234</v>
      </c>
      <c r="C35" s="1" t="s">
        <v>59</v>
      </c>
      <c r="D35" s="3">
        <v>1.0</v>
      </c>
      <c r="E35" s="1" t="s">
        <v>147</v>
      </c>
      <c r="I35" s="1" t="s">
        <v>235</v>
      </c>
      <c r="K35" s="1" t="b">
        <v>1</v>
      </c>
      <c r="M35" s="7"/>
      <c r="N35" s="7" t="s">
        <v>27</v>
      </c>
      <c r="O35" s="7" t="s">
        <v>236</v>
      </c>
      <c r="P35" s="7"/>
      <c r="Q35" s="7"/>
      <c r="R35" s="7"/>
    </row>
    <row r="36">
      <c r="A36" s="7" t="s">
        <v>237</v>
      </c>
      <c r="B36" s="7" t="s">
        <v>238</v>
      </c>
      <c r="C36" s="1" t="s">
        <v>96</v>
      </c>
      <c r="D36" s="3">
        <v>1.0</v>
      </c>
      <c r="E36" s="1" t="s">
        <v>147</v>
      </c>
      <c r="I36" s="1" t="s">
        <v>239</v>
      </c>
      <c r="K36" s="1" t="b">
        <v>1</v>
      </c>
      <c r="M36" s="7"/>
      <c r="N36" s="7" t="s">
        <v>208</v>
      </c>
      <c r="O36" s="7" t="s">
        <v>240</v>
      </c>
      <c r="P36" s="7"/>
      <c r="Q36" s="7"/>
      <c r="R36" s="7"/>
    </row>
    <row r="37">
      <c r="A37" s="7" t="s">
        <v>241</v>
      </c>
      <c r="B37" s="7" t="s">
        <v>242</v>
      </c>
      <c r="C37" s="1" t="s">
        <v>128</v>
      </c>
      <c r="D37" s="3" t="s">
        <v>39</v>
      </c>
      <c r="E37" s="1" t="s">
        <v>40</v>
      </c>
      <c r="G37" s="1" t="s">
        <v>160</v>
      </c>
      <c r="H37" s="1"/>
      <c r="I37" s="1" t="s">
        <v>243</v>
      </c>
      <c r="K37" s="1" t="b">
        <v>1</v>
      </c>
      <c r="M37" s="7"/>
      <c r="N37" s="7" t="s">
        <v>244</v>
      </c>
      <c r="O37" s="7" t="s">
        <v>245</v>
      </c>
      <c r="P37" s="7"/>
      <c r="Q37" s="7"/>
      <c r="R37" s="7"/>
    </row>
    <row r="38">
      <c r="A38" s="7" t="s">
        <v>246</v>
      </c>
      <c r="B38" s="7" t="s">
        <v>140</v>
      </c>
      <c r="C38" s="1" t="s">
        <v>80</v>
      </c>
      <c r="D38" s="3">
        <v>2.0</v>
      </c>
      <c r="F38" s="1">
        <v>4.0</v>
      </c>
      <c r="H38" s="7" t="s">
        <v>84</v>
      </c>
      <c r="I38" s="8" t="s">
        <v>247</v>
      </c>
      <c r="J38" s="7"/>
      <c r="K38" s="1" t="b">
        <v>1</v>
      </c>
      <c r="M38" s="7"/>
      <c r="N38" s="7" t="s">
        <v>80</v>
      </c>
      <c r="O38" s="7" t="s">
        <v>248</v>
      </c>
      <c r="P38" s="7"/>
      <c r="Q38" s="7"/>
      <c r="R38" s="7"/>
    </row>
    <row r="39">
      <c r="A39" s="7" t="s">
        <v>249</v>
      </c>
      <c r="B39" s="7" t="s">
        <v>250</v>
      </c>
      <c r="C39" s="1" t="s">
        <v>128</v>
      </c>
      <c r="D39" s="3">
        <v>1.0</v>
      </c>
      <c r="E39" s="1" t="s">
        <v>40</v>
      </c>
      <c r="I39" s="1" t="s">
        <v>252</v>
      </c>
      <c r="K39" s="1" t="b">
        <v>1</v>
      </c>
      <c r="M39" s="8"/>
      <c r="N39" s="8" t="s">
        <v>105</v>
      </c>
      <c r="O39" s="8" t="s">
        <v>253</v>
      </c>
      <c r="P39" s="7"/>
      <c r="Q39" s="7"/>
      <c r="R39" s="7"/>
    </row>
    <row r="40">
      <c r="A40" s="7" t="s">
        <v>254</v>
      </c>
      <c r="B40" s="7" t="s">
        <v>255</v>
      </c>
      <c r="C40" s="1" t="s">
        <v>96</v>
      </c>
      <c r="D40" s="3" t="s">
        <v>39</v>
      </c>
      <c r="E40" s="1" t="s">
        <v>147</v>
      </c>
      <c r="K40" s="1" t="b">
        <v>1</v>
      </c>
      <c r="M40" s="7"/>
      <c r="N40" s="7"/>
      <c r="O40" s="7"/>
      <c r="P40" s="7"/>
      <c r="Q40" s="7"/>
      <c r="R40" s="7"/>
    </row>
    <row r="41">
      <c r="A41" s="7" t="s">
        <v>256</v>
      </c>
      <c r="B41" s="7" t="s">
        <v>257</v>
      </c>
      <c r="C41" s="1" t="s">
        <v>96</v>
      </c>
      <c r="D41" s="3">
        <v>1.0</v>
      </c>
      <c r="E41" s="1" t="s">
        <v>147</v>
      </c>
      <c r="I41" s="1" t="s">
        <v>258</v>
      </c>
      <c r="K41" s="1" t="b">
        <v>1</v>
      </c>
      <c r="M41" s="7"/>
      <c r="N41" s="7"/>
      <c r="O41" s="7"/>
      <c r="P41" s="7"/>
      <c r="Q41" s="7"/>
      <c r="R41" s="7"/>
    </row>
    <row r="42">
      <c r="A42" s="7" t="s">
        <v>259</v>
      </c>
      <c r="B42" s="7" t="s">
        <v>260</v>
      </c>
      <c r="C42" s="1" t="s">
        <v>27</v>
      </c>
      <c r="D42" s="3" t="s">
        <v>39</v>
      </c>
      <c r="E42" s="1" t="s">
        <v>147</v>
      </c>
      <c r="G42" s="1" t="s">
        <v>261</v>
      </c>
      <c r="H42" s="1" t="s">
        <v>69</v>
      </c>
      <c r="I42" s="1"/>
      <c r="K42" s="1" t="b">
        <v>1</v>
      </c>
      <c r="M42" s="7"/>
      <c r="N42" s="7"/>
      <c r="O42" s="7"/>
      <c r="P42" s="7"/>
      <c r="Q42" s="7"/>
      <c r="R42" s="7"/>
    </row>
    <row r="43">
      <c r="A43" s="7" t="s">
        <v>262</v>
      </c>
      <c r="B43" s="7" t="s">
        <v>263</v>
      </c>
      <c r="C43" s="1" t="s">
        <v>59</v>
      </c>
      <c r="D43" s="3" t="s">
        <v>39</v>
      </c>
      <c r="E43" s="1" t="s">
        <v>147</v>
      </c>
      <c r="I43" s="1" t="s">
        <v>264</v>
      </c>
      <c r="K43" s="1" t="b">
        <v>1</v>
      </c>
      <c r="M43" s="7"/>
      <c r="N43" s="7" t="s">
        <v>10</v>
      </c>
      <c r="O43" s="7"/>
      <c r="P43" s="7"/>
      <c r="Q43" s="7"/>
      <c r="R43" s="7"/>
    </row>
    <row r="44">
      <c r="A44" s="7" t="s">
        <v>265</v>
      </c>
      <c r="B44" s="7" t="s">
        <v>266</v>
      </c>
      <c r="C44" s="1" t="s">
        <v>59</v>
      </c>
      <c r="D44" s="3" t="s">
        <v>39</v>
      </c>
      <c r="E44" s="1" t="s">
        <v>147</v>
      </c>
      <c r="G44" s="1" t="s">
        <v>261</v>
      </c>
      <c r="H44" s="1" t="s">
        <v>69</v>
      </c>
      <c r="K44" s="1" t="b">
        <v>1</v>
      </c>
      <c r="M44" s="7"/>
      <c r="N44" s="7" t="s">
        <v>97</v>
      </c>
      <c r="O44" s="7" t="s">
        <v>267</v>
      </c>
      <c r="P44" s="7"/>
      <c r="Q44" s="7"/>
      <c r="R44" s="7"/>
    </row>
    <row r="45">
      <c r="A45" s="7" t="s">
        <v>268</v>
      </c>
      <c r="B45" s="7" t="s">
        <v>269</v>
      </c>
      <c r="C45" s="1" t="s">
        <v>80</v>
      </c>
      <c r="D45" s="3" t="s">
        <v>39</v>
      </c>
      <c r="E45" s="1" t="s">
        <v>147</v>
      </c>
      <c r="H45" s="1"/>
      <c r="I45" s="1" t="s">
        <v>270</v>
      </c>
      <c r="K45" s="1" t="b">
        <v>1</v>
      </c>
      <c r="M45" s="7"/>
      <c r="N45" s="7" t="s">
        <v>271</v>
      </c>
      <c r="O45" s="7" t="s">
        <v>272</v>
      </c>
      <c r="P45" s="7"/>
      <c r="Q45" s="7"/>
      <c r="R45" s="7"/>
    </row>
    <row r="46">
      <c r="A46" s="7" t="s">
        <v>273</v>
      </c>
      <c r="B46" s="7" t="s">
        <v>274</v>
      </c>
      <c r="C46" s="1" t="s">
        <v>71</v>
      </c>
      <c r="D46" s="3" t="s">
        <v>39</v>
      </c>
      <c r="E46" s="1" t="s">
        <v>147</v>
      </c>
      <c r="G46" s="1" t="s">
        <v>261</v>
      </c>
      <c r="H46" s="1"/>
      <c r="I46" s="1" t="s">
        <v>275</v>
      </c>
      <c r="K46" s="1" t="b">
        <v>1</v>
      </c>
      <c r="M46" s="7"/>
      <c r="N46" s="7" t="s">
        <v>168</v>
      </c>
      <c r="O46" s="7" t="s">
        <v>276</v>
      </c>
      <c r="P46" s="7"/>
      <c r="Q46" s="7"/>
      <c r="R46" s="7"/>
    </row>
    <row r="47">
      <c r="A47" s="7" t="s">
        <v>277</v>
      </c>
      <c r="B47" s="7" t="s">
        <v>278</v>
      </c>
      <c r="C47" s="1" t="s">
        <v>128</v>
      </c>
      <c r="D47" s="3" t="s">
        <v>39</v>
      </c>
      <c r="E47" s="1" t="s">
        <v>147</v>
      </c>
      <c r="G47" s="1" t="s">
        <v>160</v>
      </c>
      <c r="H47" s="1"/>
      <c r="I47" s="1"/>
      <c r="K47" s="1" t="b">
        <v>1</v>
      </c>
      <c r="M47" s="7"/>
      <c r="N47" s="7" t="s">
        <v>69</v>
      </c>
      <c r="O47" s="7" t="s">
        <v>279</v>
      </c>
      <c r="P47" s="7"/>
      <c r="Q47" s="7"/>
      <c r="R47" s="7"/>
    </row>
    <row r="48">
      <c r="A48" s="7" t="s">
        <v>280</v>
      </c>
      <c r="B48" s="7" t="s">
        <v>281</v>
      </c>
      <c r="C48" s="1" t="s">
        <v>27</v>
      </c>
      <c r="D48" s="3" t="s">
        <v>39</v>
      </c>
      <c r="E48" s="1" t="s">
        <v>147</v>
      </c>
      <c r="G48" s="1" t="s">
        <v>160</v>
      </c>
      <c r="H48" s="1" t="s">
        <v>69</v>
      </c>
      <c r="I48" s="1" t="s">
        <v>282</v>
      </c>
      <c r="K48" s="1" t="b">
        <v>1</v>
      </c>
      <c r="M48" s="7"/>
      <c r="N48" s="7" t="s">
        <v>283</v>
      </c>
      <c r="O48" s="7" t="s">
        <v>284</v>
      </c>
      <c r="P48" s="7"/>
      <c r="Q48" s="7"/>
      <c r="R48" s="7"/>
    </row>
    <row r="49">
      <c r="A49" s="7" t="s">
        <v>285</v>
      </c>
      <c r="B49" s="7" t="s">
        <v>286</v>
      </c>
      <c r="C49" s="1" t="s">
        <v>128</v>
      </c>
      <c r="D49" s="3" t="s">
        <v>39</v>
      </c>
      <c r="E49" s="1" t="s">
        <v>147</v>
      </c>
      <c r="F49" s="1">
        <v>0.5</v>
      </c>
      <c r="H49" s="8" t="s">
        <v>69</v>
      </c>
      <c r="I49" s="8" t="s">
        <v>287</v>
      </c>
      <c r="J49" s="7"/>
      <c r="K49" s="1" t="b">
        <v>1</v>
      </c>
      <c r="M49" s="7"/>
      <c r="N49" s="7" t="s">
        <v>201</v>
      </c>
      <c r="O49" s="7" t="s">
        <v>288</v>
      </c>
      <c r="P49" s="7"/>
      <c r="Q49" s="7"/>
      <c r="R49" s="7"/>
    </row>
    <row r="50">
      <c r="A50" s="7" t="s">
        <v>289</v>
      </c>
      <c r="B50" s="7" t="s">
        <v>290</v>
      </c>
      <c r="C50" s="1" t="s">
        <v>27</v>
      </c>
      <c r="D50" s="3" t="s">
        <v>39</v>
      </c>
      <c r="E50" s="1" t="s">
        <v>147</v>
      </c>
      <c r="H50" s="1"/>
      <c r="I50" s="1" t="s">
        <v>291</v>
      </c>
      <c r="K50" s="1" t="b">
        <v>1</v>
      </c>
      <c r="M50" s="7"/>
      <c r="N50" s="7" t="s">
        <v>292</v>
      </c>
      <c r="O50" s="7" t="s">
        <v>294</v>
      </c>
      <c r="P50" s="7"/>
      <c r="Q50" s="7"/>
      <c r="R50" s="7"/>
    </row>
    <row r="51">
      <c r="A51" s="7" t="s">
        <v>295</v>
      </c>
      <c r="B51" s="7" t="s">
        <v>296</v>
      </c>
      <c r="C51" s="1" t="s">
        <v>59</v>
      </c>
      <c r="D51" s="3" t="s">
        <v>39</v>
      </c>
      <c r="E51" s="1" t="s">
        <v>147</v>
      </c>
      <c r="G51" s="1" t="s">
        <v>160</v>
      </c>
      <c r="H51" s="1" t="s">
        <v>69</v>
      </c>
      <c r="I51" s="1" t="s">
        <v>297</v>
      </c>
      <c r="K51" s="1" t="b">
        <v>1</v>
      </c>
      <c r="M51" s="7"/>
      <c r="N51" s="7" t="s">
        <v>84</v>
      </c>
      <c r="O51" s="7" t="s">
        <v>298</v>
      </c>
    </row>
    <row r="52">
      <c r="A52" s="7" t="s">
        <v>299</v>
      </c>
      <c r="B52" s="7" t="s">
        <v>300</v>
      </c>
      <c r="C52" s="1" t="s">
        <v>71</v>
      </c>
      <c r="D52" s="3" t="s">
        <v>39</v>
      </c>
      <c r="E52" s="1" t="s">
        <v>147</v>
      </c>
      <c r="G52" s="1" t="s">
        <v>261</v>
      </c>
      <c r="H52" s="1"/>
      <c r="I52" s="1" t="s">
        <v>301</v>
      </c>
      <c r="K52" s="1" t="b">
        <v>1</v>
      </c>
      <c r="M52" s="1"/>
      <c r="N52" s="1" t="s">
        <v>302</v>
      </c>
      <c r="O52" s="1" t="s">
        <v>303</v>
      </c>
    </row>
    <row r="53">
      <c r="A53" s="7" t="s">
        <v>304</v>
      </c>
      <c r="B53" s="7" t="s">
        <v>305</v>
      </c>
      <c r="C53" s="1" t="s">
        <v>105</v>
      </c>
      <c r="D53" s="3" t="s">
        <v>39</v>
      </c>
      <c r="E53" s="1" t="s">
        <v>147</v>
      </c>
      <c r="G53" s="1" t="s">
        <v>261</v>
      </c>
      <c r="H53" s="1" t="s">
        <v>306</v>
      </c>
      <c r="I53" s="1" t="s">
        <v>307</v>
      </c>
      <c r="K53" s="1" t="b">
        <v>1</v>
      </c>
    </row>
    <row r="54">
      <c r="A54" s="7" t="s">
        <v>308</v>
      </c>
      <c r="B54" s="7" t="s">
        <v>309</v>
      </c>
      <c r="C54" s="1" t="s">
        <v>59</v>
      </c>
      <c r="D54" s="3">
        <v>1.0</v>
      </c>
      <c r="E54" s="1" t="s">
        <v>147</v>
      </c>
      <c r="H54" s="1" t="s">
        <v>69</v>
      </c>
      <c r="I54" s="1" t="s">
        <v>310</v>
      </c>
      <c r="K54" s="1" t="b">
        <v>1</v>
      </c>
      <c r="N54" s="8" t="s">
        <v>311</v>
      </c>
    </row>
    <row r="55">
      <c r="A55" s="7" t="s">
        <v>312</v>
      </c>
      <c r="B55" s="7" t="s">
        <v>313</v>
      </c>
      <c r="C55" s="1" t="s">
        <v>59</v>
      </c>
      <c r="D55" s="3">
        <v>1.0</v>
      </c>
      <c r="E55" s="1" t="s">
        <v>147</v>
      </c>
      <c r="G55" s="1" t="s">
        <v>160</v>
      </c>
      <c r="H55" s="1"/>
      <c r="I55" s="1" t="s">
        <v>314</v>
      </c>
      <c r="K55" s="1" t="b">
        <v>1</v>
      </c>
    </row>
    <row r="56">
      <c r="A56" s="7" t="s">
        <v>315</v>
      </c>
      <c r="B56" s="7" t="s">
        <v>316</v>
      </c>
      <c r="C56" s="1" t="s">
        <v>71</v>
      </c>
      <c r="D56" s="3" t="s">
        <v>39</v>
      </c>
      <c r="E56" s="1" t="s">
        <v>40</v>
      </c>
      <c r="G56" s="1" t="s">
        <v>200</v>
      </c>
      <c r="H56" s="1"/>
      <c r="I56" s="1" t="s">
        <v>317</v>
      </c>
      <c r="K56" s="1" t="b">
        <v>1</v>
      </c>
      <c r="M56" s="8"/>
      <c r="N56" s="8"/>
    </row>
    <row r="57">
      <c r="A57" s="7" t="s">
        <v>318</v>
      </c>
      <c r="B57" s="7" t="s">
        <v>319</v>
      </c>
      <c r="C57" s="1" t="s">
        <v>128</v>
      </c>
      <c r="D57" s="3" t="s">
        <v>39</v>
      </c>
      <c r="E57" s="1" t="s">
        <v>147</v>
      </c>
      <c r="H57" s="1" t="s">
        <v>168</v>
      </c>
      <c r="I57" s="1" t="s">
        <v>320</v>
      </c>
      <c r="K57" s="1" t="b">
        <v>1</v>
      </c>
      <c r="N57" s="1" t="s">
        <v>321</v>
      </c>
    </row>
    <row r="58">
      <c r="A58" s="7" t="s">
        <v>322</v>
      </c>
      <c r="B58" s="7" t="s">
        <v>323</v>
      </c>
      <c r="C58" s="1" t="s">
        <v>105</v>
      </c>
      <c r="D58" s="3" t="s">
        <v>39</v>
      </c>
      <c r="E58" s="1" t="s">
        <v>147</v>
      </c>
      <c r="I58" s="1" t="s">
        <v>324</v>
      </c>
      <c r="K58" s="1" t="b">
        <v>1</v>
      </c>
      <c r="N58" s="1" t="s">
        <v>325</v>
      </c>
    </row>
    <row r="59">
      <c r="A59" s="7" t="s">
        <v>326</v>
      </c>
      <c r="B59" s="7" t="s">
        <v>327</v>
      </c>
      <c r="C59" s="1" t="s">
        <v>96</v>
      </c>
      <c r="D59" s="3" t="s">
        <v>39</v>
      </c>
      <c r="E59" s="1" t="s">
        <v>147</v>
      </c>
      <c r="G59" s="1" t="s">
        <v>261</v>
      </c>
      <c r="H59" s="1"/>
      <c r="I59" s="1" t="s">
        <v>328</v>
      </c>
      <c r="K59" s="1" t="b">
        <v>1</v>
      </c>
      <c r="N59" s="1" t="s">
        <v>329</v>
      </c>
    </row>
    <row r="60">
      <c r="A60" s="7" t="s">
        <v>330</v>
      </c>
      <c r="B60" s="7" t="s">
        <v>331</v>
      </c>
      <c r="C60" s="1" t="s">
        <v>96</v>
      </c>
      <c r="D60" s="3">
        <v>1.0</v>
      </c>
      <c r="E60" s="1" t="s">
        <v>40</v>
      </c>
      <c r="F60" s="1">
        <v>2.5</v>
      </c>
      <c r="H60" s="7" t="s">
        <v>69</v>
      </c>
      <c r="I60" s="7" t="s">
        <v>332</v>
      </c>
      <c r="J60" s="7"/>
      <c r="K60" s="1" t="b">
        <v>1</v>
      </c>
    </row>
    <row r="61">
      <c r="A61" s="7" t="s">
        <v>334</v>
      </c>
      <c r="B61" s="7" t="s">
        <v>335</v>
      </c>
      <c r="C61" s="1" t="s">
        <v>80</v>
      </c>
      <c r="D61" s="3" t="s">
        <v>39</v>
      </c>
      <c r="E61" s="1" t="s">
        <v>147</v>
      </c>
      <c r="G61" s="1" t="s">
        <v>261</v>
      </c>
      <c r="H61" s="1"/>
      <c r="I61" s="1" t="s">
        <v>336</v>
      </c>
      <c r="K61" s="1" t="b">
        <v>1</v>
      </c>
      <c r="N61" s="1" t="s">
        <v>337</v>
      </c>
    </row>
    <row r="62">
      <c r="A62" s="7" t="s">
        <v>338</v>
      </c>
      <c r="B62" s="7" t="s">
        <v>339</v>
      </c>
      <c r="C62" s="1" t="s">
        <v>128</v>
      </c>
      <c r="D62" s="3" t="s">
        <v>39</v>
      </c>
      <c r="E62" s="1" t="s">
        <v>147</v>
      </c>
      <c r="K62" s="1" t="b">
        <v>1</v>
      </c>
      <c r="N62" s="1" t="s">
        <v>340</v>
      </c>
      <c r="O62" s="1" t="s">
        <v>341</v>
      </c>
    </row>
    <row r="63">
      <c r="A63" s="7" t="s">
        <v>342</v>
      </c>
      <c r="B63" s="7" t="s">
        <v>343</v>
      </c>
      <c r="C63" s="1" t="s">
        <v>71</v>
      </c>
      <c r="D63" s="3" t="s">
        <v>39</v>
      </c>
      <c r="E63" s="1" t="s">
        <v>147</v>
      </c>
      <c r="G63" s="1" t="s">
        <v>160</v>
      </c>
      <c r="H63" s="1" t="s">
        <v>201</v>
      </c>
      <c r="I63" s="1"/>
      <c r="K63" s="1" t="b">
        <v>1</v>
      </c>
      <c r="N63" s="1" t="s">
        <v>344</v>
      </c>
      <c r="O63" s="1" t="s">
        <v>345</v>
      </c>
    </row>
    <row r="64">
      <c r="A64" s="7" t="s">
        <v>346</v>
      </c>
      <c r="B64" s="7" t="s">
        <v>347</v>
      </c>
      <c r="C64" s="1" t="s">
        <v>96</v>
      </c>
      <c r="D64" s="3" t="s">
        <v>39</v>
      </c>
      <c r="E64" s="1" t="s">
        <v>147</v>
      </c>
      <c r="G64" s="1" t="s">
        <v>261</v>
      </c>
      <c r="H64" s="1" t="s">
        <v>69</v>
      </c>
      <c r="I64" s="1" t="s">
        <v>348</v>
      </c>
      <c r="K64" s="1" t="b">
        <v>1</v>
      </c>
      <c r="N64" s="1" t="s">
        <v>349</v>
      </c>
      <c r="O64" s="1" t="s">
        <v>350</v>
      </c>
    </row>
    <row r="65">
      <c r="A65" s="7" t="s">
        <v>351</v>
      </c>
      <c r="B65" s="7" t="s">
        <v>48</v>
      </c>
      <c r="C65" s="1" t="s">
        <v>96</v>
      </c>
      <c r="D65" s="3">
        <v>1.0</v>
      </c>
      <c r="E65" s="1" t="s">
        <v>40</v>
      </c>
      <c r="F65" s="1">
        <v>1.5</v>
      </c>
      <c r="H65" s="1" t="s">
        <v>69</v>
      </c>
      <c r="I65" s="1" t="s">
        <v>352</v>
      </c>
      <c r="K65" s="1" t="b">
        <v>1</v>
      </c>
    </row>
    <row r="66">
      <c r="A66" s="7" t="s">
        <v>353</v>
      </c>
      <c r="B66" s="7" t="s">
        <v>354</v>
      </c>
      <c r="C66" s="1" t="s">
        <v>96</v>
      </c>
      <c r="D66" s="3" t="s">
        <v>39</v>
      </c>
      <c r="E66" s="1" t="s">
        <v>147</v>
      </c>
      <c r="K66" s="1" t="b">
        <v>1</v>
      </c>
    </row>
    <row r="67">
      <c r="A67" s="7" t="s">
        <v>355</v>
      </c>
      <c r="B67" s="7" t="s">
        <v>356</v>
      </c>
      <c r="C67" s="1" t="s">
        <v>59</v>
      </c>
      <c r="D67" s="3" t="s">
        <v>39</v>
      </c>
      <c r="E67" s="1" t="s">
        <v>40</v>
      </c>
      <c r="G67" s="1" t="s">
        <v>41</v>
      </c>
      <c r="H67" s="1" t="s">
        <v>69</v>
      </c>
      <c r="I67" s="1" t="s">
        <v>357</v>
      </c>
      <c r="K67" s="1" t="b">
        <v>1</v>
      </c>
    </row>
    <row r="68">
      <c r="A68" s="7" t="s">
        <v>358</v>
      </c>
      <c r="B68" s="7" t="s">
        <v>359</v>
      </c>
      <c r="C68" s="1" t="s">
        <v>105</v>
      </c>
      <c r="D68" s="3" t="s">
        <v>39</v>
      </c>
      <c r="E68" s="1" t="s">
        <v>147</v>
      </c>
      <c r="K68" s="1" t="b">
        <v>1</v>
      </c>
      <c r="N68" s="1" t="s">
        <v>360</v>
      </c>
    </row>
    <row r="69">
      <c r="A69" s="7" t="s">
        <v>361</v>
      </c>
      <c r="B69" s="7" t="s">
        <v>362</v>
      </c>
      <c r="C69" s="1" t="s">
        <v>80</v>
      </c>
      <c r="D69" s="3" t="s">
        <v>39</v>
      </c>
      <c r="E69" s="1" t="s">
        <v>147</v>
      </c>
      <c r="G69" s="1" t="s">
        <v>261</v>
      </c>
      <c r="H69" s="1" t="s">
        <v>69</v>
      </c>
      <c r="I69" s="1"/>
      <c r="K69" s="1" t="b">
        <v>1</v>
      </c>
      <c r="N69" s="1" t="s">
        <v>363</v>
      </c>
    </row>
    <row r="70">
      <c r="A70" s="7" t="s">
        <v>364</v>
      </c>
      <c r="B70" s="7" t="s">
        <v>365</v>
      </c>
      <c r="C70" s="1" t="s">
        <v>59</v>
      </c>
      <c r="D70" s="3" t="s">
        <v>39</v>
      </c>
      <c r="E70" s="1" t="s">
        <v>147</v>
      </c>
      <c r="G70" s="1" t="s">
        <v>160</v>
      </c>
      <c r="H70" s="1" t="s">
        <v>69</v>
      </c>
      <c r="I70" s="1"/>
      <c r="K70" s="1" t="b">
        <v>1</v>
      </c>
      <c r="N70" s="1" t="s">
        <v>366</v>
      </c>
    </row>
    <row r="71">
      <c r="A71" s="7" t="s">
        <v>367</v>
      </c>
      <c r="B71" s="7" t="s">
        <v>368</v>
      </c>
      <c r="C71" s="1" t="s">
        <v>71</v>
      </c>
      <c r="D71" s="3" t="s">
        <v>39</v>
      </c>
      <c r="E71" s="1" t="s">
        <v>40</v>
      </c>
      <c r="F71" s="1">
        <v>0.5</v>
      </c>
      <c r="G71" s="1" t="s">
        <v>160</v>
      </c>
      <c r="H71" s="4"/>
      <c r="I71" s="8" t="s">
        <v>369</v>
      </c>
      <c r="J71" s="7"/>
      <c r="K71" s="1" t="b">
        <v>1</v>
      </c>
      <c r="N71" s="1" t="s">
        <v>370</v>
      </c>
    </row>
    <row r="72">
      <c r="A72" s="7" t="s">
        <v>371</v>
      </c>
      <c r="B72" s="7" t="s">
        <v>372</v>
      </c>
      <c r="C72" s="1" t="s">
        <v>187</v>
      </c>
      <c r="D72" s="1" t="s">
        <v>373</v>
      </c>
      <c r="F72" s="1" t="s">
        <v>261</v>
      </c>
      <c r="J72" s="1" t="s">
        <v>147</v>
      </c>
      <c r="K72" s="15" t="b">
        <v>0</v>
      </c>
    </row>
    <row r="73">
      <c r="A73" s="7" t="s">
        <v>374</v>
      </c>
      <c r="B73" s="7" t="s">
        <v>375</v>
      </c>
      <c r="C73" s="1" t="s">
        <v>187</v>
      </c>
      <c r="D73" s="1" t="s">
        <v>373</v>
      </c>
      <c r="F73" s="1" t="s">
        <v>376</v>
      </c>
      <c r="I73" s="1" t="s">
        <v>377</v>
      </c>
      <c r="K73" s="1" t="b">
        <v>1</v>
      </c>
    </row>
    <row r="74">
      <c r="A74" s="7" t="s">
        <v>378</v>
      </c>
      <c r="B74" s="7" t="s">
        <v>379</v>
      </c>
      <c r="C74" s="1" t="s">
        <v>187</v>
      </c>
      <c r="D74" s="1" t="s">
        <v>373</v>
      </c>
      <c r="F74" s="1" t="s">
        <v>373</v>
      </c>
      <c r="J74" s="1" t="s">
        <v>147</v>
      </c>
      <c r="K74" s="15" t="b">
        <v>0</v>
      </c>
    </row>
    <row r="75">
      <c r="A75" s="7" t="s">
        <v>380</v>
      </c>
      <c r="B75" s="7" t="s">
        <v>381</v>
      </c>
      <c r="C75" s="1" t="s">
        <v>187</v>
      </c>
      <c r="D75" s="1" t="s">
        <v>373</v>
      </c>
      <c r="F75" s="1" t="s">
        <v>382</v>
      </c>
      <c r="I75" s="1" t="s">
        <v>383</v>
      </c>
      <c r="K75" s="1" t="b">
        <v>1</v>
      </c>
    </row>
    <row r="76">
      <c r="A76" s="7" t="s">
        <v>384</v>
      </c>
      <c r="B76" s="7" t="s">
        <v>385</v>
      </c>
      <c r="C76" s="1" t="s">
        <v>187</v>
      </c>
      <c r="D76" s="1" t="s">
        <v>373</v>
      </c>
      <c r="F76" s="1" t="s">
        <v>376</v>
      </c>
      <c r="K76" s="1" t="b">
        <v>1</v>
      </c>
    </row>
    <row r="77">
      <c r="A77" s="7" t="s">
        <v>386</v>
      </c>
      <c r="B77" s="7" t="s">
        <v>387</v>
      </c>
      <c r="C77" s="1" t="s">
        <v>187</v>
      </c>
      <c r="D77" s="1" t="s">
        <v>373</v>
      </c>
      <c r="F77" s="1" t="s">
        <v>382</v>
      </c>
      <c r="I77" s="1" t="s">
        <v>388</v>
      </c>
      <c r="K77" s="1" t="b">
        <v>1</v>
      </c>
    </row>
    <row r="78">
      <c r="A78" s="7" t="s">
        <v>389</v>
      </c>
      <c r="B78" s="8" t="s">
        <v>390</v>
      </c>
      <c r="C78" s="1" t="s">
        <v>187</v>
      </c>
      <c r="D78" s="1" t="s">
        <v>373</v>
      </c>
      <c r="F78" s="1" t="s">
        <v>391</v>
      </c>
      <c r="I78" s="1" t="s">
        <v>392</v>
      </c>
      <c r="K78" s="1" t="b">
        <v>1</v>
      </c>
    </row>
    <row r="79">
      <c r="A79" s="7" t="s">
        <v>393</v>
      </c>
      <c r="B79" s="8" t="s">
        <v>394</v>
      </c>
      <c r="C79" s="1" t="s">
        <v>187</v>
      </c>
      <c r="D79" s="1" t="s">
        <v>373</v>
      </c>
      <c r="F79" s="1" t="s">
        <v>376</v>
      </c>
      <c r="I79" s="1" t="s">
        <v>395</v>
      </c>
      <c r="K79" s="1" t="b">
        <v>1</v>
      </c>
    </row>
    <row r="80">
      <c r="A80" s="7" t="s">
        <v>396</v>
      </c>
      <c r="B80" s="7" t="s">
        <v>397</v>
      </c>
      <c r="C80" s="1" t="s">
        <v>187</v>
      </c>
      <c r="D80" s="1" t="s">
        <v>373</v>
      </c>
      <c r="F80" s="1" t="s">
        <v>391</v>
      </c>
      <c r="I80" s="1" t="s">
        <v>398</v>
      </c>
      <c r="K80" s="1" t="b">
        <v>1</v>
      </c>
    </row>
    <row r="81">
      <c r="A81" s="7" t="s">
        <v>399</v>
      </c>
      <c r="B81" s="7" t="s">
        <v>400</v>
      </c>
      <c r="C81" s="1" t="s">
        <v>187</v>
      </c>
      <c r="D81" s="1" t="s">
        <v>373</v>
      </c>
      <c r="F81" s="1" t="s">
        <v>382</v>
      </c>
      <c r="I81" s="1" t="s">
        <v>401</v>
      </c>
      <c r="K81" s="1" t="b">
        <v>1</v>
      </c>
    </row>
    <row r="82">
      <c r="A82" s="7" t="s">
        <v>402</v>
      </c>
      <c r="B82" s="7" t="s">
        <v>94</v>
      </c>
      <c r="C82" s="1" t="s">
        <v>71</v>
      </c>
      <c r="D82" s="3">
        <v>2.0</v>
      </c>
      <c r="F82" s="1">
        <v>3.0</v>
      </c>
      <c r="I82" s="1" t="s">
        <v>404</v>
      </c>
      <c r="K82" s="1" t="b">
        <v>1</v>
      </c>
    </row>
    <row r="83">
      <c r="A83" s="7" t="s">
        <v>405</v>
      </c>
      <c r="B83" s="7" t="s">
        <v>406</v>
      </c>
      <c r="C83" s="1" t="s">
        <v>187</v>
      </c>
      <c r="D83" s="1" t="s">
        <v>407</v>
      </c>
      <c r="F83" s="1" t="s">
        <v>382</v>
      </c>
      <c r="I83" s="1" t="s">
        <v>408</v>
      </c>
      <c r="K83" s="1" t="b">
        <v>1</v>
      </c>
    </row>
    <row r="84">
      <c r="A84" s="7" t="s">
        <v>409</v>
      </c>
      <c r="B84" s="7" t="s">
        <v>410</v>
      </c>
      <c r="C84" s="1" t="s">
        <v>187</v>
      </c>
      <c r="D84" s="1" t="s">
        <v>407</v>
      </c>
      <c r="F84" s="1" t="s">
        <v>376</v>
      </c>
      <c r="I84" s="1" t="s">
        <v>411</v>
      </c>
      <c r="K84" s="1" t="b">
        <v>1</v>
      </c>
    </row>
    <row r="85">
      <c r="A85" s="7" t="s">
        <v>412</v>
      </c>
      <c r="B85" s="7" t="s">
        <v>413</v>
      </c>
      <c r="C85" s="1" t="s">
        <v>187</v>
      </c>
      <c r="D85" s="1" t="s">
        <v>407</v>
      </c>
      <c r="F85" s="1" t="s">
        <v>373</v>
      </c>
      <c r="I85" s="1" t="s">
        <v>414</v>
      </c>
      <c r="K85" s="1" t="b">
        <v>1</v>
      </c>
    </row>
    <row r="86">
      <c r="A86" s="7" t="s">
        <v>415</v>
      </c>
      <c r="B86" s="7" t="s">
        <v>416</v>
      </c>
      <c r="C86" s="1" t="s">
        <v>187</v>
      </c>
      <c r="D86" s="1" t="s">
        <v>407</v>
      </c>
      <c r="F86" s="1" t="s">
        <v>417</v>
      </c>
      <c r="I86" s="1" t="s">
        <v>418</v>
      </c>
      <c r="K86" s="1" t="b">
        <v>1</v>
      </c>
    </row>
    <row r="87">
      <c r="A87" s="7" t="s">
        <v>419</v>
      </c>
      <c r="B87" s="7" t="s">
        <v>420</v>
      </c>
      <c r="C87" s="1" t="s">
        <v>187</v>
      </c>
      <c r="D87" s="1" t="s">
        <v>407</v>
      </c>
      <c r="F87" s="1" t="s">
        <v>382</v>
      </c>
      <c r="I87" s="1" t="s">
        <v>421</v>
      </c>
      <c r="K87" s="1" t="b">
        <v>1</v>
      </c>
    </row>
    <row r="88">
      <c r="A88" s="7" t="s">
        <v>422</v>
      </c>
      <c r="B88" s="8" t="s">
        <v>423</v>
      </c>
      <c r="C88" s="1" t="s">
        <v>187</v>
      </c>
      <c r="D88" s="1" t="s">
        <v>407</v>
      </c>
      <c r="F88" s="1" t="s">
        <v>130</v>
      </c>
      <c r="J88" s="1" t="s">
        <v>147</v>
      </c>
      <c r="K88" s="15" t="b">
        <v>0</v>
      </c>
    </row>
    <row r="89">
      <c r="A89" s="7" t="s">
        <v>424</v>
      </c>
      <c r="B89" s="8" t="s">
        <v>425</v>
      </c>
      <c r="C89" s="1" t="s">
        <v>187</v>
      </c>
      <c r="D89" s="1" t="s">
        <v>407</v>
      </c>
      <c r="F89" s="1" t="s">
        <v>391</v>
      </c>
      <c r="J89" s="1" t="s">
        <v>147</v>
      </c>
      <c r="K89" s="15" t="b">
        <v>0</v>
      </c>
    </row>
    <row r="90">
      <c r="A90" s="7" t="s">
        <v>426</v>
      </c>
      <c r="B90" s="8" t="s">
        <v>427</v>
      </c>
      <c r="C90" s="1" t="s">
        <v>187</v>
      </c>
      <c r="D90" s="1" t="s">
        <v>407</v>
      </c>
      <c r="F90" s="1" t="s">
        <v>382</v>
      </c>
      <c r="I90" s="1" t="s">
        <v>428</v>
      </c>
      <c r="K90" s="1" t="b">
        <v>1</v>
      </c>
    </row>
    <row r="91">
      <c r="A91" s="7" t="s">
        <v>429</v>
      </c>
      <c r="B91" s="7" t="s">
        <v>430</v>
      </c>
      <c r="C91" s="1" t="s">
        <v>187</v>
      </c>
      <c r="D91" s="1" t="s">
        <v>407</v>
      </c>
      <c r="F91" s="1" t="s">
        <v>417</v>
      </c>
      <c r="I91" s="1" t="s">
        <v>431</v>
      </c>
      <c r="K91" s="1" t="b">
        <v>1</v>
      </c>
    </row>
    <row r="92">
      <c r="A92" s="7" t="s">
        <v>432</v>
      </c>
      <c r="B92" s="7" t="s">
        <v>433</v>
      </c>
      <c r="C92" s="1" t="s">
        <v>187</v>
      </c>
      <c r="D92" s="1" t="s">
        <v>407</v>
      </c>
      <c r="F92" s="1" t="s">
        <v>391</v>
      </c>
      <c r="I92" s="1" t="s">
        <v>434</v>
      </c>
      <c r="J92" s="1" t="s">
        <v>147</v>
      </c>
      <c r="K92" s="15" t="b">
        <v>0</v>
      </c>
    </row>
    <row r="93">
      <c r="A93" s="7" t="s">
        <v>436</v>
      </c>
      <c r="B93" s="7" t="s">
        <v>437</v>
      </c>
      <c r="C93" s="1" t="s">
        <v>105</v>
      </c>
      <c r="D93" s="3">
        <v>1.0</v>
      </c>
      <c r="E93" s="1" t="s">
        <v>40</v>
      </c>
      <c r="F93" s="1">
        <v>2.0</v>
      </c>
      <c r="H93" s="1" t="s">
        <v>438</v>
      </c>
      <c r="I93" s="1" t="s">
        <v>439</v>
      </c>
      <c r="K93" s="1" t="b">
        <v>1</v>
      </c>
    </row>
    <row r="94">
      <c r="A94" s="7" t="s">
        <v>440</v>
      </c>
      <c r="B94" s="7" t="s">
        <v>441</v>
      </c>
      <c r="C94" s="1" t="s">
        <v>187</v>
      </c>
      <c r="D94" s="1" t="s">
        <v>407</v>
      </c>
      <c r="F94" s="1" t="s">
        <v>130</v>
      </c>
      <c r="I94" s="1" t="s">
        <v>442</v>
      </c>
      <c r="K94" s="1" t="b">
        <v>1</v>
      </c>
    </row>
    <row r="95">
      <c r="A95" s="7" t="s">
        <v>443</v>
      </c>
      <c r="B95" s="7" t="s">
        <v>444</v>
      </c>
      <c r="C95" s="1" t="s">
        <v>187</v>
      </c>
      <c r="D95" s="1" t="s">
        <v>445</v>
      </c>
      <c r="F95" s="1" t="s">
        <v>417</v>
      </c>
      <c r="I95" s="1" t="s">
        <v>446</v>
      </c>
      <c r="K95" s="1" t="b">
        <v>1</v>
      </c>
    </row>
    <row r="96">
      <c r="A96" s="7" t="s">
        <v>448</v>
      </c>
      <c r="B96" s="7" t="s">
        <v>449</v>
      </c>
      <c r="C96" s="1" t="s">
        <v>187</v>
      </c>
      <c r="D96" s="1" t="s">
        <v>445</v>
      </c>
      <c r="F96" s="1" t="s">
        <v>382</v>
      </c>
      <c r="I96" s="1" t="s">
        <v>450</v>
      </c>
      <c r="K96" s="1" t="b">
        <v>1</v>
      </c>
    </row>
    <row r="97">
      <c r="A97" s="7" t="s">
        <v>451</v>
      </c>
      <c r="B97" s="7" t="s">
        <v>452</v>
      </c>
      <c r="C97" s="1" t="s">
        <v>187</v>
      </c>
      <c r="D97" s="1" t="s">
        <v>445</v>
      </c>
      <c r="F97" s="1" t="s">
        <v>391</v>
      </c>
      <c r="I97" s="1" t="s">
        <v>453</v>
      </c>
      <c r="K97" s="1" t="b">
        <v>1</v>
      </c>
    </row>
    <row r="98">
      <c r="A98" s="7" t="s">
        <v>454</v>
      </c>
      <c r="B98" s="7" t="s">
        <v>455</v>
      </c>
      <c r="C98" s="1" t="s">
        <v>187</v>
      </c>
      <c r="D98" s="1" t="s">
        <v>445</v>
      </c>
      <c r="F98" s="1" t="s">
        <v>130</v>
      </c>
      <c r="I98" s="1" t="s">
        <v>456</v>
      </c>
      <c r="K98" s="1" t="b">
        <v>1</v>
      </c>
    </row>
    <row r="99">
      <c r="A99" s="7" t="s">
        <v>457</v>
      </c>
      <c r="B99" s="7" t="s">
        <v>458</v>
      </c>
      <c r="C99" s="1" t="s">
        <v>187</v>
      </c>
      <c r="D99" s="1" t="s">
        <v>445</v>
      </c>
      <c r="F99" s="1" t="s">
        <v>391</v>
      </c>
      <c r="I99" s="1" t="s">
        <v>459</v>
      </c>
      <c r="K99" s="1" t="b">
        <v>1</v>
      </c>
    </row>
    <row r="100">
      <c r="A100" s="7" t="s">
        <v>460</v>
      </c>
      <c r="B100" s="8" t="s">
        <v>461</v>
      </c>
      <c r="C100" s="1" t="s">
        <v>47</v>
      </c>
      <c r="D100" s="11"/>
      <c r="K100" s="1" t="b">
        <v>1</v>
      </c>
    </row>
    <row r="101">
      <c r="A101" s="7" t="s">
        <v>462</v>
      </c>
      <c r="B101" s="8" t="s">
        <v>463</v>
      </c>
      <c r="C101" s="1" t="s">
        <v>47</v>
      </c>
      <c r="D101" s="11"/>
      <c r="K101" s="1" t="b">
        <v>1</v>
      </c>
    </row>
    <row r="102">
      <c r="A102" s="7" t="s">
        <v>464</v>
      </c>
      <c r="B102" s="8" t="s">
        <v>465</v>
      </c>
      <c r="C102" s="1" t="s">
        <v>47</v>
      </c>
      <c r="D102" s="11"/>
      <c r="K102" s="1" t="b">
        <v>1</v>
      </c>
    </row>
    <row r="103">
      <c r="A103" s="7" t="s">
        <v>466</v>
      </c>
      <c r="B103" s="8" t="s">
        <v>467</v>
      </c>
      <c r="C103" s="1" t="s">
        <v>47</v>
      </c>
      <c r="D103" s="11"/>
      <c r="K103" s="1" t="b">
        <v>1</v>
      </c>
    </row>
    <row r="104">
      <c r="A104" s="7" t="s">
        <v>468</v>
      </c>
      <c r="B104" s="7" t="s">
        <v>469</v>
      </c>
      <c r="C104" s="1" t="s">
        <v>128</v>
      </c>
      <c r="D104" s="3">
        <v>1.0</v>
      </c>
      <c r="E104" s="1" t="s">
        <v>40</v>
      </c>
      <c r="F104" s="1">
        <v>2.0</v>
      </c>
      <c r="H104" s="1" t="s">
        <v>84</v>
      </c>
      <c r="I104" s="1" t="s">
        <v>470</v>
      </c>
      <c r="K104" s="1" t="b">
        <v>1</v>
      </c>
    </row>
    <row r="105">
      <c r="A105" s="7" t="s">
        <v>471</v>
      </c>
      <c r="B105" s="7" t="s">
        <v>472</v>
      </c>
      <c r="C105" s="1" t="s">
        <v>59</v>
      </c>
      <c r="D105" s="3" t="s">
        <v>39</v>
      </c>
      <c r="E105" s="1" t="s">
        <v>40</v>
      </c>
      <c r="I105" s="1" t="s">
        <v>473</v>
      </c>
      <c r="K105" s="1" t="b">
        <v>1</v>
      </c>
    </row>
    <row r="106">
      <c r="A106" s="7" t="s">
        <v>474</v>
      </c>
      <c r="B106" s="7" t="s">
        <v>475</v>
      </c>
      <c r="C106" s="1" t="s">
        <v>128</v>
      </c>
      <c r="D106" s="3" t="s">
        <v>39</v>
      </c>
      <c r="E106" s="1" t="s">
        <v>40</v>
      </c>
      <c r="F106" s="1">
        <v>1.0</v>
      </c>
      <c r="G106" s="1" t="s">
        <v>200</v>
      </c>
      <c r="H106" s="1" t="s">
        <v>201</v>
      </c>
      <c r="I106" s="1" t="s">
        <v>476</v>
      </c>
      <c r="K106" s="1" t="b">
        <v>1</v>
      </c>
    </row>
    <row r="107">
      <c r="A107" s="7" t="s">
        <v>477</v>
      </c>
      <c r="B107" s="7" t="s">
        <v>478</v>
      </c>
      <c r="C107" s="1" t="s">
        <v>96</v>
      </c>
      <c r="D107" s="3">
        <v>1.0</v>
      </c>
      <c r="E107" s="1" t="s">
        <v>40</v>
      </c>
      <c r="F107" s="1">
        <v>2.0</v>
      </c>
      <c r="I107" s="1" t="s">
        <v>479</v>
      </c>
      <c r="K107" s="1" t="b">
        <v>1</v>
      </c>
    </row>
    <row r="108">
      <c r="A108" s="7" t="s">
        <v>481</v>
      </c>
      <c r="B108" s="7" t="s">
        <v>482</v>
      </c>
      <c r="C108" s="1" t="s">
        <v>59</v>
      </c>
      <c r="D108" s="3">
        <v>1.0</v>
      </c>
      <c r="E108" s="1" t="s">
        <v>40</v>
      </c>
      <c r="F108" s="1">
        <v>2.0</v>
      </c>
      <c r="H108" s="1" t="s">
        <v>69</v>
      </c>
      <c r="I108" s="1" t="s">
        <v>483</v>
      </c>
      <c r="K108" s="1" t="b">
        <v>1</v>
      </c>
    </row>
    <row r="109">
      <c r="A109" s="7" t="s">
        <v>484</v>
      </c>
      <c r="B109" s="7" t="s">
        <v>485</v>
      </c>
      <c r="C109" s="1" t="s">
        <v>59</v>
      </c>
      <c r="D109" s="3">
        <v>2.0</v>
      </c>
      <c r="F109" s="1">
        <v>2.0</v>
      </c>
      <c r="H109" s="1" t="s">
        <v>486</v>
      </c>
      <c r="I109" s="1" t="s">
        <v>487</v>
      </c>
      <c r="K109" s="1" t="b">
        <v>1</v>
      </c>
    </row>
    <row r="110">
      <c r="A110" s="7" t="s">
        <v>488</v>
      </c>
      <c r="B110" s="7" t="s">
        <v>141</v>
      </c>
      <c r="C110" s="1" t="s">
        <v>59</v>
      </c>
      <c r="D110" s="3">
        <v>2.0</v>
      </c>
      <c r="F110" s="1">
        <v>3.0</v>
      </c>
      <c r="H110" s="1" t="s">
        <v>489</v>
      </c>
      <c r="I110" s="1" t="s">
        <v>490</v>
      </c>
      <c r="K110" s="1" t="b">
        <v>1</v>
      </c>
    </row>
    <row r="111">
      <c r="A111" s="7" t="s">
        <v>491</v>
      </c>
      <c r="B111" s="7" t="s">
        <v>129</v>
      </c>
      <c r="C111" s="1" t="s">
        <v>128</v>
      </c>
      <c r="D111" s="3">
        <v>1.0</v>
      </c>
      <c r="E111" s="1" t="s">
        <v>40</v>
      </c>
      <c r="F111" s="1">
        <v>3.0</v>
      </c>
      <c r="H111" s="1" t="s">
        <v>492</v>
      </c>
      <c r="I111" s="1" t="s">
        <v>493</v>
      </c>
      <c r="K111" s="1" t="b">
        <v>1</v>
      </c>
    </row>
    <row r="112">
      <c r="A112" s="7" t="s">
        <v>494</v>
      </c>
      <c r="B112" s="8" t="s">
        <v>495</v>
      </c>
      <c r="C112" s="1" t="s">
        <v>128</v>
      </c>
      <c r="D112" s="3">
        <v>1.0</v>
      </c>
      <c r="E112" s="1" t="s">
        <v>40</v>
      </c>
      <c r="F112" s="1">
        <v>2.0</v>
      </c>
      <c r="H112" s="1" t="s">
        <v>84</v>
      </c>
      <c r="I112" s="1" t="s">
        <v>496</v>
      </c>
      <c r="K112" s="1" t="b">
        <v>1</v>
      </c>
    </row>
    <row r="113">
      <c r="A113" s="7" t="s">
        <v>497</v>
      </c>
      <c r="B113" s="8" t="s">
        <v>498</v>
      </c>
      <c r="C113" s="1" t="s">
        <v>105</v>
      </c>
      <c r="D113" s="3">
        <v>1.0</v>
      </c>
      <c r="E113" s="1" t="s">
        <v>40</v>
      </c>
      <c r="F113" s="1">
        <v>1.5</v>
      </c>
      <c r="H113" s="1" t="s">
        <v>271</v>
      </c>
      <c r="I113" s="1" t="s">
        <v>496</v>
      </c>
      <c r="K113" s="1" t="b">
        <v>1</v>
      </c>
    </row>
    <row r="114">
      <c r="A114" s="7" t="s">
        <v>499</v>
      </c>
      <c r="B114" s="8" t="s">
        <v>500</v>
      </c>
      <c r="C114" s="1" t="s">
        <v>80</v>
      </c>
      <c r="D114" s="3">
        <v>1.0</v>
      </c>
      <c r="E114" s="1" t="s">
        <v>40</v>
      </c>
      <c r="F114" s="1">
        <v>2.0</v>
      </c>
      <c r="I114" s="1" t="s">
        <v>496</v>
      </c>
      <c r="K114" s="1" t="b">
        <v>1</v>
      </c>
    </row>
    <row r="115">
      <c r="A115" s="7" t="s">
        <v>501</v>
      </c>
      <c r="B115" s="8" t="s">
        <v>502</v>
      </c>
      <c r="C115" s="1" t="s">
        <v>105</v>
      </c>
      <c r="D115" s="3">
        <v>1.0</v>
      </c>
      <c r="E115" s="1" t="s">
        <v>40</v>
      </c>
      <c r="F115" s="1">
        <v>1.5</v>
      </c>
      <c r="H115" s="1" t="s">
        <v>271</v>
      </c>
      <c r="I115" s="1" t="s">
        <v>503</v>
      </c>
      <c r="K115" s="1" t="b">
        <v>1</v>
      </c>
    </row>
    <row r="116">
      <c r="A116" s="7" t="s">
        <v>504</v>
      </c>
      <c r="B116" s="8" t="s">
        <v>505</v>
      </c>
      <c r="C116" s="1" t="s">
        <v>105</v>
      </c>
      <c r="D116" s="3">
        <v>1.0</v>
      </c>
      <c r="E116" s="1" t="s">
        <v>40</v>
      </c>
      <c r="F116" s="1">
        <v>2.0</v>
      </c>
      <c r="I116" s="1" t="s">
        <v>496</v>
      </c>
      <c r="K116" s="1" t="b">
        <v>1</v>
      </c>
    </row>
    <row r="117">
      <c r="A117" s="7" t="s">
        <v>506</v>
      </c>
      <c r="B117" s="8" t="s">
        <v>507</v>
      </c>
      <c r="C117" s="1" t="s">
        <v>128</v>
      </c>
      <c r="D117" s="3" t="s">
        <v>39</v>
      </c>
      <c r="E117" s="1" t="s">
        <v>40</v>
      </c>
      <c r="F117" s="1">
        <v>1.5</v>
      </c>
      <c r="G117" s="1" t="s">
        <v>200</v>
      </c>
      <c r="H117" s="1" t="s">
        <v>302</v>
      </c>
      <c r="I117" s="1" t="s">
        <v>496</v>
      </c>
      <c r="K117" s="1" t="b">
        <v>1</v>
      </c>
    </row>
    <row r="118">
      <c r="A118" s="7" t="s">
        <v>511</v>
      </c>
      <c r="B118" s="8" t="s">
        <v>513</v>
      </c>
      <c r="C118" s="1" t="s">
        <v>27</v>
      </c>
      <c r="D118" s="3" t="s">
        <v>39</v>
      </c>
      <c r="E118" s="1" t="s">
        <v>40</v>
      </c>
      <c r="F118" s="1">
        <v>1.0</v>
      </c>
      <c r="G118" s="1" t="s">
        <v>160</v>
      </c>
      <c r="H118" s="1" t="s">
        <v>201</v>
      </c>
      <c r="I118" s="1" t="s">
        <v>496</v>
      </c>
      <c r="K118" s="1" t="b">
        <v>1</v>
      </c>
    </row>
    <row r="119">
      <c r="A119" s="7" t="s">
        <v>514</v>
      </c>
      <c r="B119" s="8" t="s">
        <v>515</v>
      </c>
      <c r="C119" s="1" t="s">
        <v>59</v>
      </c>
      <c r="D119" s="3">
        <v>2.0</v>
      </c>
      <c r="F119" s="1">
        <v>2.0</v>
      </c>
      <c r="I119" s="1" t="s">
        <v>496</v>
      </c>
      <c r="K119" s="1" t="b">
        <v>1</v>
      </c>
    </row>
    <row r="120">
      <c r="A120" s="7" t="s">
        <v>516</v>
      </c>
      <c r="B120" s="8" t="s">
        <v>517</v>
      </c>
      <c r="C120" s="1" t="s">
        <v>128</v>
      </c>
      <c r="D120" s="3">
        <v>2.0</v>
      </c>
      <c r="F120" s="1">
        <v>3.0</v>
      </c>
      <c r="H120" s="1" t="s">
        <v>168</v>
      </c>
      <c r="I120" s="1" t="s">
        <v>496</v>
      </c>
      <c r="K120" s="1" t="b">
        <v>1</v>
      </c>
    </row>
    <row r="121">
      <c r="A121" s="7" t="s">
        <v>518</v>
      </c>
      <c r="B121" s="8" t="s">
        <v>519</v>
      </c>
      <c r="C121" s="1" t="s">
        <v>59</v>
      </c>
      <c r="D121" s="3" t="s">
        <v>39</v>
      </c>
      <c r="E121" s="1" t="s">
        <v>40</v>
      </c>
      <c r="F121" s="1">
        <v>1.0</v>
      </c>
      <c r="H121" s="1" t="s">
        <v>69</v>
      </c>
      <c r="I121" s="1" t="s">
        <v>496</v>
      </c>
      <c r="K121" s="1" t="b">
        <v>1</v>
      </c>
    </row>
    <row r="122">
      <c r="A122" s="7" t="s">
        <v>520</v>
      </c>
      <c r="B122" s="8" t="s">
        <v>521</v>
      </c>
      <c r="C122" s="1" t="s">
        <v>59</v>
      </c>
      <c r="D122" s="3" t="s">
        <v>39</v>
      </c>
      <c r="E122" s="1" t="s">
        <v>40</v>
      </c>
      <c r="G122" s="1" t="s">
        <v>41</v>
      </c>
      <c r="I122" s="1" t="s">
        <v>496</v>
      </c>
      <c r="K122" s="1" t="b">
        <v>1</v>
      </c>
    </row>
    <row r="123">
      <c r="A123" s="7" t="s">
        <v>522</v>
      </c>
      <c r="B123" s="8" t="s">
        <v>523</v>
      </c>
      <c r="C123" s="1" t="s">
        <v>128</v>
      </c>
      <c r="D123" s="3" t="s">
        <v>39</v>
      </c>
      <c r="E123" s="1" t="s">
        <v>40</v>
      </c>
      <c r="F123" s="1">
        <v>1.0</v>
      </c>
      <c r="G123" s="1" t="s">
        <v>200</v>
      </c>
      <c r="H123" s="1" t="s">
        <v>201</v>
      </c>
      <c r="I123" s="1" t="s">
        <v>496</v>
      </c>
      <c r="K123" s="1" t="b">
        <v>1</v>
      </c>
    </row>
    <row r="124">
      <c r="A124" s="7" t="s">
        <v>524</v>
      </c>
      <c r="B124" s="8" t="s">
        <v>525</v>
      </c>
      <c r="C124" s="1" t="s">
        <v>96</v>
      </c>
      <c r="D124" s="3">
        <v>1.0</v>
      </c>
      <c r="E124" s="1" t="s">
        <v>40</v>
      </c>
      <c r="F124" s="1">
        <v>2.0</v>
      </c>
      <c r="I124" s="1" t="s">
        <v>496</v>
      </c>
      <c r="K124" s="1" t="b">
        <v>1</v>
      </c>
    </row>
    <row r="125">
      <c r="A125" s="7" t="s">
        <v>526</v>
      </c>
      <c r="B125" s="8" t="s">
        <v>527</v>
      </c>
      <c r="C125" s="1" t="s">
        <v>59</v>
      </c>
      <c r="D125" s="3">
        <v>1.0</v>
      </c>
      <c r="E125" s="1" t="s">
        <v>40</v>
      </c>
      <c r="F125" s="1">
        <v>2.0</v>
      </c>
      <c r="H125" s="1" t="s">
        <v>69</v>
      </c>
      <c r="I125" s="1" t="s">
        <v>496</v>
      </c>
      <c r="K125" s="1" t="b">
        <v>1</v>
      </c>
    </row>
    <row r="126">
      <c r="A126" s="7" t="s">
        <v>528</v>
      </c>
      <c r="B126" s="7" t="s">
        <v>529</v>
      </c>
      <c r="C126" s="1" t="s">
        <v>80</v>
      </c>
      <c r="D126" s="3">
        <v>1.0</v>
      </c>
      <c r="E126" s="1" t="s">
        <v>40</v>
      </c>
      <c r="F126" s="1">
        <v>2.0</v>
      </c>
      <c r="I126" s="1" t="s">
        <v>530</v>
      </c>
      <c r="K126" s="1" t="b">
        <v>1</v>
      </c>
    </row>
    <row r="127">
      <c r="A127" s="7" t="s">
        <v>531</v>
      </c>
      <c r="B127" s="8" t="s">
        <v>532</v>
      </c>
      <c r="C127" s="1" t="s">
        <v>59</v>
      </c>
      <c r="D127" s="3">
        <v>2.0</v>
      </c>
      <c r="F127" s="1">
        <v>2.0</v>
      </c>
      <c r="H127" s="1" t="s">
        <v>486</v>
      </c>
      <c r="I127" s="1" t="s">
        <v>496</v>
      </c>
      <c r="K127" s="1" t="b">
        <v>1</v>
      </c>
    </row>
    <row r="128">
      <c r="A128" s="7" t="s">
        <v>534</v>
      </c>
      <c r="B128" s="8" t="s">
        <v>535</v>
      </c>
      <c r="C128" s="1" t="s">
        <v>59</v>
      </c>
      <c r="D128" s="3">
        <v>2.0</v>
      </c>
      <c r="F128" s="1">
        <v>3.0</v>
      </c>
      <c r="H128" s="1" t="s">
        <v>489</v>
      </c>
      <c r="I128" s="1" t="s">
        <v>496</v>
      </c>
      <c r="K128" s="1" t="b">
        <v>1</v>
      </c>
    </row>
    <row r="129">
      <c r="A129" s="7" t="s">
        <v>536</v>
      </c>
      <c r="B129" s="8" t="s">
        <v>537</v>
      </c>
      <c r="C129" s="1" t="s">
        <v>128</v>
      </c>
      <c r="D129" s="3">
        <v>1.0</v>
      </c>
      <c r="E129" s="1" t="s">
        <v>40</v>
      </c>
      <c r="F129" s="1">
        <v>3.0</v>
      </c>
      <c r="H129" s="1" t="s">
        <v>492</v>
      </c>
      <c r="I129" s="1" t="s">
        <v>496</v>
      </c>
      <c r="K129" s="1" t="b">
        <v>1</v>
      </c>
    </row>
    <row r="130">
      <c r="A130" s="7" t="s">
        <v>538</v>
      </c>
      <c r="B130" s="7" t="s">
        <v>539</v>
      </c>
      <c r="C130" s="1" t="s">
        <v>59</v>
      </c>
      <c r="D130" s="3">
        <v>2.0</v>
      </c>
      <c r="F130" s="1">
        <v>2.5</v>
      </c>
      <c r="H130" s="1" t="s">
        <v>540</v>
      </c>
      <c r="I130" s="1" t="s">
        <v>541</v>
      </c>
      <c r="K130" s="1" t="b">
        <v>1</v>
      </c>
    </row>
    <row r="131">
      <c r="A131" s="7" t="s">
        <v>542</v>
      </c>
      <c r="B131" s="7" t="s">
        <v>543</v>
      </c>
      <c r="C131" s="1" t="s">
        <v>128</v>
      </c>
      <c r="D131" s="3">
        <v>1.0</v>
      </c>
      <c r="E131" s="1" t="s">
        <v>40</v>
      </c>
      <c r="F131" s="1">
        <v>1.0</v>
      </c>
      <c r="I131" s="1" t="s">
        <v>544</v>
      </c>
      <c r="K131" s="1" t="b">
        <v>1</v>
      </c>
    </row>
    <row r="132">
      <c r="A132" s="7" t="s">
        <v>545</v>
      </c>
      <c r="B132" s="7" t="s">
        <v>546</v>
      </c>
      <c r="C132" s="1" t="s">
        <v>59</v>
      </c>
      <c r="D132" s="3">
        <v>1.0</v>
      </c>
      <c r="E132" s="1" t="s">
        <v>40</v>
      </c>
      <c r="F132" s="1">
        <v>2.0</v>
      </c>
      <c r="H132" s="1" t="s">
        <v>547</v>
      </c>
      <c r="I132" s="1" t="s">
        <v>548</v>
      </c>
      <c r="K132" s="1" t="b">
        <v>1</v>
      </c>
    </row>
    <row r="133">
      <c r="A133" s="7" t="s">
        <v>549</v>
      </c>
      <c r="B133" s="7" t="s">
        <v>550</v>
      </c>
      <c r="C133" s="1" t="s">
        <v>128</v>
      </c>
      <c r="D133" s="3">
        <v>1.0</v>
      </c>
      <c r="E133" s="1" t="s">
        <v>40</v>
      </c>
      <c r="F133" s="1">
        <v>1.0</v>
      </c>
      <c r="H133" s="1" t="s">
        <v>201</v>
      </c>
      <c r="I133" s="1" t="s">
        <v>551</v>
      </c>
      <c r="K133" s="1" t="b">
        <v>1</v>
      </c>
    </row>
    <row r="134">
      <c r="A134" s="7" t="s">
        <v>552</v>
      </c>
      <c r="B134" s="7" t="s">
        <v>553</v>
      </c>
      <c r="C134" s="1" t="s">
        <v>59</v>
      </c>
      <c r="D134" s="3">
        <v>1.0</v>
      </c>
      <c r="E134" s="1" t="s">
        <v>147</v>
      </c>
      <c r="H134" s="1" t="s">
        <v>69</v>
      </c>
      <c r="I134" s="1" t="s">
        <v>554</v>
      </c>
      <c r="K134" s="1" t="b">
        <v>1</v>
      </c>
    </row>
    <row r="135">
      <c r="A135" s="7" t="s">
        <v>555</v>
      </c>
      <c r="B135" s="7" t="s">
        <v>556</v>
      </c>
      <c r="C135" s="1" t="s">
        <v>128</v>
      </c>
      <c r="D135" s="3" t="s">
        <v>39</v>
      </c>
      <c r="E135" s="1" t="s">
        <v>40</v>
      </c>
      <c r="F135" s="1">
        <v>0.5</v>
      </c>
      <c r="G135" s="1" t="s">
        <v>200</v>
      </c>
      <c r="H135" s="1" t="s">
        <v>69</v>
      </c>
      <c r="I135" s="1" t="s">
        <v>558</v>
      </c>
      <c r="K135" s="1" t="b">
        <v>1</v>
      </c>
    </row>
    <row r="136">
      <c r="A136" s="7" t="s">
        <v>559</v>
      </c>
      <c r="B136" s="7" t="s">
        <v>560</v>
      </c>
      <c r="C136" s="1" t="s">
        <v>71</v>
      </c>
      <c r="D136" s="3">
        <v>1.0</v>
      </c>
      <c r="E136" s="1" t="s">
        <v>40</v>
      </c>
      <c r="F136" s="1">
        <v>1.0</v>
      </c>
      <c r="I136" s="1" t="s">
        <v>561</v>
      </c>
      <c r="K136" s="1" t="b">
        <v>1</v>
      </c>
    </row>
    <row r="137">
      <c r="A137" s="7" t="s">
        <v>562</v>
      </c>
      <c r="B137" s="7" t="s">
        <v>563</v>
      </c>
      <c r="C137" s="1" t="s">
        <v>105</v>
      </c>
      <c r="D137" s="3">
        <v>1.0</v>
      </c>
      <c r="E137" s="1" t="s">
        <v>40</v>
      </c>
      <c r="F137" s="1">
        <v>2.0</v>
      </c>
      <c r="I137" s="1" t="s">
        <v>564</v>
      </c>
      <c r="K137" s="1" t="b">
        <v>1</v>
      </c>
    </row>
    <row r="138">
      <c r="A138" s="7" t="s">
        <v>565</v>
      </c>
      <c r="B138" s="7" t="s">
        <v>566</v>
      </c>
      <c r="C138" s="1" t="s">
        <v>59</v>
      </c>
      <c r="D138" s="3">
        <v>1.0</v>
      </c>
      <c r="E138" s="1" t="s">
        <v>147</v>
      </c>
      <c r="I138" s="1" t="s">
        <v>567</v>
      </c>
      <c r="K138" s="1" t="b">
        <v>1</v>
      </c>
    </row>
    <row r="139">
      <c r="A139" s="7" t="s">
        <v>568</v>
      </c>
      <c r="B139" s="7" t="s">
        <v>569</v>
      </c>
      <c r="C139" s="1" t="s">
        <v>59</v>
      </c>
      <c r="D139" s="3">
        <v>1.0</v>
      </c>
      <c r="E139" s="1" t="s">
        <v>40</v>
      </c>
      <c r="F139" s="1">
        <v>1.0</v>
      </c>
      <c r="I139" s="1" t="s">
        <v>570</v>
      </c>
      <c r="K139" s="1" t="b">
        <v>1</v>
      </c>
    </row>
    <row r="140">
      <c r="A140" s="7" t="s">
        <v>571</v>
      </c>
      <c r="B140" s="7" t="s">
        <v>572</v>
      </c>
      <c r="C140" s="1" t="s">
        <v>128</v>
      </c>
      <c r="D140" s="3">
        <v>1.0</v>
      </c>
      <c r="E140" s="1" t="s">
        <v>40</v>
      </c>
      <c r="F140" s="1">
        <v>1.0</v>
      </c>
      <c r="H140" s="1" t="s">
        <v>201</v>
      </c>
      <c r="I140" s="1" t="s">
        <v>573</v>
      </c>
      <c r="K140" s="1" t="b">
        <v>1</v>
      </c>
    </row>
    <row r="141">
      <c r="A141" s="7" t="s">
        <v>574</v>
      </c>
      <c r="B141" s="7" t="s">
        <v>575</v>
      </c>
      <c r="C141" s="1" t="s">
        <v>71</v>
      </c>
      <c r="D141" s="3">
        <v>1.0</v>
      </c>
      <c r="E141" s="1" t="s">
        <v>40</v>
      </c>
      <c r="F141" s="1">
        <v>1.0</v>
      </c>
      <c r="H141" s="1" t="s">
        <v>84</v>
      </c>
      <c r="I141" s="1" t="s">
        <v>576</v>
      </c>
      <c r="K141" s="1" t="b">
        <v>1</v>
      </c>
    </row>
    <row r="142">
      <c r="A142" s="7" t="s">
        <v>577</v>
      </c>
      <c r="B142" s="7" t="s">
        <v>578</v>
      </c>
      <c r="C142" s="1" t="s">
        <v>80</v>
      </c>
      <c r="D142" s="3">
        <v>1.0</v>
      </c>
      <c r="E142" s="1" t="s">
        <v>40</v>
      </c>
      <c r="F142" s="1">
        <v>1.5</v>
      </c>
      <c r="H142" s="1" t="s">
        <v>201</v>
      </c>
      <c r="I142" s="1" t="s">
        <v>579</v>
      </c>
      <c r="K142" s="1" t="b">
        <v>1</v>
      </c>
    </row>
    <row r="143">
      <c r="A143" s="7" t="s">
        <v>580</v>
      </c>
      <c r="B143" s="7" t="s">
        <v>83</v>
      </c>
      <c r="C143" s="1" t="s">
        <v>71</v>
      </c>
      <c r="D143" s="3">
        <v>1.0</v>
      </c>
      <c r="E143" s="1" t="s">
        <v>40</v>
      </c>
      <c r="F143" s="1">
        <v>2.0</v>
      </c>
      <c r="H143" s="1" t="s">
        <v>168</v>
      </c>
      <c r="I143" s="1" t="s">
        <v>581</v>
      </c>
      <c r="K143" s="1" t="b">
        <v>1</v>
      </c>
    </row>
    <row r="144">
      <c r="A144" s="7" t="s">
        <v>582</v>
      </c>
      <c r="B144" s="7" t="s">
        <v>583</v>
      </c>
      <c r="C144" s="1" t="s">
        <v>96</v>
      </c>
      <c r="D144" s="3">
        <v>1.0</v>
      </c>
      <c r="E144" s="1" t="s">
        <v>40</v>
      </c>
      <c r="I144" s="1" t="s">
        <v>584</v>
      </c>
      <c r="K144" s="1" t="b">
        <v>1</v>
      </c>
    </row>
    <row r="145">
      <c r="A145" s="7" t="s">
        <v>585</v>
      </c>
      <c r="B145" s="7" t="s">
        <v>586</v>
      </c>
      <c r="C145" s="1" t="s">
        <v>128</v>
      </c>
      <c r="D145" s="3" t="s">
        <v>39</v>
      </c>
      <c r="E145" s="1" t="s">
        <v>40</v>
      </c>
      <c r="G145" s="1" t="s">
        <v>41</v>
      </c>
      <c r="H145" s="1"/>
      <c r="I145" s="1" t="s">
        <v>587</v>
      </c>
      <c r="K145" s="1" t="b">
        <v>1</v>
      </c>
    </row>
    <row r="146">
      <c r="A146" s="7" t="s">
        <v>588</v>
      </c>
      <c r="B146" s="7" t="s">
        <v>589</v>
      </c>
      <c r="C146" s="1" t="s">
        <v>59</v>
      </c>
      <c r="D146" s="3">
        <v>1.0</v>
      </c>
      <c r="E146" s="1" t="s">
        <v>147</v>
      </c>
      <c r="H146" s="1" t="s">
        <v>69</v>
      </c>
      <c r="I146" s="1" t="s">
        <v>590</v>
      </c>
      <c r="K146" s="1" t="b">
        <v>1</v>
      </c>
    </row>
    <row r="147">
      <c r="A147" s="7" t="s">
        <v>591</v>
      </c>
      <c r="B147" s="7" t="s">
        <v>592</v>
      </c>
      <c r="C147" s="1" t="s">
        <v>59</v>
      </c>
      <c r="D147" s="3" t="s">
        <v>39</v>
      </c>
      <c r="E147" s="1" t="s">
        <v>147</v>
      </c>
      <c r="I147" s="1" t="s">
        <v>593</v>
      </c>
      <c r="K147" s="1" t="b">
        <v>1</v>
      </c>
    </row>
    <row r="148">
      <c r="A148" s="7" t="s">
        <v>594</v>
      </c>
      <c r="B148" s="7" t="s">
        <v>595</v>
      </c>
      <c r="C148" s="1" t="s">
        <v>128</v>
      </c>
      <c r="D148" s="3" t="s">
        <v>39</v>
      </c>
      <c r="E148" s="1" t="s">
        <v>40</v>
      </c>
      <c r="F148" s="1">
        <v>1.5</v>
      </c>
      <c r="G148" s="1" t="s">
        <v>200</v>
      </c>
      <c r="H148" s="1" t="s">
        <v>302</v>
      </c>
      <c r="I148" s="1" t="s">
        <v>596</v>
      </c>
      <c r="K148" s="1" t="b">
        <v>1</v>
      </c>
    </row>
    <row r="149">
      <c r="A149" s="7" t="s">
        <v>597</v>
      </c>
      <c r="B149" s="7" t="s">
        <v>598</v>
      </c>
      <c r="C149" s="1" t="s">
        <v>71</v>
      </c>
      <c r="D149" s="3" t="s">
        <v>39</v>
      </c>
      <c r="E149" s="1" t="s">
        <v>147</v>
      </c>
      <c r="G149" s="1" t="s">
        <v>160</v>
      </c>
      <c r="H149" s="1" t="s">
        <v>201</v>
      </c>
      <c r="I149" s="1" t="s">
        <v>599</v>
      </c>
      <c r="K149" s="1" t="b">
        <v>1</v>
      </c>
    </row>
    <row r="150">
      <c r="A150" s="7" t="s">
        <v>600</v>
      </c>
      <c r="B150" s="7" t="s">
        <v>53</v>
      </c>
      <c r="C150" s="1" t="s">
        <v>128</v>
      </c>
      <c r="D150" s="3" t="s">
        <v>39</v>
      </c>
      <c r="E150" s="1" t="s">
        <v>147</v>
      </c>
      <c r="G150" s="1" t="s">
        <v>261</v>
      </c>
      <c r="H150" s="1" t="s">
        <v>29</v>
      </c>
      <c r="I150" s="1" t="s">
        <v>601</v>
      </c>
      <c r="K150" s="1" t="b">
        <v>1</v>
      </c>
    </row>
    <row r="151">
      <c r="A151" s="7" t="s">
        <v>602</v>
      </c>
      <c r="B151" s="7" t="s">
        <v>603</v>
      </c>
      <c r="C151" s="1" t="s">
        <v>59</v>
      </c>
      <c r="D151" s="3" t="s">
        <v>39</v>
      </c>
      <c r="E151" s="1" t="s">
        <v>147</v>
      </c>
      <c r="G151" s="1" t="s">
        <v>261</v>
      </c>
      <c r="H151" s="1"/>
      <c r="I151" s="1" t="s">
        <v>604</v>
      </c>
      <c r="K151" s="1" t="b">
        <v>1</v>
      </c>
    </row>
    <row r="152">
      <c r="A152" s="7" t="s">
        <v>605</v>
      </c>
      <c r="B152" s="7" t="s">
        <v>606</v>
      </c>
      <c r="C152" s="1" t="s">
        <v>96</v>
      </c>
      <c r="D152" s="3" t="s">
        <v>39</v>
      </c>
      <c r="E152" s="1" t="s">
        <v>147</v>
      </c>
      <c r="K152" s="1" t="b">
        <v>1</v>
      </c>
    </row>
    <row r="153">
      <c r="A153" s="7" t="s">
        <v>607</v>
      </c>
      <c r="B153" s="7" t="s">
        <v>608</v>
      </c>
      <c r="C153" s="1" t="s">
        <v>128</v>
      </c>
      <c r="D153" s="3" t="s">
        <v>39</v>
      </c>
      <c r="E153" s="1" t="s">
        <v>147</v>
      </c>
      <c r="G153" s="1" t="s">
        <v>160</v>
      </c>
      <c r="H153" s="1" t="s">
        <v>69</v>
      </c>
      <c r="I153" s="1" t="s">
        <v>609</v>
      </c>
      <c r="K153" s="1" t="b">
        <v>1</v>
      </c>
    </row>
    <row r="154">
      <c r="A154" s="7" t="s">
        <v>610</v>
      </c>
      <c r="B154" s="7" t="s">
        <v>611</v>
      </c>
      <c r="C154" s="1" t="s">
        <v>71</v>
      </c>
      <c r="D154" s="3" t="s">
        <v>39</v>
      </c>
      <c r="E154" s="1" t="s">
        <v>147</v>
      </c>
      <c r="G154" s="1" t="s">
        <v>40</v>
      </c>
      <c r="H154" s="1"/>
      <c r="I154" s="1" t="s">
        <v>612</v>
      </c>
      <c r="K154" s="1" t="b">
        <v>1</v>
      </c>
    </row>
    <row r="155">
      <c r="A155" s="7" t="s">
        <v>613</v>
      </c>
      <c r="B155" s="7" t="s">
        <v>614</v>
      </c>
      <c r="C155" s="1" t="s">
        <v>128</v>
      </c>
      <c r="D155" s="3" t="s">
        <v>39</v>
      </c>
      <c r="E155" s="1" t="s">
        <v>147</v>
      </c>
      <c r="G155" s="1" t="s">
        <v>261</v>
      </c>
      <c r="H155" s="1" t="s">
        <v>302</v>
      </c>
      <c r="I155" s="1" t="s">
        <v>615</v>
      </c>
      <c r="K155" s="1" t="b">
        <v>1</v>
      </c>
    </row>
    <row r="156">
      <c r="A156" s="7" t="s">
        <v>616</v>
      </c>
      <c r="B156" s="7" t="s">
        <v>618</v>
      </c>
      <c r="C156" s="1" t="s">
        <v>59</v>
      </c>
      <c r="D156" s="3" t="s">
        <v>39</v>
      </c>
      <c r="E156" s="1" t="s">
        <v>147</v>
      </c>
      <c r="G156" s="1" t="s">
        <v>41</v>
      </c>
      <c r="H156" s="1"/>
      <c r="I156" s="1" t="s">
        <v>619</v>
      </c>
      <c r="K156" s="1" t="b">
        <v>1</v>
      </c>
    </row>
    <row r="157">
      <c r="A157" s="7" t="s">
        <v>620</v>
      </c>
      <c r="B157" s="7" t="s">
        <v>621</v>
      </c>
      <c r="C157" s="1" t="s">
        <v>59</v>
      </c>
      <c r="D157" s="3" t="s">
        <v>39</v>
      </c>
      <c r="E157" s="1" t="s">
        <v>147</v>
      </c>
      <c r="G157" s="1" t="s">
        <v>160</v>
      </c>
      <c r="H157" s="1" t="s">
        <v>69</v>
      </c>
      <c r="I157" s="1" t="s">
        <v>622</v>
      </c>
      <c r="K157" s="1" t="b">
        <v>1</v>
      </c>
    </row>
    <row r="158">
      <c r="A158" s="7" t="s">
        <v>623</v>
      </c>
      <c r="B158" s="7" t="s">
        <v>624</v>
      </c>
      <c r="C158" s="1" t="s">
        <v>59</v>
      </c>
      <c r="D158" s="3" t="s">
        <v>39</v>
      </c>
      <c r="E158" s="1" t="s">
        <v>147</v>
      </c>
      <c r="I158" s="1" t="s">
        <v>625</v>
      </c>
      <c r="K158" s="1" t="b">
        <v>1</v>
      </c>
    </row>
    <row r="159">
      <c r="A159" s="7" t="s">
        <v>626</v>
      </c>
      <c r="B159" s="7" t="s">
        <v>627</v>
      </c>
      <c r="C159" s="1" t="s">
        <v>27</v>
      </c>
      <c r="D159" s="3" t="s">
        <v>39</v>
      </c>
      <c r="E159" s="1" t="s">
        <v>40</v>
      </c>
      <c r="F159" s="1">
        <v>1.0</v>
      </c>
      <c r="G159" s="1" t="s">
        <v>160</v>
      </c>
      <c r="H159" s="1" t="s">
        <v>201</v>
      </c>
      <c r="I159" s="1" t="s">
        <v>628</v>
      </c>
      <c r="K159" s="1" t="b">
        <v>1</v>
      </c>
    </row>
    <row r="160">
      <c r="A160" s="7" t="s">
        <v>629</v>
      </c>
      <c r="B160" s="8" t="s">
        <v>630</v>
      </c>
      <c r="C160" s="1" t="s">
        <v>105</v>
      </c>
      <c r="D160" s="3" t="s">
        <v>39</v>
      </c>
      <c r="E160" s="1" t="s">
        <v>147</v>
      </c>
      <c r="G160" s="1" t="s">
        <v>160</v>
      </c>
      <c r="H160" s="1" t="s">
        <v>271</v>
      </c>
      <c r="I160" s="1" t="s">
        <v>631</v>
      </c>
      <c r="K160" s="1" t="b">
        <v>1</v>
      </c>
    </row>
    <row r="161">
      <c r="A161" s="7" t="s">
        <v>632</v>
      </c>
      <c r="B161" s="7" t="s">
        <v>633</v>
      </c>
      <c r="C161" s="1" t="s">
        <v>71</v>
      </c>
      <c r="D161" s="3" t="s">
        <v>39</v>
      </c>
      <c r="E161" s="1" t="s">
        <v>147</v>
      </c>
      <c r="G161" s="1" t="s">
        <v>160</v>
      </c>
      <c r="H161" s="1" t="s">
        <v>201</v>
      </c>
      <c r="I161" s="1" t="s">
        <v>634</v>
      </c>
      <c r="K161" s="1" t="b">
        <v>1</v>
      </c>
    </row>
    <row r="162">
      <c r="A162" s="7" t="s">
        <v>635</v>
      </c>
      <c r="B162" s="7" t="s">
        <v>636</v>
      </c>
      <c r="C162" s="1" t="s">
        <v>128</v>
      </c>
      <c r="D162" s="3" t="s">
        <v>39</v>
      </c>
      <c r="E162" s="1" t="s">
        <v>147</v>
      </c>
      <c r="I162" s="1" t="s">
        <v>637</v>
      </c>
      <c r="K162" s="1" t="b">
        <v>1</v>
      </c>
    </row>
    <row r="163">
      <c r="A163" s="7" t="s">
        <v>638</v>
      </c>
      <c r="B163" s="7" t="s">
        <v>639</v>
      </c>
      <c r="C163" s="1" t="s">
        <v>59</v>
      </c>
      <c r="D163" s="3" t="s">
        <v>39</v>
      </c>
      <c r="E163" s="1" t="s">
        <v>147</v>
      </c>
      <c r="G163" s="1" t="s">
        <v>160</v>
      </c>
      <c r="H163" s="1" t="s">
        <v>69</v>
      </c>
      <c r="I163" s="1" t="s">
        <v>640</v>
      </c>
      <c r="K163" s="1" t="b">
        <v>1</v>
      </c>
    </row>
    <row r="164">
      <c r="A164" s="7" t="s">
        <v>641</v>
      </c>
      <c r="B164" s="8" t="s">
        <v>642</v>
      </c>
      <c r="C164" s="1" t="s">
        <v>187</v>
      </c>
      <c r="D164" s="3" t="s">
        <v>445</v>
      </c>
      <c r="F164" s="1" t="s">
        <v>376</v>
      </c>
      <c r="I164" s="1" t="s">
        <v>643</v>
      </c>
      <c r="K164" s="1" t="b">
        <v>1</v>
      </c>
    </row>
    <row r="165">
      <c r="A165" s="7" t="s">
        <v>644</v>
      </c>
      <c r="B165" s="7" t="s">
        <v>67</v>
      </c>
      <c r="C165" s="1" t="s">
        <v>59</v>
      </c>
      <c r="D165" s="3">
        <v>2.0</v>
      </c>
      <c r="F165" s="1">
        <v>2.0</v>
      </c>
      <c r="I165" s="1" t="s">
        <v>645</v>
      </c>
      <c r="K165" s="1" t="b">
        <v>1</v>
      </c>
    </row>
    <row r="166">
      <c r="A166" s="7" t="s">
        <v>646</v>
      </c>
      <c r="B166" s="7" t="s">
        <v>115</v>
      </c>
      <c r="C166" s="1" t="s">
        <v>128</v>
      </c>
      <c r="D166" s="3">
        <v>2.0</v>
      </c>
      <c r="F166" s="1">
        <v>3.0</v>
      </c>
      <c r="H166" s="1" t="s">
        <v>168</v>
      </c>
      <c r="I166" s="1" t="s">
        <v>647</v>
      </c>
      <c r="K166" s="1" t="b">
        <v>1</v>
      </c>
    </row>
    <row r="167">
      <c r="A167" s="7" t="s">
        <v>648</v>
      </c>
      <c r="B167" s="7" t="s">
        <v>649</v>
      </c>
      <c r="C167" s="1" t="s">
        <v>59</v>
      </c>
      <c r="D167" s="3" t="s">
        <v>39</v>
      </c>
      <c r="E167" s="1" t="s">
        <v>40</v>
      </c>
      <c r="F167" s="1">
        <v>1.0</v>
      </c>
      <c r="H167" s="1" t="s">
        <v>69</v>
      </c>
      <c r="I167" s="1" t="s">
        <v>650</v>
      </c>
      <c r="K167" s="1" t="b">
        <v>1</v>
      </c>
    </row>
    <row r="168">
      <c r="A168" s="7" t="s">
        <v>651</v>
      </c>
      <c r="B168" s="7" t="s">
        <v>73</v>
      </c>
      <c r="C168" s="1" t="s">
        <v>71</v>
      </c>
      <c r="D168" s="3">
        <v>1.0</v>
      </c>
      <c r="E168" s="1" t="s">
        <v>40</v>
      </c>
      <c r="F168" s="1">
        <v>3.0</v>
      </c>
      <c r="H168" s="1" t="s">
        <v>283</v>
      </c>
      <c r="I168" s="1" t="s">
        <v>652</v>
      </c>
      <c r="K168" s="1" t="b">
        <v>1</v>
      </c>
    </row>
    <row r="169">
      <c r="A169" s="7" t="s">
        <v>653</v>
      </c>
      <c r="B169" s="7" t="s">
        <v>654</v>
      </c>
      <c r="C169" s="1" t="s">
        <v>96</v>
      </c>
      <c r="D169" s="3" t="s">
        <v>39</v>
      </c>
      <c r="E169" s="1" t="s">
        <v>40</v>
      </c>
      <c r="F169" s="1">
        <v>1.0</v>
      </c>
      <c r="G169" s="1" t="s">
        <v>160</v>
      </c>
      <c r="H169" s="1" t="s">
        <v>69</v>
      </c>
      <c r="I169" s="1" t="s">
        <v>655</v>
      </c>
      <c r="K169" s="1" t="b">
        <v>1</v>
      </c>
    </row>
    <row r="170">
      <c r="A170" s="7" t="s">
        <v>656</v>
      </c>
      <c r="B170" s="8" t="s">
        <v>657</v>
      </c>
      <c r="C170" s="1" t="s">
        <v>105</v>
      </c>
      <c r="D170" s="3">
        <v>1.0</v>
      </c>
      <c r="E170" s="1" t="s">
        <v>40</v>
      </c>
      <c r="F170" s="1">
        <v>2.0</v>
      </c>
      <c r="H170" s="1" t="s">
        <v>658</v>
      </c>
      <c r="I170" s="1" t="s">
        <v>659</v>
      </c>
      <c r="K170" s="1" t="b">
        <v>1</v>
      </c>
    </row>
    <row r="171">
      <c r="A171" s="7" t="s">
        <v>660</v>
      </c>
      <c r="B171" s="7" t="s">
        <v>100</v>
      </c>
      <c r="C171" s="1" t="s">
        <v>80</v>
      </c>
      <c r="D171" s="3" t="s">
        <v>39</v>
      </c>
      <c r="E171" s="1" t="s">
        <v>40</v>
      </c>
      <c r="F171" s="1">
        <v>0.5</v>
      </c>
      <c r="G171" s="1" t="s">
        <v>130</v>
      </c>
      <c r="H171" s="1"/>
      <c r="I171" s="1" t="s">
        <v>661</v>
      </c>
      <c r="K171" s="1" t="b">
        <v>1</v>
      </c>
    </row>
    <row r="172">
      <c r="A172" s="7" t="s">
        <v>662</v>
      </c>
      <c r="B172" s="7" t="s">
        <v>86</v>
      </c>
      <c r="C172" s="1" t="s">
        <v>59</v>
      </c>
      <c r="D172" s="3">
        <v>1.0</v>
      </c>
      <c r="E172" s="1" t="s">
        <v>40</v>
      </c>
      <c r="F172" s="1">
        <v>2.0</v>
      </c>
      <c r="H172" s="1" t="s">
        <v>69</v>
      </c>
      <c r="I172" s="1" t="s">
        <v>663</v>
      </c>
      <c r="K172" s="1" t="b">
        <v>1</v>
      </c>
    </row>
    <row r="173">
      <c r="A173" s="7" t="s">
        <v>664</v>
      </c>
      <c r="B173" s="8" t="s">
        <v>665</v>
      </c>
      <c r="C173" s="1" t="s">
        <v>105</v>
      </c>
      <c r="D173" s="3">
        <v>1.0</v>
      </c>
      <c r="E173" s="1" t="s">
        <v>40</v>
      </c>
      <c r="F173" s="1">
        <v>2.0</v>
      </c>
      <c r="H173" s="1" t="s">
        <v>271</v>
      </c>
      <c r="I173" s="1" t="s">
        <v>666</v>
      </c>
      <c r="K173" s="1" t="b">
        <v>1</v>
      </c>
    </row>
    <row r="174">
      <c r="A174" s="7" t="s">
        <v>667</v>
      </c>
      <c r="B174" s="8" t="s">
        <v>109</v>
      </c>
      <c r="C174" s="1" t="s">
        <v>105</v>
      </c>
      <c r="D174" s="3" t="s">
        <v>39</v>
      </c>
      <c r="E174" s="1" t="s">
        <v>40</v>
      </c>
      <c r="F174" s="1">
        <v>2.0</v>
      </c>
      <c r="G174" s="1" t="s">
        <v>130</v>
      </c>
      <c r="H174" s="1" t="s">
        <v>271</v>
      </c>
      <c r="I174" s="1" t="s">
        <v>668</v>
      </c>
      <c r="K174" s="15" t="b">
        <v>0</v>
      </c>
    </row>
    <row r="175">
      <c r="A175" s="7" t="s">
        <v>669</v>
      </c>
      <c r="B175" s="8" t="s">
        <v>670</v>
      </c>
      <c r="C175" s="1" t="s">
        <v>71</v>
      </c>
      <c r="D175" s="3">
        <v>1.0</v>
      </c>
      <c r="E175" s="1" t="s">
        <v>40</v>
      </c>
      <c r="F175" s="1">
        <v>3.0</v>
      </c>
      <c r="H175" s="1" t="s">
        <v>283</v>
      </c>
      <c r="I175" s="1" t="s">
        <v>496</v>
      </c>
      <c r="K175" s="1" t="b">
        <v>1</v>
      </c>
    </row>
    <row r="176">
      <c r="A176" s="7" t="s">
        <v>671</v>
      </c>
      <c r="B176" s="8" t="s">
        <v>672</v>
      </c>
      <c r="C176" s="1" t="s">
        <v>96</v>
      </c>
      <c r="D176" s="3" t="s">
        <v>39</v>
      </c>
      <c r="E176" s="1" t="s">
        <v>40</v>
      </c>
      <c r="F176" s="1">
        <v>2.0</v>
      </c>
      <c r="G176" s="1" t="s">
        <v>130</v>
      </c>
      <c r="H176" s="1" t="s">
        <v>673</v>
      </c>
      <c r="I176" s="1" t="s">
        <v>496</v>
      </c>
      <c r="K176" s="1" t="b">
        <v>1</v>
      </c>
    </row>
    <row r="177">
      <c r="A177" s="7" t="s">
        <v>674</v>
      </c>
      <c r="B177" s="8" t="s">
        <v>675</v>
      </c>
      <c r="C177" s="1" t="s">
        <v>128</v>
      </c>
      <c r="D177" s="3" t="s">
        <v>39</v>
      </c>
      <c r="E177" s="1" t="s">
        <v>40</v>
      </c>
      <c r="F177" s="1">
        <v>0.5</v>
      </c>
      <c r="I177" s="1" t="s">
        <v>496</v>
      </c>
      <c r="K177" s="1" t="b">
        <v>1</v>
      </c>
    </row>
    <row r="178">
      <c r="A178" s="7" t="s">
        <v>676</v>
      </c>
      <c r="B178" s="8" t="s">
        <v>677</v>
      </c>
      <c r="C178" s="1" t="s">
        <v>128</v>
      </c>
      <c r="D178" s="3">
        <v>2.0</v>
      </c>
      <c r="F178" s="1">
        <v>3.0</v>
      </c>
      <c r="H178" s="1" t="s">
        <v>547</v>
      </c>
      <c r="I178" s="1" t="s">
        <v>496</v>
      </c>
      <c r="K178" s="1" t="b">
        <v>1</v>
      </c>
    </row>
    <row r="179">
      <c r="A179" s="7" t="s">
        <v>678</v>
      </c>
      <c r="B179" s="7" t="s">
        <v>118</v>
      </c>
      <c r="C179" s="1" t="s">
        <v>96</v>
      </c>
      <c r="D179" s="3" t="s">
        <v>39</v>
      </c>
      <c r="E179" s="1" t="s">
        <v>40</v>
      </c>
      <c r="F179" s="1">
        <v>2.0</v>
      </c>
      <c r="G179" s="1" t="s">
        <v>130</v>
      </c>
      <c r="H179" s="1" t="s">
        <v>673</v>
      </c>
      <c r="I179" s="1" t="s">
        <v>679</v>
      </c>
      <c r="K179" s="1" t="b">
        <v>1</v>
      </c>
    </row>
    <row r="180">
      <c r="A180" s="7" t="s">
        <v>680</v>
      </c>
      <c r="B180" s="8" t="s">
        <v>681</v>
      </c>
      <c r="C180" s="1" t="s">
        <v>27</v>
      </c>
      <c r="D180" s="3">
        <v>2.0</v>
      </c>
      <c r="F180" s="1">
        <v>3.0</v>
      </c>
      <c r="H180" s="1" t="s">
        <v>271</v>
      </c>
      <c r="I180" s="1" t="s">
        <v>496</v>
      </c>
      <c r="K180" s="1" t="b">
        <v>1</v>
      </c>
    </row>
    <row r="181">
      <c r="A181" s="7" t="s">
        <v>682</v>
      </c>
      <c r="B181" s="8" t="s">
        <v>683</v>
      </c>
      <c r="C181" s="1" t="s">
        <v>27</v>
      </c>
      <c r="D181" s="3">
        <v>1.0</v>
      </c>
      <c r="E181" s="1" t="s">
        <v>147</v>
      </c>
      <c r="F181" s="1">
        <v>1.5</v>
      </c>
      <c r="H181" s="1" t="s">
        <v>684</v>
      </c>
      <c r="I181" s="1" t="s">
        <v>496</v>
      </c>
      <c r="K181" s="1" t="b">
        <v>1</v>
      </c>
    </row>
    <row r="182">
      <c r="A182" s="7" t="s">
        <v>685</v>
      </c>
      <c r="B182" s="8" t="s">
        <v>686</v>
      </c>
      <c r="C182" s="1" t="s">
        <v>71</v>
      </c>
      <c r="D182" s="3" t="s">
        <v>39</v>
      </c>
      <c r="E182" s="1" t="s">
        <v>40</v>
      </c>
      <c r="F182" s="1">
        <v>1.0</v>
      </c>
      <c r="G182" s="1" t="s">
        <v>41</v>
      </c>
      <c r="H182" s="1" t="s">
        <v>687</v>
      </c>
      <c r="I182" s="1" t="s">
        <v>496</v>
      </c>
      <c r="K182" s="1" t="b">
        <v>1</v>
      </c>
    </row>
    <row r="183">
      <c r="A183" s="7" t="s">
        <v>688</v>
      </c>
      <c r="B183" s="8" t="s">
        <v>57</v>
      </c>
      <c r="C183" s="1" t="s">
        <v>27</v>
      </c>
      <c r="D183" s="3">
        <v>1.0</v>
      </c>
      <c r="E183" s="1" t="s">
        <v>40</v>
      </c>
      <c r="F183" s="1">
        <v>2.0</v>
      </c>
      <c r="H183" s="1" t="s">
        <v>271</v>
      </c>
      <c r="I183" s="1" t="s">
        <v>496</v>
      </c>
      <c r="K183" s="1" t="b">
        <v>1</v>
      </c>
    </row>
    <row r="184">
      <c r="A184" s="7" t="s">
        <v>690</v>
      </c>
      <c r="B184" s="8" t="s">
        <v>691</v>
      </c>
      <c r="C184" s="1" t="s">
        <v>71</v>
      </c>
      <c r="D184" s="3">
        <v>2.0</v>
      </c>
      <c r="F184" s="1">
        <v>2.0</v>
      </c>
      <c r="H184" s="1" t="s">
        <v>292</v>
      </c>
      <c r="I184" s="1" t="s">
        <v>496</v>
      </c>
      <c r="K184" s="1" t="b">
        <v>1</v>
      </c>
    </row>
    <row r="185">
      <c r="A185" s="7" t="s">
        <v>692</v>
      </c>
      <c r="B185" s="8" t="s">
        <v>693</v>
      </c>
      <c r="C185" s="1" t="s">
        <v>96</v>
      </c>
      <c r="D185" s="3" t="s">
        <v>39</v>
      </c>
      <c r="E185" s="1" t="s">
        <v>40</v>
      </c>
      <c r="F185" s="1">
        <v>1.0</v>
      </c>
      <c r="G185" s="1" t="s">
        <v>160</v>
      </c>
      <c r="H185" s="1" t="s">
        <v>69</v>
      </c>
      <c r="I185" s="1" t="s">
        <v>496</v>
      </c>
      <c r="K185" s="1" t="b">
        <v>1</v>
      </c>
    </row>
    <row r="186">
      <c r="A186" s="7" t="s">
        <v>694</v>
      </c>
      <c r="B186" s="8" t="s">
        <v>695</v>
      </c>
      <c r="C186" s="1" t="s">
        <v>105</v>
      </c>
      <c r="D186" s="3">
        <v>1.0</v>
      </c>
      <c r="E186" s="1" t="s">
        <v>40</v>
      </c>
      <c r="F186" s="1">
        <v>2.0</v>
      </c>
      <c r="H186" s="1" t="s">
        <v>84</v>
      </c>
      <c r="I186" s="1" t="s">
        <v>496</v>
      </c>
      <c r="K186" s="1" t="b">
        <v>1</v>
      </c>
    </row>
    <row r="187">
      <c r="A187" s="7" t="s">
        <v>696</v>
      </c>
      <c r="B187" s="8" t="s">
        <v>697</v>
      </c>
      <c r="C187" s="1" t="s">
        <v>80</v>
      </c>
      <c r="D187" s="3" t="s">
        <v>39</v>
      </c>
      <c r="E187" s="1" t="s">
        <v>40</v>
      </c>
      <c r="F187" s="1">
        <v>0.5</v>
      </c>
      <c r="G187" s="1" t="s">
        <v>130</v>
      </c>
      <c r="H187" s="1"/>
      <c r="I187" s="1" t="s">
        <v>496</v>
      </c>
      <c r="K187" s="1" t="b">
        <v>1</v>
      </c>
    </row>
    <row r="188">
      <c r="A188" s="7" t="s">
        <v>698</v>
      </c>
      <c r="B188" s="8" t="s">
        <v>699</v>
      </c>
      <c r="C188" s="1" t="s">
        <v>59</v>
      </c>
      <c r="D188" s="3">
        <v>1.0</v>
      </c>
      <c r="E188" s="1" t="s">
        <v>40</v>
      </c>
      <c r="F188" s="1">
        <v>2.0</v>
      </c>
      <c r="H188" s="1" t="s">
        <v>69</v>
      </c>
      <c r="I188" s="1" t="s">
        <v>496</v>
      </c>
      <c r="K188" s="1" t="b">
        <v>1</v>
      </c>
    </row>
    <row r="189">
      <c r="A189" s="7" t="s">
        <v>700</v>
      </c>
      <c r="B189" s="8" t="s">
        <v>701</v>
      </c>
      <c r="C189" s="1" t="s">
        <v>105</v>
      </c>
      <c r="D189" s="3">
        <v>1.0</v>
      </c>
      <c r="E189" s="1" t="s">
        <v>40</v>
      </c>
      <c r="F189" s="1">
        <v>2.0</v>
      </c>
      <c r="H189" s="1" t="s">
        <v>271</v>
      </c>
      <c r="I189" s="1" t="s">
        <v>496</v>
      </c>
      <c r="K189" s="1" t="b">
        <v>1</v>
      </c>
    </row>
    <row r="190">
      <c r="A190" s="7" t="s">
        <v>702</v>
      </c>
      <c r="B190" s="7" t="s">
        <v>703</v>
      </c>
      <c r="C190" s="1" t="s">
        <v>128</v>
      </c>
      <c r="D190" s="3" t="s">
        <v>39</v>
      </c>
      <c r="E190" s="1" t="s">
        <v>40</v>
      </c>
      <c r="F190" s="1">
        <v>0.5</v>
      </c>
      <c r="I190" s="1" t="s">
        <v>704</v>
      </c>
      <c r="K190" s="1" t="b">
        <v>1</v>
      </c>
    </row>
    <row r="191">
      <c r="A191" s="7" t="s">
        <v>705</v>
      </c>
      <c r="B191" s="8" t="s">
        <v>706</v>
      </c>
      <c r="C191" s="1" t="s">
        <v>105</v>
      </c>
      <c r="D191" s="3" t="s">
        <v>39</v>
      </c>
      <c r="E191" s="1" t="s">
        <v>40</v>
      </c>
      <c r="F191" s="1">
        <v>2.0</v>
      </c>
      <c r="G191" s="1" t="s">
        <v>130</v>
      </c>
      <c r="H191" s="1" t="s">
        <v>271</v>
      </c>
      <c r="I191" s="1" t="s">
        <v>496</v>
      </c>
      <c r="K191" s="15" t="b">
        <v>0</v>
      </c>
    </row>
    <row r="192">
      <c r="A192" s="7" t="s">
        <v>707</v>
      </c>
      <c r="B192" s="7" t="s">
        <v>708</v>
      </c>
      <c r="C192" s="1" t="s">
        <v>59</v>
      </c>
      <c r="D192" s="3">
        <v>1.0</v>
      </c>
      <c r="E192" s="1" t="s">
        <v>40</v>
      </c>
      <c r="F192" s="1">
        <v>1.5</v>
      </c>
      <c r="H192" s="1" t="s">
        <v>486</v>
      </c>
      <c r="I192" s="1" t="s">
        <v>709</v>
      </c>
      <c r="K192" s="1" t="b">
        <v>1</v>
      </c>
    </row>
    <row r="193">
      <c r="A193" s="7" t="s">
        <v>710</v>
      </c>
      <c r="B193" s="7" t="s">
        <v>711</v>
      </c>
      <c r="C193" s="1" t="s">
        <v>96</v>
      </c>
      <c r="D193" s="3">
        <v>1.0</v>
      </c>
      <c r="E193" s="1" t="s">
        <v>40</v>
      </c>
      <c r="F193" s="1">
        <v>2.0</v>
      </c>
      <c r="H193" s="1" t="s">
        <v>69</v>
      </c>
      <c r="I193" s="1" t="s">
        <v>712</v>
      </c>
      <c r="K193" s="1" t="b">
        <v>1</v>
      </c>
    </row>
    <row r="194">
      <c r="A194" s="7" t="s">
        <v>713</v>
      </c>
      <c r="B194" s="8" t="s">
        <v>714</v>
      </c>
      <c r="C194" s="1" t="s">
        <v>27</v>
      </c>
      <c r="D194" s="3" t="s">
        <v>39</v>
      </c>
      <c r="E194" s="1" t="s">
        <v>147</v>
      </c>
      <c r="G194" s="1" t="s">
        <v>261</v>
      </c>
      <c r="H194" s="1" t="s">
        <v>715</v>
      </c>
      <c r="I194" s="1" t="s">
        <v>716</v>
      </c>
      <c r="K194" s="1" t="b">
        <v>1</v>
      </c>
    </row>
    <row r="195">
      <c r="A195" s="7" t="s">
        <v>717</v>
      </c>
      <c r="B195" s="7" t="s">
        <v>718</v>
      </c>
      <c r="C195" s="1" t="s">
        <v>59</v>
      </c>
      <c r="D195" s="3">
        <v>1.0</v>
      </c>
      <c r="E195" s="1" t="s">
        <v>40</v>
      </c>
      <c r="F195" s="1">
        <v>1.0</v>
      </c>
      <c r="H195" s="1" t="s">
        <v>292</v>
      </c>
      <c r="I195" s="1" t="s">
        <v>719</v>
      </c>
      <c r="K195" s="1" t="b">
        <v>1</v>
      </c>
    </row>
    <row r="196">
      <c r="A196" s="7" t="s">
        <v>720</v>
      </c>
      <c r="B196" s="7" t="s">
        <v>721</v>
      </c>
      <c r="C196" s="1" t="s">
        <v>96</v>
      </c>
      <c r="D196" s="3">
        <v>1.0</v>
      </c>
      <c r="E196" s="1" t="s">
        <v>40</v>
      </c>
      <c r="F196" s="1">
        <v>1.5</v>
      </c>
      <c r="H196" s="1" t="s">
        <v>97</v>
      </c>
      <c r="I196" s="1" t="s">
        <v>722</v>
      </c>
      <c r="K196" s="1" t="b">
        <v>1</v>
      </c>
    </row>
    <row r="197">
      <c r="A197" s="7" t="s">
        <v>723</v>
      </c>
      <c r="B197" s="7" t="s">
        <v>724</v>
      </c>
      <c r="C197" s="1" t="s">
        <v>71</v>
      </c>
      <c r="D197" s="3">
        <v>2.0</v>
      </c>
      <c r="F197" s="1">
        <v>3.0</v>
      </c>
      <c r="H197" s="1" t="s">
        <v>84</v>
      </c>
      <c r="I197" s="1" t="s">
        <v>725</v>
      </c>
      <c r="K197" s="1" t="b">
        <v>1</v>
      </c>
    </row>
    <row r="198">
      <c r="A198" s="7" t="s">
        <v>726</v>
      </c>
      <c r="B198" s="7" t="s">
        <v>727</v>
      </c>
      <c r="C198" s="1" t="s">
        <v>71</v>
      </c>
      <c r="D198" s="3">
        <v>1.0</v>
      </c>
      <c r="E198" s="1" t="s">
        <v>147</v>
      </c>
      <c r="H198" s="1" t="s">
        <v>201</v>
      </c>
      <c r="I198" s="1" t="s">
        <v>728</v>
      </c>
      <c r="K198" s="1" t="b">
        <v>1</v>
      </c>
    </row>
    <row r="199">
      <c r="A199" s="7" t="s">
        <v>729</v>
      </c>
      <c r="B199" s="7" t="s">
        <v>730</v>
      </c>
      <c r="C199" s="1" t="s">
        <v>96</v>
      </c>
      <c r="D199" s="3">
        <v>1.0</v>
      </c>
      <c r="E199" s="1" t="s">
        <v>40</v>
      </c>
      <c r="I199" s="1" t="s">
        <v>731</v>
      </c>
      <c r="K199" s="1" t="b">
        <v>1</v>
      </c>
    </row>
    <row r="200">
      <c r="A200" s="7" t="s">
        <v>732</v>
      </c>
      <c r="B200" s="8" t="s">
        <v>733</v>
      </c>
      <c r="C200" s="1" t="s">
        <v>80</v>
      </c>
      <c r="D200" s="3" t="s">
        <v>39</v>
      </c>
      <c r="E200" s="1" t="s">
        <v>40</v>
      </c>
      <c r="F200" s="1">
        <v>1.0</v>
      </c>
      <c r="G200" s="1" t="s">
        <v>160</v>
      </c>
      <c r="H200" s="1" t="s">
        <v>684</v>
      </c>
      <c r="I200" s="1" t="s">
        <v>734</v>
      </c>
      <c r="K200" s="1" t="b">
        <v>1</v>
      </c>
    </row>
    <row r="201">
      <c r="A201" s="7" t="s">
        <v>735</v>
      </c>
      <c r="B201" s="7" t="s">
        <v>127</v>
      </c>
      <c r="C201" s="1" t="s">
        <v>128</v>
      </c>
      <c r="D201" s="3">
        <v>2.0</v>
      </c>
      <c r="F201" s="1">
        <v>3.0</v>
      </c>
      <c r="H201" s="1" t="s">
        <v>547</v>
      </c>
      <c r="I201" s="1" t="s">
        <v>736</v>
      </c>
      <c r="K201" s="1" t="b">
        <v>1</v>
      </c>
    </row>
    <row r="202">
      <c r="A202" s="7" t="s">
        <v>737</v>
      </c>
      <c r="B202" s="7" t="s">
        <v>117</v>
      </c>
      <c r="C202" s="1" t="s">
        <v>96</v>
      </c>
      <c r="D202" s="3">
        <v>2.0</v>
      </c>
      <c r="F202" s="1">
        <v>2.0</v>
      </c>
      <c r="I202" s="1" t="s">
        <v>738</v>
      </c>
      <c r="K202" s="1" t="b">
        <v>1</v>
      </c>
    </row>
    <row r="203">
      <c r="A203" s="7" t="s">
        <v>739</v>
      </c>
      <c r="B203" s="7" t="s">
        <v>740</v>
      </c>
      <c r="C203" s="1" t="s">
        <v>71</v>
      </c>
      <c r="D203" s="3">
        <v>1.0</v>
      </c>
      <c r="E203" s="1" t="s">
        <v>40</v>
      </c>
      <c r="F203" s="1">
        <v>1.0</v>
      </c>
      <c r="I203" s="1" t="s">
        <v>741</v>
      </c>
      <c r="K203" s="1" t="b">
        <v>1</v>
      </c>
    </row>
    <row r="204">
      <c r="A204" s="7" t="s">
        <v>742</v>
      </c>
      <c r="B204" s="7" t="s">
        <v>743</v>
      </c>
      <c r="C204" s="1" t="s">
        <v>96</v>
      </c>
      <c r="D204" s="3">
        <v>1.0</v>
      </c>
      <c r="E204" s="1" t="s">
        <v>40</v>
      </c>
      <c r="F204" s="1">
        <v>1.0</v>
      </c>
      <c r="H204" s="1" t="s">
        <v>201</v>
      </c>
      <c r="I204" s="1" t="s">
        <v>744</v>
      </c>
      <c r="K204" s="1" t="b">
        <v>1</v>
      </c>
    </row>
    <row r="205">
      <c r="A205" s="7" t="s">
        <v>745</v>
      </c>
      <c r="B205" s="7" t="s">
        <v>746</v>
      </c>
      <c r="C205" s="1" t="s">
        <v>27</v>
      </c>
      <c r="D205" s="3">
        <v>1.0</v>
      </c>
      <c r="E205" s="1" t="s">
        <v>40</v>
      </c>
      <c r="F205" s="1">
        <v>1.5</v>
      </c>
      <c r="H205" s="1" t="s">
        <v>29</v>
      </c>
      <c r="I205" s="1" t="s">
        <v>747</v>
      </c>
      <c r="K205" s="1" t="b">
        <v>1</v>
      </c>
    </row>
    <row r="206">
      <c r="A206" s="7" t="s">
        <v>748</v>
      </c>
      <c r="B206" s="7" t="s">
        <v>557</v>
      </c>
      <c r="C206" s="1" t="s">
        <v>96</v>
      </c>
      <c r="D206" s="3">
        <v>1.0</v>
      </c>
      <c r="E206" s="1" t="s">
        <v>40</v>
      </c>
      <c r="F206" s="1">
        <v>1.5</v>
      </c>
      <c r="H206" s="1" t="s">
        <v>69</v>
      </c>
      <c r="I206" s="1" t="s">
        <v>749</v>
      </c>
      <c r="K206" s="1" t="b">
        <v>1</v>
      </c>
    </row>
    <row r="207">
      <c r="A207" s="7" t="s">
        <v>750</v>
      </c>
      <c r="B207" s="7" t="s">
        <v>60</v>
      </c>
      <c r="C207" s="1" t="s">
        <v>59</v>
      </c>
      <c r="D207" s="3">
        <v>1.0</v>
      </c>
      <c r="E207" s="1" t="s">
        <v>40</v>
      </c>
      <c r="F207" s="1">
        <v>2.0</v>
      </c>
      <c r="H207" s="1" t="s">
        <v>69</v>
      </c>
      <c r="I207" s="1" t="s">
        <v>751</v>
      </c>
      <c r="K207" s="15" t="b">
        <v>0</v>
      </c>
    </row>
    <row r="208">
      <c r="A208" s="7" t="s">
        <v>752</v>
      </c>
      <c r="B208" s="7" t="s">
        <v>753</v>
      </c>
      <c r="C208" s="1" t="s">
        <v>59</v>
      </c>
      <c r="D208" s="3" t="s">
        <v>39</v>
      </c>
      <c r="E208" s="1" t="s">
        <v>147</v>
      </c>
      <c r="G208" s="1" t="s">
        <v>261</v>
      </c>
      <c r="H208" s="1" t="s">
        <v>69</v>
      </c>
      <c r="I208" s="1" t="s">
        <v>754</v>
      </c>
      <c r="K208" s="1" t="b">
        <v>1</v>
      </c>
    </row>
    <row r="209">
      <c r="A209" s="7" t="s">
        <v>755</v>
      </c>
      <c r="B209" s="7" t="s">
        <v>756</v>
      </c>
      <c r="C209" s="1" t="s">
        <v>71</v>
      </c>
      <c r="D209" s="3" t="s">
        <v>39</v>
      </c>
      <c r="E209" s="1" t="s">
        <v>147</v>
      </c>
      <c r="I209" s="1" t="s">
        <v>757</v>
      </c>
      <c r="K209" s="1" t="b">
        <v>1</v>
      </c>
    </row>
    <row r="210">
      <c r="A210" s="7" t="s">
        <v>758</v>
      </c>
      <c r="B210" s="7" t="s">
        <v>759</v>
      </c>
      <c r="C210" s="1" t="s">
        <v>59</v>
      </c>
      <c r="D210" s="3" t="s">
        <v>39</v>
      </c>
      <c r="E210" s="1" t="s">
        <v>147</v>
      </c>
      <c r="G210" s="1" t="s">
        <v>160</v>
      </c>
      <c r="H210" s="1" t="s">
        <v>69</v>
      </c>
      <c r="I210" s="1" t="s">
        <v>760</v>
      </c>
      <c r="K210" s="1" t="b">
        <v>1</v>
      </c>
    </row>
    <row r="211">
      <c r="A211" s="7" t="s">
        <v>761</v>
      </c>
      <c r="B211" s="7" t="s">
        <v>762</v>
      </c>
      <c r="C211" s="1" t="s">
        <v>96</v>
      </c>
      <c r="D211" s="3" t="s">
        <v>39</v>
      </c>
      <c r="E211" s="1" t="s">
        <v>147</v>
      </c>
      <c r="G211" s="1" t="s">
        <v>261</v>
      </c>
      <c r="H211" s="1" t="s">
        <v>201</v>
      </c>
      <c r="I211" s="1" t="s">
        <v>763</v>
      </c>
      <c r="K211" s="1" t="b">
        <v>1</v>
      </c>
    </row>
    <row r="212">
      <c r="A212" s="7" t="s">
        <v>764</v>
      </c>
      <c r="B212" s="7" t="s">
        <v>88</v>
      </c>
      <c r="C212" s="1" t="s">
        <v>27</v>
      </c>
      <c r="D212" s="3">
        <v>2.0</v>
      </c>
      <c r="F212" s="1">
        <v>3.0</v>
      </c>
      <c r="H212" s="1" t="s">
        <v>271</v>
      </c>
      <c r="I212" s="1" t="s">
        <v>765</v>
      </c>
      <c r="K212" s="1" t="b">
        <v>1</v>
      </c>
    </row>
    <row r="213">
      <c r="A213" s="7" t="s">
        <v>766</v>
      </c>
      <c r="B213" s="7" t="s">
        <v>767</v>
      </c>
      <c r="C213" s="1" t="s">
        <v>71</v>
      </c>
      <c r="D213" s="3">
        <v>1.0</v>
      </c>
      <c r="E213" s="1" t="s">
        <v>147</v>
      </c>
      <c r="H213" s="1" t="s">
        <v>201</v>
      </c>
      <c r="I213" s="1" t="s">
        <v>768</v>
      </c>
      <c r="K213" s="1" t="b">
        <v>1</v>
      </c>
    </row>
    <row r="214">
      <c r="A214" s="7" t="s">
        <v>769</v>
      </c>
      <c r="B214" s="7" t="s">
        <v>770</v>
      </c>
      <c r="C214" s="1" t="s">
        <v>96</v>
      </c>
      <c r="D214" s="3" t="s">
        <v>39</v>
      </c>
      <c r="E214" s="1" t="s">
        <v>147</v>
      </c>
      <c r="I214" s="1" t="s">
        <v>771</v>
      </c>
      <c r="K214" s="1" t="b">
        <v>1</v>
      </c>
    </row>
    <row r="215">
      <c r="A215" s="7" t="s">
        <v>772</v>
      </c>
      <c r="B215" s="7" t="s">
        <v>773</v>
      </c>
      <c r="C215" s="1" t="s">
        <v>96</v>
      </c>
      <c r="D215" s="3">
        <v>1.0</v>
      </c>
      <c r="E215" s="1" t="s">
        <v>147</v>
      </c>
      <c r="I215" s="1" t="s">
        <v>774</v>
      </c>
      <c r="K215" s="1" t="b">
        <v>1</v>
      </c>
    </row>
    <row r="216">
      <c r="A216" s="7" t="s">
        <v>776</v>
      </c>
      <c r="B216" s="7" t="s">
        <v>777</v>
      </c>
      <c r="C216" s="1" t="s">
        <v>96</v>
      </c>
      <c r="D216" s="3" t="s">
        <v>39</v>
      </c>
      <c r="E216" s="1" t="s">
        <v>147</v>
      </c>
      <c r="I216" s="1" t="s">
        <v>778</v>
      </c>
      <c r="K216" s="1" t="b">
        <v>1</v>
      </c>
    </row>
    <row r="217">
      <c r="A217" s="7" t="s">
        <v>779</v>
      </c>
      <c r="B217" s="7" t="s">
        <v>780</v>
      </c>
      <c r="C217" s="1" t="s">
        <v>96</v>
      </c>
      <c r="D217" s="3" t="s">
        <v>39</v>
      </c>
      <c r="E217" s="1" t="s">
        <v>147</v>
      </c>
      <c r="H217" s="1" t="s">
        <v>684</v>
      </c>
      <c r="I217" s="1" t="s">
        <v>781</v>
      </c>
      <c r="K217" s="1" t="b">
        <v>1</v>
      </c>
    </row>
    <row r="218">
      <c r="A218" s="7" t="s">
        <v>782</v>
      </c>
      <c r="B218" s="7" t="s">
        <v>783</v>
      </c>
      <c r="C218" s="1" t="s">
        <v>27</v>
      </c>
      <c r="D218" s="3" t="s">
        <v>39</v>
      </c>
      <c r="E218" s="1" t="s">
        <v>147</v>
      </c>
      <c r="H218" s="1" t="s">
        <v>292</v>
      </c>
      <c r="I218" s="1" t="s">
        <v>784</v>
      </c>
      <c r="K218" s="1" t="b">
        <v>1</v>
      </c>
    </row>
    <row r="219">
      <c r="A219" s="7" t="s">
        <v>785</v>
      </c>
      <c r="B219" s="7" t="s">
        <v>512</v>
      </c>
      <c r="C219" s="1" t="s">
        <v>96</v>
      </c>
      <c r="D219" s="3" t="s">
        <v>39</v>
      </c>
      <c r="E219" s="1" t="s">
        <v>147</v>
      </c>
      <c r="G219" s="1" t="s">
        <v>40</v>
      </c>
      <c r="H219" s="1" t="s">
        <v>168</v>
      </c>
      <c r="I219" s="1" t="s">
        <v>786</v>
      </c>
      <c r="K219" s="1" t="b">
        <v>1</v>
      </c>
    </row>
    <row r="220">
      <c r="A220" s="7" t="s">
        <v>787</v>
      </c>
      <c r="B220" s="7" t="s">
        <v>788</v>
      </c>
      <c r="C220" s="1" t="s">
        <v>59</v>
      </c>
      <c r="D220" s="3" t="s">
        <v>39</v>
      </c>
      <c r="E220" s="1" t="s">
        <v>147</v>
      </c>
      <c r="G220" s="1" t="s">
        <v>261</v>
      </c>
      <c r="H220" s="1" t="s">
        <v>789</v>
      </c>
      <c r="I220" s="1" t="s">
        <v>790</v>
      </c>
      <c r="K220" s="1" t="b">
        <v>1</v>
      </c>
    </row>
    <row r="221">
      <c r="A221" s="15" t="s">
        <v>791</v>
      </c>
      <c r="B221" s="15" t="s">
        <v>792</v>
      </c>
      <c r="C221" s="1" t="s">
        <v>187</v>
      </c>
      <c r="D221" s="3" t="s">
        <v>407</v>
      </c>
      <c r="F221" s="1" t="s">
        <v>793</v>
      </c>
      <c r="I221" s="1" t="s">
        <v>794</v>
      </c>
      <c r="J221" s="1" t="s">
        <v>147</v>
      </c>
      <c r="K221" s="1" t="b">
        <v>0</v>
      </c>
    </row>
    <row r="222">
      <c r="A222" s="15" t="s">
        <v>795</v>
      </c>
      <c r="B222" s="15" t="s">
        <v>796</v>
      </c>
      <c r="C222" s="1" t="s">
        <v>187</v>
      </c>
      <c r="D222" s="3" t="s">
        <v>445</v>
      </c>
      <c r="F222" s="1" t="s">
        <v>376</v>
      </c>
      <c r="I222" s="1" t="s">
        <v>797</v>
      </c>
      <c r="K222" s="1" t="b">
        <v>1</v>
      </c>
    </row>
    <row r="223">
      <c r="A223" s="7" t="s">
        <v>798</v>
      </c>
      <c r="B223" s="8" t="s">
        <v>143</v>
      </c>
      <c r="C223" s="1" t="s">
        <v>27</v>
      </c>
      <c r="D223" s="3">
        <v>1.0</v>
      </c>
      <c r="E223" s="1" t="s">
        <v>147</v>
      </c>
      <c r="F223" s="1">
        <v>1.5</v>
      </c>
      <c r="H223" s="1" t="s">
        <v>684</v>
      </c>
      <c r="I223" s="1" t="s">
        <v>799</v>
      </c>
      <c r="K223" s="1" t="b">
        <v>1</v>
      </c>
    </row>
    <row r="224">
      <c r="A224" s="15" t="s">
        <v>800</v>
      </c>
      <c r="B224" s="15" t="s">
        <v>801</v>
      </c>
      <c r="C224" s="1" t="s">
        <v>187</v>
      </c>
      <c r="D224" s="3" t="s">
        <v>445</v>
      </c>
      <c r="F224" s="1" t="s">
        <v>417</v>
      </c>
      <c r="I224" s="1" t="s">
        <v>802</v>
      </c>
      <c r="K224" s="1" t="b">
        <v>1</v>
      </c>
    </row>
    <row r="225">
      <c r="A225" s="15" t="s">
        <v>803</v>
      </c>
      <c r="B225" s="15" t="s">
        <v>804</v>
      </c>
      <c r="C225" s="1" t="s">
        <v>187</v>
      </c>
      <c r="D225" s="3" t="s">
        <v>445</v>
      </c>
      <c r="F225" s="1" t="s">
        <v>391</v>
      </c>
      <c r="I225" s="1" t="s">
        <v>805</v>
      </c>
      <c r="K225" s="1" t="b">
        <v>1</v>
      </c>
    </row>
    <row r="226">
      <c r="A226" s="15" t="s">
        <v>806</v>
      </c>
      <c r="B226" s="15" t="s">
        <v>807</v>
      </c>
      <c r="C226" s="1" t="s">
        <v>187</v>
      </c>
      <c r="D226" s="3" t="s">
        <v>445</v>
      </c>
      <c r="F226" s="1" t="s">
        <v>261</v>
      </c>
      <c r="I226" s="1" t="s">
        <v>808</v>
      </c>
      <c r="K226" s="1" t="b">
        <v>1</v>
      </c>
    </row>
    <row r="227">
      <c r="A227" s="7" t="s">
        <v>809</v>
      </c>
      <c r="B227" s="7" t="s">
        <v>70</v>
      </c>
      <c r="C227" s="1" t="s">
        <v>71</v>
      </c>
      <c r="D227" s="3" t="s">
        <v>39</v>
      </c>
      <c r="E227" s="1" t="s">
        <v>40</v>
      </c>
      <c r="F227" s="1">
        <v>1.0</v>
      </c>
      <c r="G227" s="1" t="s">
        <v>41</v>
      </c>
      <c r="H227" s="1" t="s">
        <v>687</v>
      </c>
      <c r="I227" s="1" t="s">
        <v>810</v>
      </c>
      <c r="K227" s="1" t="b">
        <v>1</v>
      </c>
    </row>
    <row r="228">
      <c r="A228" s="7" t="s">
        <v>811</v>
      </c>
      <c r="B228" s="7" t="s">
        <v>812</v>
      </c>
      <c r="C228" s="1" t="s">
        <v>27</v>
      </c>
      <c r="D228" s="3">
        <v>1.0</v>
      </c>
      <c r="E228" s="1" t="s">
        <v>40</v>
      </c>
      <c r="F228" s="1">
        <v>2.0</v>
      </c>
      <c r="H228" s="1" t="s">
        <v>271</v>
      </c>
      <c r="I228" s="1" t="s">
        <v>813</v>
      </c>
      <c r="K228" s="1" t="b">
        <v>1</v>
      </c>
    </row>
    <row r="229">
      <c r="A229" s="7" t="s">
        <v>814</v>
      </c>
      <c r="B229" s="7" t="s">
        <v>815</v>
      </c>
      <c r="C229" s="1" t="s">
        <v>71</v>
      </c>
      <c r="D229" s="3">
        <v>2.0</v>
      </c>
      <c r="F229" s="1">
        <v>2.0</v>
      </c>
      <c r="H229" s="1" t="s">
        <v>292</v>
      </c>
      <c r="I229" s="1" t="s">
        <v>816</v>
      </c>
      <c r="K229" s="1" t="b">
        <v>1</v>
      </c>
    </row>
    <row r="230">
      <c r="A230" s="7" t="s">
        <v>817</v>
      </c>
      <c r="B230" s="7" t="s">
        <v>103</v>
      </c>
      <c r="C230" s="1" t="s">
        <v>27</v>
      </c>
      <c r="D230" s="3">
        <v>2.0</v>
      </c>
      <c r="F230" s="1">
        <v>3.0</v>
      </c>
      <c r="H230" s="1" t="s">
        <v>168</v>
      </c>
      <c r="I230" s="1" t="s">
        <v>818</v>
      </c>
      <c r="K230" s="1" t="b">
        <v>1</v>
      </c>
    </row>
    <row r="231">
      <c r="A231" s="7" t="s">
        <v>819</v>
      </c>
      <c r="B231" s="7" t="s">
        <v>131</v>
      </c>
      <c r="C231" s="1" t="s">
        <v>71</v>
      </c>
      <c r="D231" s="3">
        <v>2.0</v>
      </c>
      <c r="F231" s="1">
        <v>2.0</v>
      </c>
      <c r="H231" s="1" t="s">
        <v>168</v>
      </c>
      <c r="I231" s="1" t="s">
        <v>820</v>
      </c>
      <c r="K231" s="1" t="b">
        <v>1</v>
      </c>
    </row>
    <row r="232">
      <c r="A232" s="7" t="s">
        <v>821</v>
      </c>
      <c r="B232" s="7" t="s">
        <v>822</v>
      </c>
      <c r="C232" s="1" t="s">
        <v>105</v>
      </c>
      <c r="D232" s="3">
        <v>1.0</v>
      </c>
      <c r="E232" s="1" t="s">
        <v>40</v>
      </c>
      <c r="F232" s="1">
        <v>2.0</v>
      </c>
      <c r="H232" s="1" t="s">
        <v>97</v>
      </c>
      <c r="I232" s="1" t="s">
        <v>823</v>
      </c>
      <c r="K232" s="1" t="b">
        <v>1</v>
      </c>
    </row>
    <row r="233">
      <c r="A233" s="7" t="s">
        <v>824</v>
      </c>
      <c r="B233" s="7" t="s">
        <v>825</v>
      </c>
      <c r="C233" s="1" t="s">
        <v>27</v>
      </c>
      <c r="D233" s="3">
        <v>1.0</v>
      </c>
      <c r="E233" s="1" t="s">
        <v>40</v>
      </c>
      <c r="F233" s="1">
        <v>1.0</v>
      </c>
      <c r="H233" s="1" t="s">
        <v>292</v>
      </c>
      <c r="I233" s="1" t="s">
        <v>826</v>
      </c>
      <c r="K233" s="1" t="b">
        <v>1</v>
      </c>
    </row>
    <row r="234">
      <c r="A234" s="7" t="s">
        <v>827</v>
      </c>
      <c r="B234" s="7" t="s">
        <v>120</v>
      </c>
      <c r="C234" s="1" t="s">
        <v>59</v>
      </c>
      <c r="D234" s="3">
        <v>2.0</v>
      </c>
      <c r="F234" s="1">
        <v>2.0</v>
      </c>
      <c r="H234" s="1" t="s">
        <v>828</v>
      </c>
      <c r="I234" s="1" t="s">
        <v>829</v>
      </c>
      <c r="K234" s="1" t="b">
        <v>1</v>
      </c>
    </row>
    <row r="235">
      <c r="A235" s="7" t="s">
        <v>830</v>
      </c>
      <c r="B235" s="7" t="s">
        <v>831</v>
      </c>
      <c r="C235" s="1" t="s">
        <v>59</v>
      </c>
      <c r="D235" s="3">
        <v>1.0</v>
      </c>
      <c r="E235" s="1" t="s">
        <v>40</v>
      </c>
      <c r="F235" s="1">
        <v>2.0</v>
      </c>
      <c r="H235" s="1" t="s">
        <v>438</v>
      </c>
      <c r="I235" s="1" t="s">
        <v>832</v>
      </c>
      <c r="K235" s="1" t="b">
        <v>1</v>
      </c>
    </row>
    <row r="236">
      <c r="A236" s="1" t="s">
        <v>833</v>
      </c>
      <c r="B236" s="1" t="s">
        <v>834</v>
      </c>
      <c r="C236" s="1" t="s">
        <v>187</v>
      </c>
      <c r="D236" s="3" t="s">
        <v>373</v>
      </c>
      <c r="F236" s="1" t="s">
        <v>382</v>
      </c>
      <c r="K236" s="1" t="b">
        <v>1</v>
      </c>
    </row>
    <row r="237">
      <c r="A237" s="1" t="s">
        <v>835</v>
      </c>
      <c r="B237" s="1" t="s">
        <v>836</v>
      </c>
      <c r="C237" s="1" t="s">
        <v>187</v>
      </c>
      <c r="D237" s="3" t="s">
        <v>373</v>
      </c>
      <c r="F237" s="1" t="s">
        <v>382</v>
      </c>
      <c r="I237" s="1" t="s">
        <v>837</v>
      </c>
      <c r="K237" s="1" t="b">
        <v>1</v>
      </c>
    </row>
    <row r="238">
      <c r="A238" s="7" t="s">
        <v>838</v>
      </c>
      <c r="B238" s="7" t="s">
        <v>839</v>
      </c>
      <c r="C238" s="1" t="s">
        <v>47</v>
      </c>
      <c r="D238" s="11"/>
      <c r="K238" s="1" t="b">
        <v>1</v>
      </c>
    </row>
    <row r="239">
      <c r="A239" s="7" t="s">
        <v>840</v>
      </c>
      <c r="B239" s="8" t="s">
        <v>841</v>
      </c>
      <c r="C239" s="1" t="s">
        <v>27</v>
      </c>
      <c r="D239" s="3">
        <v>2.0</v>
      </c>
      <c r="F239" s="1">
        <v>3.0</v>
      </c>
      <c r="H239" s="1" t="s">
        <v>168</v>
      </c>
      <c r="I239" s="1" t="s">
        <v>818</v>
      </c>
      <c r="K239" s="1" t="b">
        <v>1</v>
      </c>
    </row>
    <row r="240">
      <c r="A240" s="7" t="s">
        <v>842</v>
      </c>
      <c r="B240" s="8" t="s">
        <v>843</v>
      </c>
      <c r="C240" s="1" t="s">
        <v>59</v>
      </c>
      <c r="D240" s="3">
        <v>1.0</v>
      </c>
      <c r="E240" s="1" t="s">
        <v>40</v>
      </c>
      <c r="F240" s="1">
        <v>2.0</v>
      </c>
      <c r="H240" s="1" t="s">
        <v>844</v>
      </c>
      <c r="I240" s="1" t="s">
        <v>845</v>
      </c>
      <c r="K240" s="1" t="b">
        <v>1</v>
      </c>
    </row>
    <row r="241">
      <c r="A241" s="7" t="s">
        <v>846</v>
      </c>
      <c r="B241" s="7" t="s">
        <v>847</v>
      </c>
      <c r="C241" s="1" t="s">
        <v>59</v>
      </c>
      <c r="D241" s="3">
        <v>1.0</v>
      </c>
      <c r="E241" s="1" t="s">
        <v>40</v>
      </c>
      <c r="F241" s="1">
        <v>2.0</v>
      </c>
      <c r="H241" s="1" t="s">
        <v>844</v>
      </c>
      <c r="I241" s="1" t="s">
        <v>845</v>
      </c>
      <c r="K241" s="1" t="b">
        <v>1</v>
      </c>
    </row>
    <row r="242">
      <c r="A242" s="7" t="s">
        <v>848</v>
      </c>
      <c r="B242" s="8" t="s">
        <v>849</v>
      </c>
      <c r="C242" s="1" t="s">
        <v>96</v>
      </c>
      <c r="D242" s="3">
        <v>2.0</v>
      </c>
      <c r="F242" s="1">
        <v>3.0</v>
      </c>
      <c r="H242" s="1" t="s">
        <v>850</v>
      </c>
      <c r="I242" s="1" t="s">
        <v>851</v>
      </c>
      <c r="K242" s="1" t="b">
        <v>1</v>
      </c>
    </row>
    <row r="243">
      <c r="A243" s="7" t="s">
        <v>852</v>
      </c>
      <c r="B243" s="8" t="s">
        <v>853</v>
      </c>
      <c r="C243" s="1" t="s">
        <v>80</v>
      </c>
      <c r="D243" s="3">
        <v>2.0</v>
      </c>
      <c r="F243" s="1">
        <v>3.0</v>
      </c>
      <c r="H243" s="1" t="s">
        <v>84</v>
      </c>
      <c r="I243" s="1" t="s">
        <v>854</v>
      </c>
      <c r="K243" s="1" t="b">
        <v>1</v>
      </c>
    </row>
    <row r="244">
      <c r="A244" s="7" t="s">
        <v>855</v>
      </c>
      <c r="B244" s="8" t="s">
        <v>856</v>
      </c>
      <c r="C244" s="1" t="s">
        <v>128</v>
      </c>
      <c r="D244" s="3">
        <v>2.0</v>
      </c>
      <c r="F244" s="1">
        <v>2.0</v>
      </c>
      <c r="H244" s="1" t="s">
        <v>84</v>
      </c>
      <c r="I244" s="1" t="s">
        <v>857</v>
      </c>
      <c r="K244" s="1" t="b">
        <v>1</v>
      </c>
    </row>
    <row r="245">
      <c r="A245" s="7" t="s">
        <v>858</v>
      </c>
      <c r="B245" s="8" t="s">
        <v>859</v>
      </c>
      <c r="C245" s="1" t="s">
        <v>71</v>
      </c>
      <c r="D245" s="3">
        <v>1.0</v>
      </c>
      <c r="E245" s="1" t="s">
        <v>40</v>
      </c>
      <c r="F245" s="1">
        <v>2.0</v>
      </c>
      <c r="H245" s="1" t="s">
        <v>168</v>
      </c>
      <c r="I245" s="1" t="s">
        <v>861</v>
      </c>
      <c r="K245" s="1" t="b">
        <v>1</v>
      </c>
    </row>
    <row r="246">
      <c r="A246" s="7" t="s">
        <v>862</v>
      </c>
      <c r="B246" s="8" t="s">
        <v>863</v>
      </c>
      <c r="C246" s="1" t="s">
        <v>59</v>
      </c>
      <c r="D246" s="3">
        <v>1.0</v>
      </c>
      <c r="E246" s="1" t="s">
        <v>40</v>
      </c>
      <c r="F246" s="1">
        <v>1.5</v>
      </c>
      <c r="H246" s="1" t="s">
        <v>271</v>
      </c>
      <c r="I246" s="1" t="s">
        <v>864</v>
      </c>
      <c r="K246" s="1" t="b">
        <v>1</v>
      </c>
    </row>
    <row r="247">
      <c r="A247" s="7" t="s">
        <v>865</v>
      </c>
      <c r="B247" s="8" t="s">
        <v>866</v>
      </c>
      <c r="C247" s="1" t="s">
        <v>96</v>
      </c>
      <c r="D247" s="3">
        <v>1.0</v>
      </c>
      <c r="E247" s="1" t="s">
        <v>40</v>
      </c>
      <c r="F247" s="1">
        <v>2.0</v>
      </c>
      <c r="H247" s="1" t="s">
        <v>438</v>
      </c>
      <c r="I247" s="1" t="s">
        <v>867</v>
      </c>
      <c r="K247" s="1" t="b">
        <v>1</v>
      </c>
    </row>
    <row r="248">
      <c r="A248" s="7" t="s">
        <v>868</v>
      </c>
      <c r="B248" s="8" t="s">
        <v>869</v>
      </c>
      <c r="C248" s="1" t="s">
        <v>27</v>
      </c>
      <c r="D248" s="3">
        <v>1.0</v>
      </c>
      <c r="E248" s="1" t="s">
        <v>40</v>
      </c>
      <c r="F248" s="1">
        <v>2.0</v>
      </c>
      <c r="H248" s="1" t="s">
        <v>84</v>
      </c>
      <c r="I248" s="1" t="s">
        <v>870</v>
      </c>
      <c r="K248" s="1" t="b">
        <v>1</v>
      </c>
    </row>
    <row r="249">
      <c r="A249" s="7" t="s">
        <v>871</v>
      </c>
      <c r="B249" s="8" t="s">
        <v>872</v>
      </c>
      <c r="C249" s="1" t="s">
        <v>71</v>
      </c>
      <c r="D249" s="3">
        <v>2.0</v>
      </c>
      <c r="F249" s="1">
        <v>2.0</v>
      </c>
      <c r="H249" s="1" t="s">
        <v>168</v>
      </c>
      <c r="I249" s="1" t="s">
        <v>820</v>
      </c>
      <c r="K249" s="1" t="b">
        <v>1</v>
      </c>
    </row>
    <row r="250">
      <c r="A250" s="7" t="s">
        <v>873</v>
      </c>
      <c r="B250" s="8" t="s">
        <v>403</v>
      </c>
      <c r="C250" s="1" t="s">
        <v>105</v>
      </c>
      <c r="D250" s="3">
        <v>1.0</v>
      </c>
      <c r="E250" s="1" t="s">
        <v>40</v>
      </c>
      <c r="F250" s="1">
        <v>2.0</v>
      </c>
      <c r="H250" s="1" t="s">
        <v>97</v>
      </c>
      <c r="I250" s="1" t="s">
        <v>823</v>
      </c>
      <c r="K250" s="1" t="b">
        <v>1</v>
      </c>
    </row>
    <row r="251">
      <c r="A251" s="7" t="s">
        <v>874</v>
      </c>
      <c r="B251" s="8" t="s">
        <v>875</v>
      </c>
      <c r="C251" s="1" t="s">
        <v>27</v>
      </c>
      <c r="D251" s="3">
        <v>1.0</v>
      </c>
      <c r="E251" s="1" t="s">
        <v>40</v>
      </c>
      <c r="F251" s="1">
        <v>1.0</v>
      </c>
      <c r="H251" s="1" t="s">
        <v>292</v>
      </c>
      <c r="I251" s="1" t="s">
        <v>826</v>
      </c>
      <c r="K251" s="1" t="b">
        <v>1</v>
      </c>
    </row>
    <row r="252">
      <c r="A252" s="7" t="s">
        <v>876</v>
      </c>
      <c r="B252" s="7" t="s">
        <v>145</v>
      </c>
      <c r="C252" s="1" t="s">
        <v>96</v>
      </c>
      <c r="D252" s="3">
        <v>2.0</v>
      </c>
      <c r="F252" s="1">
        <v>3.0</v>
      </c>
      <c r="H252" s="1" t="s">
        <v>850</v>
      </c>
      <c r="I252" s="1" t="s">
        <v>851</v>
      </c>
      <c r="K252" s="1" t="b">
        <v>1</v>
      </c>
    </row>
    <row r="253">
      <c r="A253" s="7" t="s">
        <v>877</v>
      </c>
      <c r="B253" s="8" t="s">
        <v>878</v>
      </c>
      <c r="C253" s="1" t="s">
        <v>59</v>
      </c>
      <c r="D253" s="3">
        <v>2.0</v>
      </c>
      <c r="F253" s="1">
        <v>2.0</v>
      </c>
      <c r="H253" s="1" t="s">
        <v>828</v>
      </c>
      <c r="I253" s="1" t="s">
        <v>829</v>
      </c>
      <c r="K253" s="1" t="b">
        <v>1</v>
      </c>
    </row>
    <row r="254">
      <c r="A254" s="7" t="s">
        <v>879</v>
      </c>
      <c r="B254" s="8" t="s">
        <v>880</v>
      </c>
      <c r="C254" s="1" t="s">
        <v>59</v>
      </c>
      <c r="D254" s="3">
        <v>1.0</v>
      </c>
      <c r="E254" s="1" t="s">
        <v>40</v>
      </c>
      <c r="F254" s="1">
        <v>2.0</v>
      </c>
      <c r="H254" s="1" t="s">
        <v>438</v>
      </c>
      <c r="I254" s="1" t="s">
        <v>832</v>
      </c>
      <c r="K254" s="1" t="b">
        <v>1</v>
      </c>
    </row>
    <row r="255">
      <c r="A255" s="7" t="s">
        <v>881</v>
      </c>
      <c r="B255" s="7" t="s">
        <v>882</v>
      </c>
      <c r="C255" s="1" t="s">
        <v>80</v>
      </c>
      <c r="D255" s="3">
        <v>1.0</v>
      </c>
      <c r="E255" s="1" t="s">
        <v>147</v>
      </c>
      <c r="F255" s="1">
        <v>0.5</v>
      </c>
      <c r="H255" s="1" t="s">
        <v>84</v>
      </c>
      <c r="I255" s="1" t="s">
        <v>883</v>
      </c>
      <c r="K255" s="1" t="b">
        <v>1</v>
      </c>
    </row>
    <row r="256">
      <c r="A256" s="7" t="s">
        <v>884</v>
      </c>
      <c r="B256" s="7" t="s">
        <v>885</v>
      </c>
      <c r="C256" s="1" t="s">
        <v>128</v>
      </c>
      <c r="D256" s="3">
        <v>1.0</v>
      </c>
      <c r="E256" s="1" t="s">
        <v>147</v>
      </c>
      <c r="F256" s="1">
        <v>1.0</v>
      </c>
      <c r="H256" s="1" t="s">
        <v>302</v>
      </c>
      <c r="I256" s="1" t="s">
        <v>886</v>
      </c>
      <c r="K256" s="1" t="b">
        <v>1</v>
      </c>
    </row>
    <row r="257">
      <c r="A257" s="7" t="s">
        <v>887</v>
      </c>
      <c r="B257" s="7" t="s">
        <v>888</v>
      </c>
      <c r="C257" s="1" t="s">
        <v>105</v>
      </c>
      <c r="D257" s="3">
        <v>1.0</v>
      </c>
      <c r="E257" s="1" t="s">
        <v>40</v>
      </c>
      <c r="F257" s="1">
        <v>1.0</v>
      </c>
      <c r="H257" s="1" t="s">
        <v>302</v>
      </c>
      <c r="I257" s="1" t="s">
        <v>889</v>
      </c>
      <c r="K257" s="1" t="b">
        <v>1</v>
      </c>
    </row>
    <row r="258">
      <c r="A258" s="7" t="s">
        <v>890</v>
      </c>
      <c r="B258" s="7" t="s">
        <v>251</v>
      </c>
      <c r="C258" s="1" t="s">
        <v>80</v>
      </c>
      <c r="D258" s="3">
        <v>1.0</v>
      </c>
      <c r="E258" s="1" t="s">
        <v>40</v>
      </c>
      <c r="F258" s="1">
        <v>1.5</v>
      </c>
      <c r="I258" s="1" t="s">
        <v>891</v>
      </c>
      <c r="K258" s="1" t="b">
        <v>1</v>
      </c>
    </row>
    <row r="259">
      <c r="A259" s="7" t="s">
        <v>892</v>
      </c>
      <c r="B259" s="7" t="s">
        <v>893</v>
      </c>
      <c r="C259" s="1" t="s">
        <v>59</v>
      </c>
      <c r="D259" s="3">
        <v>1.0</v>
      </c>
      <c r="E259" s="1" t="s">
        <v>147</v>
      </c>
      <c r="H259" s="1" t="s">
        <v>69</v>
      </c>
      <c r="I259" s="1" t="s">
        <v>894</v>
      </c>
      <c r="K259" s="1" t="b">
        <v>1</v>
      </c>
    </row>
    <row r="260">
      <c r="A260" s="7" t="s">
        <v>895</v>
      </c>
      <c r="B260" s="7" t="s">
        <v>896</v>
      </c>
      <c r="C260" s="1" t="s">
        <v>96</v>
      </c>
      <c r="D260" s="3">
        <v>1.0</v>
      </c>
      <c r="E260" s="1" t="s">
        <v>40</v>
      </c>
      <c r="F260" s="1">
        <v>1.5</v>
      </c>
      <c r="H260" s="1" t="s">
        <v>84</v>
      </c>
      <c r="I260" s="1" t="s">
        <v>897</v>
      </c>
      <c r="K260" s="1" t="b">
        <v>1</v>
      </c>
    </row>
    <row r="261">
      <c r="A261" s="7" t="s">
        <v>898</v>
      </c>
      <c r="B261" s="7" t="s">
        <v>193</v>
      </c>
      <c r="C261" s="1" t="s">
        <v>105</v>
      </c>
      <c r="D261" s="3">
        <v>1.0</v>
      </c>
      <c r="E261" s="1" t="s">
        <v>40</v>
      </c>
      <c r="F261" s="1">
        <v>2.0</v>
      </c>
      <c r="H261" s="1" t="s">
        <v>899</v>
      </c>
      <c r="I261" s="1" t="s">
        <v>900</v>
      </c>
      <c r="K261" s="1" t="b">
        <v>1</v>
      </c>
    </row>
    <row r="262">
      <c r="A262" s="7" t="s">
        <v>901</v>
      </c>
      <c r="B262" s="7" t="s">
        <v>902</v>
      </c>
      <c r="C262" s="1" t="s">
        <v>27</v>
      </c>
      <c r="D262" s="3">
        <v>1.0</v>
      </c>
      <c r="E262" s="1" t="s">
        <v>147</v>
      </c>
      <c r="F262" s="1">
        <v>0.5</v>
      </c>
      <c r="H262" s="1" t="s">
        <v>302</v>
      </c>
      <c r="I262" s="1" t="s">
        <v>903</v>
      </c>
      <c r="K262" s="1" t="b">
        <v>1</v>
      </c>
    </row>
    <row r="263">
      <c r="A263" s="7" t="s">
        <v>904</v>
      </c>
      <c r="B263" s="7" t="s">
        <v>91</v>
      </c>
      <c r="C263" s="1" t="s">
        <v>80</v>
      </c>
      <c r="D263" s="3">
        <v>2.0</v>
      </c>
      <c r="F263" s="1">
        <v>3.0</v>
      </c>
      <c r="H263" s="1" t="s">
        <v>84</v>
      </c>
      <c r="I263" s="1" t="s">
        <v>854</v>
      </c>
      <c r="K263" s="1" t="b">
        <v>1</v>
      </c>
    </row>
    <row r="264">
      <c r="A264" s="7" t="s">
        <v>905</v>
      </c>
      <c r="B264" s="7" t="s">
        <v>906</v>
      </c>
      <c r="C264" s="1" t="s">
        <v>71</v>
      </c>
      <c r="D264" s="3">
        <v>1.0</v>
      </c>
      <c r="E264" s="1" t="s">
        <v>147</v>
      </c>
      <c r="F264" s="1">
        <v>0.5</v>
      </c>
      <c r="H264" s="1" t="s">
        <v>907</v>
      </c>
      <c r="I264" s="1" t="s">
        <v>908</v>
      </c>
      <c r="K264" s="1" t="b">
        <v>1</v>
      </c>
    </row>
    <row r="265">
      <c r="A265" s="7" t="s">
        <v>910</v>
      </c>
      <c r="B265" s="7" t="s">
        <v>911</v>
      </c>
      <c r="C265" s="1" t="s">
        <v>59</v>
      </c>
      <c r="D265" s="3">
        <v>1.0</v>
      </c>
      <c r="E265" s="1" t="s">
        <v>40</v>
      </c>
      <c r="F265" s="1">
        <v>1.5</v>
      </c>
      <c r="H265" s="1" t="s">
        <v>912</v>
      </c>
      <c r="I265" s="1" t="s">
        <v>913</v>
      </c>
      <c r="K265" s="1" t="b">
        <v>1</v>
      </c>
    </row>
    <row r="266">
      <c r="A266" s="7" t="s">
        <v>914</v>
      </c>
      <c r="B266" s="7" t="s">
        <v>915</v>
      </c>
      <c r="C266" s="1" t="s">
        <v>128</v>
      </c>
      <c r="D266" s="3">
        <v>1.0</v>
      </c>
      <c r="E266" s="1" t="s">
        <v>40</v>
      </c>
      <c r="F266" s="1">
        <v>0.5</v>
      </c>
      <c r="H266" s="1" t="s">
        <v>486</v>
      </c>
      <c r="I266" s="1" t="s">
        <v>916</v>
      </c>
      <c r="K266" s="1" t="b">
        <v>1</v>
      </c>
    </row>
    <row r="267">
      <c r="A267" s="7" t="s">
        <v>917</v>
      </c>
      <c r="B267" s="7" t="s">
        <v>918</v>
      </c>
      <c r="C267" s="1" t="s">
        <v>71</v>
      </c>
      <c r="D267" s="3">
        <v>1.0</v>
      </c>
      <c r="E267" s="1" t="s">
        <v>40</v>
      </c>
      <c r="F267" s="1">
        <v>1.0</v>
      </c>
      <c r="H267" s="1" t="s">
        <v>84</v>
      </c>
      <c r="I267" s="1" t="s">
        <v>919</v>
      </c>
      <c r="K267" s="1" t="b">
        <v>1</v>
      </c>
    </row>
    <row r="268">
      <c r="A268" s="7" t="s">
        <v>920</v>
      </c>
      <c r="B268" s="7" t="s">
        <v>480</v>
      </c>
      <c r="C268" s="1" t="s">
        <v>80</v>
      </c>
      <c r="D268" s="3">
        <v>1.0</v>
      </c>
      <c r="E268" s="1" t="s">
        <v>40</v>
      </c>
      <c r="F268" s="1">
        <v>1.5</v>
      </c>
      <c r="H268" s="1" t="s">
        <v>271</v>
      </c>
      <c r="I268" s="1" t="s">
        <v>921</v>
      </c>
      <c r="K268" s="1" t="b">
        <v>1</v>
      </c>
    </row>
    <row r="269">
      <c r="A269" s="7" t="s">
        <v>922</v>
      </c>
      <c r="B269" s="7" t="s">
        <v>293</v>
      </c>
      <c r="C269" s="1" t="s">
        <v>96</v>
      </c>
      <c r="D269" s="3">
        <v>1.0</v>
      </c>
      <c r="E269" s="1" t="s">
        <v>40</v>
      </c>
      <c r="F269" s="1">
        <v>1.5</v>
      </c>
      <c r="H269" s="1" t="s">
        <v>97</v>
      </c>
      <c r="I269" s="1" t="s">
        <v>923</v>
      </c>
      <c r="K269" s="1" t="b">
        <v>1</v>
      </c>
    </row>
    <row r="270">
      <c r="A270" s="7" t="s">
        <v>924</v>
      </c>
      <c r="B270" s="7" t="s">
        <v>925</v>
      </c>
      <c r="C270" s="1" t="s">
        <v>96</v>
      </c>
      <c r="D270" s="3">
        <v>1.0</v>
      </c>
      <c r="E270" s="1" t="s">
        <v>40</v>
      </c>
      <c r="F270" s="1">
        <v>0.5</v>
      </c>
      <c r="H270" s="1" t="s">
        <v>84</v>
      </c>
      <c r="I270" s="1" t="s">
        <v>926</v>
      </c>
      <c r="K270" s="1" t="b">
        <v>1</v>
      </c>
    </row>
    <row r="271">
      <c r="A271" s="7" t="s">
        <v>927</v>
      </c>
      <c r="B271" s="8" t="s">
        <v>928</v>
      </c>
      <c r="C271" s="1" t="s">
        <v>96</v>
      </c>
      <c r="D271" s="3" t="s">
        <v>39</v>
      </c>
      <c r="E271" s="1" t="s">
        <v>147</v>
      </c>
      <c r="G271" s="1" t="s">
        <v>40</v>
      </c>
      <c r="H271" s="1" t="s">
        <v>302</v>
      </c>
      <c r="I271" s="1" t="s">
        <v>929</v>
      </c>
      <c r="K271" s="1" t="b">
        <v>1</v>
      </c>
    </row>
    <row r="272">
      <c r="A272" s="7" t="s">
        <v>930</v>
      </c>
      <c r="B272" s="8" t="s">
        <v>931</v>
      </c>
      <c r="C272" s="1" t="s">
        <v>128</v>
      </c>
      <c r="D272" s="3" t="s">
        <v>39</v>
      </c>
      <c r="E272" s="1" t="s">
        <v>40</v>
      </c>
      <c r="G272" s="1" t="s">
        <v>40</v>
      </c>
      <c r="I272" s="1" t="s">
        <v>932</v>
      </c>
      <c r="K272" s="1" t="b">
        <v>1</v>
      </c>
    </row>
    <row r="273">
      <c r="A273" s="7" t="s">
        <v>933</v>
      </c>
      <c r="B273" s="8" t="s">
        <v>934</v>
      </c>
      <c r="C273" s="1" t="s">
        <v>27</v>
      </c>
      <c r="D273" s="3" t="s">
        <v>39</v>
      </c>
      <c r="E273" s="1" t="s">
        <v>147</v>
      </c>
      <c r="G273" s="1" t="s">
        <v>261</v>
      </c>
      <c r="H273" s="1" t="s">
        <v>69</v>
      </c>
      <c r="I273" s="1" t="s">
        <v>936</v>
      </c>
      <c r="K273" s="1" t="b">
        <v>1</v>
      </c>
    </row>
    <row r="274">
      <c r="A274" s="7" t="s">
        <v>937</v>
      </c>
      <c r="B274" s="7" t="s">
        <v>137</v>
      </c>
      <c r="C274" s="1" t="s">
        <v>128</v>
      </c>
      <c r="D274" s="3">
        <v>2.0</v>
      </c>
      <c r="F274" s="1">
        <v>2.0</v>
      </c>
      <c r="H274" s="1" t="s">
        <v>84</v>
      </c>
      <c r="I274" s="1" t="s">
        <v>857</v>
      </c>
      <c r="K274" s="1" t="b">
        <v>1</v>
      </c>
    </row>
    <row r="275">
      <c r="A275" s="7" t="s">
        <v>938</v>
      </c>
      <c r="B275" s="8" t="s">
        <v>939</v>
      </c>
      <c r="C275" s="1" t="s">
        <v>80</v>
      </c>
      <c r="D275" s="3" t="s">
        <v>39</v>
      </c>
      <c r="E275" s="1" t="s">
        <v>147</v>
      </c>
      <c r="G275" s="1" t="s">
        <v>261</v>
      </c>
      <c r="H275" s="1" t="s">
        <v>302</v>
      </c>
      <c r="I275" s="1" t="s">
        <v>940</v>
      </c>
      <c r="K275" s="1" t="b">
        <v>1</v>
      </c>
    </row>
    <row r="276">
      <c r="A276" s="7" t="s">
        <v>941</v>
      </c>
      <c r="B276" s="7" t="s">
        <v>942</v>
      </c>
      <c r="C276" s="1" t="s">
        <v>128</v>
      </c>
      <c r="D276" s="3">
        <v>1.0</v>
      </c>
      <c r="E276" s="1" t="s">
        <v>40</v>
      </c>
      <c r="F276" s="1">
        <v>1.5</v>
      </c>
      <c r="I276" s="1" t="s">
        <v>943</v>
      </c>
      <c r="K276" s="1" t="b">
        <v>1</v>
      </c>
    </row>
    <row r="277">
      <c r="A277" s="7" t="s">
        <v>944</v>
      </c>
      <c r="B277" s="8" t="s">
        <v>945</v>
      </c>
      <c r="C277" s="1" t="s">
        <v>71</v>
      </c>
      <c r="D277" s="3" t="s">
        <v>39</v>
      </c>
      <c r="E277" s="1" t="s">
        <v>147</v>
      </c>
      <c r="G277" s="1" t="s">
        <v>160</v>
      </c>
      <c r="H277" s="1" t="s">
        <v>271</v>
      </c>
      <c r="I277" s="1" t="s">
        <v>946</v>
      </c>
      <c r="K277" s="1" t="b">
        <v>1</v>
      </c>
    </row>
    <row r="278">
      <c r="A278" s="7" t="s">
        <v>947</v>
      </c>
      <c r="B278" s="8" t="s">
        <v>948</v>
      </c>
      <c r="C278" s="1" t="s">
        <v>128</v>
      </c>
      <c r="D278" s="3" t="s">
        <v>39</v>
      </c>
      <c r="E278" s="1" t="s">
        <v>147</v>
      </c>
      <c r="H278" s="1" t="s">
        <v>69</v>
      </c>
      <c r="I278" s="1" t="s">
        <v>949</v>
      </c>
      <c r="K278" s="1" t="b">
        <v>1</v>
      </c>
    </row>
    <row r="279">
      <c r="A279" s="7" t="s">
        <v>950</v>
      </c>
      <c r="B279" s="8" t="s">
        <v>951</v>
      </c>
      <c r="C279" s="1" t="s">
        <v>27</v>
      </c>
      <c r="D279" s="3" t="s">
        <v>39</v>
      </c>
      <c r="E279" s="1" t="s">
        <v>147</v>
      </c>
      <c r="G279" s="1" t="s">
        <v>41</v>
      </c>
      <c r="H279" s="1" t="s">
        <v>69</v>
      </c>
      <c r="I279" s="1" t="s">
        <v>952</v>
      </c>
      <c r="K279" s="1" t="b">
        <v>1</v>
      </c>
    </row>
    <row r="280">
      <c r="A280" s="7" t="s">
        <v>953</v>
      </c>
      <c r="B280" s="8" t="s">
        <v>30</v>
      </c>
      <c r="C280" s="1" t="s">
        <v>128</v>
      </c>
      <c r="D280" s="3" t="s">
        <v>39</v>
      </c>
      <c r="E280" s="1" t="s">
        <v>147</v>
      </c>
      <c r="H280" s="1" t="s">
        <v>201</v>
      </c>
      <c r="I280" s="1" t="s">
        <v>954</v>
      </c>
      <c r="K280" s="1" t="b">
        <v>1</v>
      </c>
    </row>
    <row r="281">
      <c r="A281" s="7" t="s">
        <v>955</v>
      </c>
      <c r="B281" s="8" t="s">
        <v>956</v>
      </c>
      <c r="C281" s="1" t="s">
        <v>59</v>
      </c>
      <c r="D281" s="3" t="s">
        <v>39</v>
      </c>
      <c r="E281" s="1" t="s">
        <v>147</v>
      </c>
      <c r="H281" s="1" t="s">
        <v>69</v>
      </c>
      <c r="I281" s="1" t="s">
        <v>957</v>
      </c>
      <c r="K281" s="1" t="b">
        <v>1</v>
      </c>
    </row>
    <row r="282">
      <c r="A282" s="7" t="s">
        <v>958</v>
      </c>
      <c r="B282" s="8" t="s">
        <v>959</v>
      </c>
      <c r="C282" s="1" t="s">
        <v>59</v>
      </c>
      <c r="D282" s="3" t="s">
        <v>39</v>
      </c>
      <c r="E282" s="1" t="s">
        <v>147</v>
      </c>
      <c r="G282" s="1" t="s">
        <v>160</v>
      </c>
      <c r="H282" s="1" t="s">
        <v>69</v>
      </c>
      <c r="I282" s="1" t="s">
        <v>960</v>
      </c>
      <c r="K282" s="1" t="b">
        <v>1</v>
      </c>
    </row>
    <row r="283">
      <c r="A283" s="7" t="s">
        <v>961</v>
      </c>
      <c r="B283" s="8" t="s">
        <v>962</v>
      </c>
      <c r="C283" s="1" t="s">
        <v>59</v>
      </c>
      <c r="D283" s="3" t="s">
        <v>39</v>
      </c>
      <c r="E283" s="1" t="s">
        <v>147</v>
      </c>
      <c r="G283" s="1" t="s">
        <v>261</v>
      </c>
      <c r="H283" s="1" t="s">
        <v>69</v>
      </c>
      <c r="I283" s="1" t="s">
        <v>963</v>
      </c>
      <c r="K283" s="1" t="b">
        <v>1</v>
      </c>
    </row>
    <row r="284">
      <c r="A284" s="7" t="s">
        <v>964</v>
      </c>
      <c r="B284" s="8" t="s">
        <v>965</v>
      </c>
      <c r="C284" s="1" t="s">
        <v>71</v>
      </c>
      <c r="D284" s="3" t="s">
        <v>39</v>
      </c>
      <c r="E284" s="1" t="s">
        <v>147</v>
      </c>
      <c r="I284" s="1" t="s">
        <v>966</v>
      </c>
      <c r="K284" s="1" t="b">
        <v>1</v>
      </c>
    </row>
    <row r="285">
      <c r="A285" s="7" t="s">
        <v>967</v>
      </c>
      <c r="B285" s="7" t="s">
        <v>968</v>
      </c>
      <c r="C285" s="1" t="s">
        <v>71</v>
      </c>
      <c r="D285" s="3">
        <v>1.0</v>
      </c>
      <c r="E285" s="1" t="s">
        <v>40</v>
      </c>
      <c r="F285" s="1">
        <v>2.0</v>
      </c>
      <c r="H285" s="1" t="s">
        <v>168</v>
      </c>
      <c r="I285" s="1" t="s">
        <v>861</v>
      </c>
      <c r="K285" s="1" t="b">
        <v>1</v>
      </c>
    </row>
    <row r="286">
      <c r="A286" s="7" t="s">
        <v>969</v>
      </c>
      <c r="B286" s="8" t="s">
        <v>333</v>
      </c>
      <c r="C286" s="1" t="s">
        <v>105</v>
      </c>
      <c r="D286" s="3" t="s">
        <v>39</v>
      </c>
      <c r="E286" s="1" t="s">
        <v>147</v>
      </c>
      <c r="I286" s="1" t="s">
        <v>970</v>
      </c>
      <c r="K286" s="1" t="b">
        <v>1</v>
      </c>
    </row>
    <row r="287">
      <c r="A287" s="7" t="s">
        <v>971</v>
      </c>
      <c r="B287" s="8" t="s">
        <v>972</v>
      </c>
      <c r="C287" s="1" t="s">
        <v>71</v>
      </c>
      <c r="D287" s="3" t="s">
        <v>39</v>
      </c>
      <c r="E287" s="1" t="s">
        <v>147</v>
      </c>
      <c r="I287" s="1" t="s">
        <v>973</v>
      </c>
      <c r="K287" s="1" t="b">
        <v>1</v>
      </c>
    </row>
    <row r="288">
      <c r="A288" s="7" t="s">
        <v>974</v>
      </c>
      <c r="B288" s="8" t="s">
        <v>975</v>
      </c>
      <c r="C288" s="1" t="s">
        <v>128</v>
      </c>
      <c r="D288" s="3" t="s">
        <v>39</v>
      </c>
      <c r="E288" s="1" t="s">
        <v>147</v>
      </c>
      <c r="H288" s="1" t="s">
        <v>271</v>
      </c>
      <c r="I288" s="1" t="s">
        <v>976</v>
      </c>
      <c r="K288" s="1" t="b">
        <v>1</v>
      </c>
    </row>
    <row r="289">
      <c r="A289" s="7" t="s">
        <v>977</v>
      </c>
      <c r="B289" s="8" t="s">
        <v>978</v>
      </c>
      <c r="C289" s="1" t="s">
        <v>59</v>
      </c>
      <c r="D289" s="3" t="s">
        <v>39</v>
      </c>
      <c r="E289" s="1" t="s">
        <v>147</v>
      </c>
      <c r="G289" s="1" t="s">
        <v>160</v>
      </c>
      <c r="H289" s="1" t="s">
        <v>69</v>
      </c>
      <c r="I289" s="1" t="s">
        <v>979</v>
      </c>
      <c r="K289" s="1" t="b">
        <v>1</v>
      </c>
    </row>
    <row r="290">
      <c r="A290" s="7" t="s">
        <v>980</v>
      </c>
      <c r="B290" s="8" t="s">
        <v>447</v>
      </c>
      <c r="C290" s="1" t="s">
        <v>80</v>
      </c>
      <c r="D290" s="3" t="s">
        <v>39</v>
      </c>
      <c r="E290" s="1" t="s">
        <v>147</v>
      </c>
      <c r="G290" s="1" t="s">
        <v>40</v>
      </c>
      <c r="I290" s="1" t="s">
        <v>981</v>
      </c>
      <c r="K290" s="1" t="b">
        <v>1</v>
      </c>
    </row>
    <row r="291">
      <c r="A291" s="7" t="s">
        <v>982</v>
      </c>
      <c r="B291" s="8" t="s">
        <v>983</v>
      </c>
      <c r="C291" s="1" t="s">
        <v>96</v>
      </c>
      <c r="D291" s="3" t="s">
        <v>39</v>
      </c>
      <c r="E291" s="1" t="s">
        <v>147</v>
      </c>
      <c r="I291" s="1" t="s">
        <v>984</v>
      </c>
      <c r="K291" s="1" t="b">
        <v>1</v>
      </c>
    </row>
    <row r="292">
      <c r="A292" s="7" t="s">
        <v>985</v>
      </c>
      <c r="B292" s="8" t="s">
        <v>986</v>
      </c>
      <c r="C292" s="1" t="s">
        <v>128</v>
      </c>
      <c r="D292" s="3" t="s">
        <v>39</v>
      </c>
      <c r="E292" s="1" t="s">
        <v>147</v>
      </c>
      <c r="G292" s="1" t="s">
        <v>261</v>
      </c>
      <c r="I292" s="1" t="s">
        <v>987</v>
      </c>
      <c r="K292" s="1" t="b">
        <v>1</v>
      </c>
    </row>
    <row r="293">
      <c r="A293" s="7" t="s">
        <v>988</v>
      </c>
      <c r="B293" s="8" t="s">
        <v>989</v>
      </c>
      <c r="C293" s="1" t="s">
        <v>27</v>
      </c>
      <c r="D293" s="3" t="s">
        <v>39</v>
      </c>
      <c r="E293" s="1" t="s">
        <v>147</v>
      </c>
      <c r="G293" s="1" t="s">
        <v>261</v>
      </c>
      <c r="H293" s="1" t="s">
        <v>302</v>
      </c>
      <c r="I293" s="1" t="s">
        <v>990</v>
      </c>
      <c r="K293" s="1" t="b">
        <v>1</v>
      </c>
    </row>
    <row r="294">
      <c r="A294" s="7" t="s">
        <v>991</v>
      </c>
      <c r="B294" s="8" t="s">
        <v>992</v>
      </c>
      <c r="C294" s="1" t="s">
        <v>96</v>
      </c>
      <c r="D294" s="3" t="s">
        <v>39</v>
      </c>
      <c r="E294" s="1" t="s">
        <v>147</v>
      </c>
      <c r="I294" s="1" t="s">
        <v>993</v>
      </c>
      <c r="K294" s="1" t="b">
        <v>1</v>
      </c>
    </row>
    <row r="295">
      <c r="A295" s="7" t="s">
        <v>994</v>
      </c>
      <c r="B295" s="8" t="s">
        <v>995</v>
      </c>
      <c r="C295" s="1" t="s">
        <v>105</v>
      </c>
      <c r="D295" s="3" t="s">
        <v>39</v>
      </c>
      <c r="E295" s="1" t="s">
        <v>147</v>
      </c>
      <c r="G295" s="1" t="s">
        <v>261</v>
      </c>
      <c r="I295" s="1" t="s">
        <v>996</v>
      </c>
      <c r="K295" s="1" t="b">
        <v>1</v>
      </c>
    </row>
    <row r="296">
      <c r="A296" s="7" t="s">
        <v>997</v>
      </c>
      <c r="B296" s="7" t="s">
        <v>998</v>
      </c>
      <c r="C296" s="1" t="s">
        <v>59</v>
      </c>
      <c r="D296" s="3">
        <v>1.0</v>
      </c>
      <c r="E296" s="1" t="s">
        <v>40</v>
      </c>
      <c r="F296" s="1">
        <v>1.5</v>
      </c>
      <c r="H296" s="1" t="s">
        <v>271</v>
      </c>
      <c r="I296" s="1" t="s">
        <v>864</v>
      </c>
      <c r="K296" s="1" t="b">
        <v>1</v>
      </c>
    </row>
    <row r="297">
      <c r="A297" s="7" t="s">
        <v>999</v>
      </c>
      <c r="B297" s="8" t="s">
        <v>1000</v>
      </c>
      <c r="C297" s="1" t="s">
        <v>59</v>
      </c>
      <c r="D297" s="3" t="s">
        <v>39</v>
      </c>
      <c r="E297" s="1" t="s">
        <v>147</v>
      </c>
      <c r="G297" s="1" t="s">
        <v>261</v>
      </c>
      <c r="I297" s="1" t="s">
        <v>1001</v>
      </c>
      <c r="K297" s="1" t="b">
        <v>1</v>
      </c>
    </row>
    <row r="298">
      <c r="A298" s="1" t="s">
        <v>1002</v>
      </c>
      <c r="B298" s="1" t="s">
        <v>1003</v>
      </c>
      <c r="C298" s="1" t="s">
        <v>187</v>
      </c>
      <c r="D298" s="3" t="s">
        <v>373</v>
      </c>
      <c r="F298" s="1" t="s">
        <v>382</v>
      </c>
      <c r="I298" s="1" t="s">
        <v>1004</v>
      </c>
      <c r="K298" s="1" t="b">
        <v>1</v>
      </c>
    </row>
    <row r="299">
      <c r="A299" s="1" t="s">
        <v>1005</v>
      </c>
      <c r="B299" s="1" t="s">
        <v>1006</v>
      </c>
      <c r="C299" s="1" t="s">
        <v>187</v>
      </c>
      <c r="D299" s="3" t="s">
        <v>373</v>
      </c>
      <c r="F299" s="1" t="s">
        <v>382</v>
      </c>
      <c r="I299" s="1" t="s">
        <v>837</v>
      </c>
      <c r="K299" s="1" t="b">
        <v>1</v>
      </c>
    </row>
    <row r="300">
      <c r="A300" s="1" t="s">
        <v>1007</v>
      </c>
      <c r="B300" s="1" t="s">
        <v>1008</v>
      </c>
      <c r="C300" s="1" t="s">
        <v>187</v>
      </c>
      <c r="D300" s="3" t="s">
        <v>407</v>
      </c>
      <c r="F300" s="1" t="s">
        <v>376</v>
      </c>
      <c r="I300" s="1" t="s">
        <v>1009</v>
      </c>
      <c r="K300" s="1" t="b">
        <v>0</v>
      </c>
    </row>
    <row r="301">
      <c r="A301" s="1" t="s">
        <v>1010</v>
      </c>
      <c r="B301" s="1" t="s">
        <v>1011</v>
      </c>
      <c r="C301" s="1" t="s">
        <v>187</v>
      </c>
      <c r="D301" s="3" t="s">
        <v>407</v>
      </c>
      <c r="F301" s="1" t="s">
        <v>376</v>
      </c>
      <c r="I301" s="1" t="s">
        <v>1012</v>
      </c>
      <c r="K301" s="1" t="b">
        <v>1</v>
      </c>
    </row>
    <row r="302">
      <c r="A302" s="1" t="s">
        <v>1013</v>
      </c>
      <c r="B302" s="1" t="s">
        <v>1014</v>
      </c>
      <c r="C302" s="1" t="s">
        <v>187</v>
      </c>
      <c r="D302" s="3" t="s">
        <v>407</v>
      </c>
      <c r="F302" s="1" t="s">
        <v>382</v>
      </c>
      <c r="I302" s="1" t="s">
        <v>1015</v>
      </c>
      <c r="K302" s="1" t="b">
        <v>1</v>
      </c>
    </row>
    <row r="303">
      <c r="A303" s="1" t="s">
        <v>1016</v>
      </c>
      <c r="B303" s="1" t="s">
        <v>1017</v>
      </c>
      <c r="C303" s="1" t="s">
        <v>187</v>
      </c>
      <c r="D303" s="3" t="s">
        <v>407</v>
      </c>
      <c r="F303" s="1" t="s">
        <v>382</v>
      </c>
      <c r="I303" s="1" t="s">
        <v>1018</v>
      </c>
      <c r="K303" s="1" t="b">
        <v>1</v>
      </c>
    </row>
    <row r="304">
      <c r="A304" s="1" t="s">
        <v>1019</v>
      </c>
      <c r="B304" s="1" t="s">
        <v>1020</v>
      </c>
      <c r="C304" s="1" t="s">
        <v>187</v>
      </c>
      <c r="D304" s="3" t="s">
        <v>407</v>
      </c>
      <c r="F304" s="1" t="s">
        <v>391</v>
      </c>
      <c r="I304" s="1" t="s">
        <v>1021</v>
      </c>
      <c r="K304" s="1" t="b">
        <v>1</v>
      </c>
    </row>
    <row r="305">
      <c r="A305" s="1" t="s">
        <v>1022</v>
      </c>
      <c r="B305" s="1" t="s">
        <v>1023</v>
      </c>
      <c r="C305" s="1" t="s">
        <v>187</v>
      </c>
      <c r="D305" s="3" t="s">
        <v>445</v>
      </c>
      <c r="F305" s="1" t="s">
        <v>382</v>
      </c>
      <c r="I305" s="1" t="s">
        <v>1024</v>
      </c>
      <c r="K305" s="1" t="b">
        <v>1</v>
      </c>
    </row>
    <row r="306">
      <c r="A306" s="1" t="s">
        <v>1025</v>
      </c>
      <c r="B306" s="1" t="s">
        <v>909</v>
      </c>
      <c r="C306" s="1" t="s">
        <v>187</v>
      </c>
      <c r="D306" s="3" t="s">
        <v>445</v>
      </c>
      <c r="F306" s="1" t="s">
        <v>382</v>
      </c>
      <c r="I306" s="1" t="s">
        <v>1026</v>
      </c>
      <c r="K306" s="1" t="b">
        <v>1</v>
      </c>
    </row>
    <row r="307">
      <c r="A307" s="7" t="s">
        <v>1027</v>
      </c>
      <c r="B307" s="7" t="s">
        <v>1028</v>
      </c>
      <c r="C307" s="1" t="s">
        <v>96</v>
      </c>
      <c r="D307" s="3">
        <v>1.0</v>
      </c>
      <c r="E307" s="1" t="s">
        <v>40</v>
      </c>
      <c r="F307" s="1">
        <v>2.0</v>
      </c>
      <c r="H307" s="1" t="s">
        <v>438</v>
      </c>
      <c r="I307" s="1" t="s">
        <v>1029</v>
      </c>
      <c r="K307" s="1" t="b">
        <v>1</v>
      </c>
    </row>
    <row r="308">
      <c r="A308" s="7" t="s">
        <v>1030</v>
      </c>
      <c r="B308" s="8" t="s">
        <v>775</v>
      </c>
      <c r="C308" s="1" t="s">
        <v>47</v>
      </c>
      <c r="D308" s="11"/>
      <c r="K308" s="1" t="b">
        <v>1</v>
      </c>
    </row>
    <row r="309">
      <c r="A309" s="7" t="s">
        <v>1031</v>
      </c>
      <c r="B309" s="7" t="s">
        <v>1032</v>
      </c>
      <c r="C309" s="1" t="s">
        <v>47</v>
      </c>
      <c r="D309" s="11"/>
      <c r="K309" s="1" t="b">
        <v>1</v>
      </c>
    </row>
    <row r="310">
      <c r="A310" s="7" t="s">
        <v>1033</v>
      </c>
      <c r="B310" s="7" t="s">
        <v>1034</v>
      </c>
      <c r="C310" s="1" t="s">
        <v>47</v>
      </c>
      <c r="D310" s="11"/>
      <c r="K310" s="1" t="b">
        <v>1</v>
      </c>
    </row>
    <row r="311">
      <c r="A311" s="7" t="s">
        <v>1035</v>
      </c>
      <c r="B311" s="7" t="s">
        <v>75</v>
      </c>
      <c r="C311" s="1" t="s">
        <v>105</v>
      </c>
      <c r="D311" s="3">
        <v>1.0</v>
      </c>
      <c r="E311" s="1" t="s">
        <v>40</v>
      </c>
      <c r="F311" s="1">
        <v>1.5</v>
      </c>
      <c r="H311" s="1" t="s">
        <v>271</v>
      </c>
      <c r="I311" s="1" t="s">
        <v>1036</v>
      </c>
      <c r="K311" s="1" t="b">
        <v>1</v>
      </c>
    </row>
    <row r="312">
      <c r="A312" s="7" t="s">
        <v>1037</v>
      </c>
      <c r="B312" s="7" t="s">
        <v>1038</v>
      </c>
      <c r="C312" s="1" t="s">
        <v>27</v>
      </c>
      <c r="D312" s="3">
        <v>1.0</v>
      </c>
      <c r="E312" s="1" t="s">
        <v>40</v>
      </c>
      <c r="F312" s="1">
        <v>2.0</v>
      </c>
      <c r="H312" s="1" t="s">
        <v>84</v>
      </c>
      <c r="I312" s="1" t="s">
        <v>870</v>
      </c>
      <c r="K312" s="1" t="b">
        <v>1</v>
      </c>
    </row>
    <row r="313">
      <c r="A313" s="1" t="s">
        <v>1039</v>
      </c>
      <c r="B313" s="1" t="s">
        <v>1040</v>
      </c>
      <c r="C313" s="1" t="s">
        <v>105</v>
      </c>
      <c r="D313" s="3" t="s">
        <v>39</v>
      </c>
      <c r="E313" s="1" t="s">
        <v>147</v>
      </c>
      <c r="G313" s="1" t="s">
        <v>160</v>
      </c>
      <c r="H313" s="1" t="s">
        <v>899</v>
      </c>
      <c r="I313" s="1" t="s">
        <v>1041</v>
      </c>
      <c r="K313" s="1" t="b">
        <v>1</v>
      </c>
      <c r="L313" s="1" t="s">
        <v>1042</v>
      </c>
    </row>
    <row r="314">
      <c r="A314" s="1" t="s">
        <v>1043</v>
      </c>
      <c r="B314" s="1" t="s">
        <v>1044</v>
      </c>
      <c r="C314" s="1" t="s">
        <v>128</v>
      </c>
      <c r="D314" s="3" t="s">
        <v>39</v>
      </c>
      <c r="E314" s="1" t="s">
        <v>147</v>
      </c>
      <c r="G314" s="1" t="s">
        <v>160</v>
      </c>
      <c r="H314" s="1" t="s">
        <v>271</v>
      </c>
      <c r="I314" s="1" t="s">
        <v>1045</v>
      </c>
      <c r="K314" s="1" t="b">
        <v>0</v>
      </c>
      <c r="L314" s="1" t="s">
        <v>28</v>
      </c>
    </row>
    <row r="315">
      <c r="A315" s="1" t="s">
        <v>1046</v>
      </c>
      <c r="B315" s="1" t="s">
        <v>1047</v>
      </c>
      <c r="C315" s="1" t="s">
        <v>128</v>
      </c>
      <c r="D315" s="3" t="s">
        <v>39</v>
      </c>
      <c r="E315" s="1" t="s">
        <v>147</v>
      </c>
      <c r="F315" s="1">
        <v>0.5</v>
      </c>
      <c r="G315" s="1" t="s">
        <v>261</v>
      </c>
      <c r="H315" s="1" t="s">
        <v>302</v>
      </c>
      <c r="I315" s="1" t="s">
        <v>1048</v>
      </c>
      <c r="K315" s="1" t="b">
        <v>0</v>
      </c>
      <c r="L315" s="1" t="s">
        <v>28</v>
      </c>
    </row>
    <row r="316">
      <c r="A316" s="1" t="s">
        <v>1049</v>
      </c>
      <c r="B316" s="1" t="s">
        <v>1050</v>
      </c>
      <c r="C316" s="1" t="s">
        <v>27</v>
      </c>
      <c r="D316" s="3" t="s">
        <v>39</v>
      </c>
      <c r="E316" s="1" t="s">
        <v>40</v>
      </c>
      <c r="F316" s="1">
        <v>1.0</v>
      </c>
      <c r="G316" s="1" t="s">
        <v>41</v>
      </c>
      <c r="H316" s="1" t="s">
        <v>1051</v>
      </c>
      <c r="I316" s="1" t="s">
        <v>1052</v>
      </c>
      <c r="K316" s="1" t="b">
        <v>0</v>
      </c>
      <c r="L316" s="1" t="s">
        <v>25</v>
      </c>
    </row>
    <row r="317">
      <c r="A317" s="1" t="s">
        <v>1053</v>
      </c>
      <c r="B317" s="1" t="s">
        <v>1054</v>
      </c>
      <c r="C317" s="1" t="s">
        <v>59</v>
      </c>
      <c r="D317" s="3">
        <v>2.0</v>
      </c>
      <c r="F317" s="1">
        <v>3.0</v>
      </c>
      <c r="H317" s="1" t="s">
        <v>292</v>
      </c>
      <c r="I317" s="1" t="s">
        <v>1055</v>
      </c>
      <c r="K317" s="1" t="b">
        <v>0</v>
      </c>
      <c r="L317" s="1" t="s">
        <v>32</v>
      </c>
    </row>
    <row r="318">
      <c r="A318" s="1" t="s">
        <v>1056</v>
      </c>
      <c r="B318" s="1" t="s">
        <v>1057</v>
      </c>
      <c r="C318" s="1" t="s">
        <v>27</v>
      </c>
      <c r="D318" s="3" t="s">
        <v>39</v>
      </c>
      <c r="E318" s="1" t="s">
        <v>147</v>
      </c>
      <c r="F318" s="1">
        <v>1.0</v>
      </c>
      <c r="G318" s="1" t="s">
        <v>41</v>
      </c>
      <c r="H318" s="1" t="s">
        <v>84</v>
      </c>
      <c r="I318" s="1" t="s">
        <v>1058</v>
      </c>
      <c r="K318" s="1" t="b">
        <v>0</v>
      </c>
      <c r="L318" s="1" t="s">
        <v>28</v>
      </c>
    </row>
    <row r="319">
      <c r="A319" s="1" t="s">
        <v>1059</v>
      </c>
      <c r="B319" s="1" t="s">
        <v>1060</v>
      </c>
      <c r="C319" s="1" t="s">
        <v>128</v>
      </c>
      <c r="D319" s="3" t="s">
        <v>39</v>
      </c>
      <c r="E319" s="1" t="s">
        <v>40</v>
      </c>
      <c r="G319" s="1" t="s">
        <v>40</v>
      </c>
      <c r="H319" s="1" t="s">
        <v>201</v>
      </c>
      <c r="I319" s="1" t="s">
        <v>1061</v>
      </c>
      <c r="K319" s="1" t="b">
        <v>0</v>
      </c>
      <c r="L319" s="1" t="s">
        <v>32</v>
      </c>
    </row>
    <row r="320">
      <c r="A320" s="1" t="s">
        <v>1062</v>
      </c>
      <c r="B320" s="1" t="s">
        <v>1063</v>
      </c>
      <c r="C320" s="1" t="s">
        <v>187</v>
      </c>
      <c r="D320" s="3" t="s">
        <v>373</v>
      </c>
      <c r="F320" s="1" t="s">
        <v>417</v>
      </c>
      <c r="I320" s="1" t="s">
        <v>1064</v>
      </c>
      <c r="J320" s="1" t="s">
        <v>147</v>
      </c>
      <c r="K320" s="1" t="b">
        <v>0</v>
      </c>
      <c r="L320" s="1" t="s">
        <v>1065</v>
      </c>
    </row>
    <row r="321">
      <c r="A321" s="1" t="s">
        <v>1066</v>
      </c>
      <c r="B321" s="1" t="s">
        <v>1067</v>
      </c>
      <c r="C321" s="1" t="s">
        <v>128</v>
      </c>
      <c r="D321" s="3">
        <v>1.0</v>
      </c>
      <c r="E321" s="1" t="s">
        <v>40</v>
      </c>
      <c r="I321" s="1" t="s">
        <v>1068</v>
      </c>
      <c r="K321" s="1" t="b">
        <v>0</v>
      </c>
      <c r="L321" s="1" t="s">
        <v>1065</v>
      </c>
    </row>
    <row r="322">
      <c r="A322" s="1" t="s">
        <v>1069</v>
      </c>
      <c r="B322" s="1" t="s">
        <v>1070</v>
      </c>
      <c r="C322" s="1" t="s">
        <v>128</v>
      </c>
      <c r="D322" s="3" t="s">
        <v>39</v>
      </c>
      <c r="E322" s="1" t="s">
        <v>147</v>
      </c>
      <c r="G322" s="1" t="s">
        <v>41</v>
      </c>
      <c r="H322" s="1" t="s">
        <v>84</v>
      </c>
      <c r="I322" s="1" t="s">
        <v>1071</v>
      </c>
      <c r="K322" s="1" t="b">
        <v>0</v>
      </c>
      <c r="L322" s="1" t="s">
        <v>1072</v>
      </c>
    </row>
    <row r="323">
      <c r="A323" s="1" t="s">
        <v>1073</v>
      </c>
      <c r="B323" s="1" t="s">
        <v>1074</v>
      </c>
      <c r="C323" s="1" t="s">
        <v>27</v>
      </c>
      <c r="D323" s="3" t="s">
        <v>39</v>
      </c>
      <c r="E323" s="1" t="s">
        <v>147</v>
      </c>
      <c r="G323" s="1" t="s">
        <v>261</v>
      </c>
      <c r="H323" s="1" t="s">
        <v>84</v>
      </c>
      <c r="I323" s="1" t="s">
        <v>1075</v>
      </c>
      <c r="K323" s="1" t="b">
        <v>0</v>
      </c>
      <c r="L323" s="1" t="s">
        <v>1076</v>
      </c>
    </row>
    <row r="324">
      <c r="A324" s="1" t="s">
        <v>1077</v>
      </c>
      <c r="B324" s="1" t="s">
        <v>1078</v>
      </c>
      <c r="C324" s="1" t="s">
        <v>105</v>
      </c>
      <c r="D324" s="3" t="s">
        <v>39</v>
      </c>
      <c r="E324" s="1" t="s">
        <v>40</v>
      </c>
      <c r="G324" s="1" t="s">
        <v>160</v>
      </c>
      <c r="I324" s="1" t="s">
        <v>1079</v>
      </c>
      <c r="K324" s="1" t="b">
        <v>0</v>
      </c>
      <c r="L324" s="1" t="s">
        <v>1042</v>
      </c>
    </row>
    <row r="325">
      <c r="A325" s="1" t="s">
        <v>1080</v>
      </c>
      <c r="B325" s="1" t="s">
        <v>1081</v>
      </c>
      <c r="C325" s="1" t="s">
        <v>96</v>
      </c>
      <c r="D325" s="3" t="s">
        <v>39</v>
      </c>
      <c r="E325" s="1" t="s">
        <v>147</v>
      </c>
      <c r="G325" s="1" t="s">
        <v>261</v>
      </c>
      <c r="I325" s="1" t="s">
        <v>1082</v>
      </c>
      <c r="K325" s="1" t="b">
        <v>0</v>
      </c>
      <c r="L325" s="1" t="s">
        <v>1065</v>
      </c>
    </row>
    <row r="326">
      <c r="A326" s="1" t="s">
        <v>1083</v>
      </c>
      <c r="B326" s="1" t="s">
        <v>1084</v>
      </c>
      <c r="C326" s="1" t="s">
        <v>80</v>
      </c>
      <c r="D326" s="3" t="s">
        <v>39</v>
      </c>
      <c r="E326" s="1" t="s">
        <v>40</v>
      </c>
      <c r="F326" s="1">
        <v>0.5</v>
      </c>
      <c r="G326" s="1" t="s">
        <v>130</v>
      </c>
      <c r="H326" s="1" t="s">
        <v>84</v>
      </c>
      <c r="I326" s="1" t="s">
        <v>1085</v>
      </c>
      <c r="K326" s="1" t="b">
        <v>0</v>
      </c>
      <c r="L326" s="1" t="s">
        <v>1086</v>
      </c>
    </row>
    <row r="327">
      <c r="A327" s="1" t="s">
        <v>1087</v>
      </c>
      <c r="B327" s="1" t="s">
        <v>1088</v>
      </c>
      <c r="C327" s="1" t="s">
        <v>96</v>
      </c>
      <c r="D327" s="3" t="s">
        <v>39</v>
      </c>
      <c r="E327" s="1" t="s">
        <v>40</v>
      </c>
      <c r="F327" s="1">
        <v>2.0</v>
      </c>
      <c r="G327" s="1" t="s">
        <v>130</v>
      </c>
      <c r="H327" s="1" t="s">
        <v>844</v>
      </c>
      <c r="I327" s="1" t="s">
        <v>1089</v>
      </c>
      <c r="K327" s="1" t="b">
        <v>0</v>
      </c>
      <c r="L327" s="1" t="s">
        <v>1086</v>
      </c>
    </row>
    <row r="328">
      <c r="A328" s="1" t="s">
        <v>1090</v>
      </c>
      <c r="B328" s="1" t="s">
        <v>1091</v>
      </c>
      <c r="C328" s="1" t="s">
        <v>105</v>
      </c>
      <c r="D328" s="3" t="s">
        <v>39</v>
      </c>
      <c r="E328" s="1" t="s">
        <v>40</v>
      </c>
      <c r="F328" s="1">
        <v>2.0</v>
      </c>
      <c r="G328" s="1" t="s">
        <v>130</v>
      </c>
      <c r="H328" s="1" t="s">
        <v>271</v>
      </c>
      <c r="I328" s="1" t="s">
        <v>1092</v>
      </c>
      <c r="K328" s="1" t="b">
        <v>0</v>
      </c>
      <c r="L328" s="1" t="s">
        <v>1086</v>
      </c>
    </row>
    <row r="329">
      <c r="A329" s="1" t="s">
        <v>1093</v>
      </c>
      <c r="B329" s="1" t="s">
        <v>1094</v>
      </c>
      <c r="C329" s="1" t="s">
        <v>105</v>
      </c>
      <c r="D329" s="3" t="s">
        <v>39</v>
      </c>
      <c r="E329" s="1" t="s">
        <v>40</v>
      </c>
      <c r="G329" s="1" t="s">
        <v>160</v>
      </c>
      <c r="I329" s="1" t="s">
        <v>1095</v>
      </c>
      <c r="K329" s="1" t="b">
        <v>0</v>
      </c>
      <c r="L329" s="1" t="s">
        <v>1076</v>
      </c>
    </row>
    <row r="330">
      <c r="A330" s="1" t="s">
        <v>1096</v>
      </c>
      <c r="B330" s="1" t="s">
        <v>1097</v>
      </c>
      <c r="C330" s="1" t="s">
        <v>105</v>
      </c>
      <c r="D330" s="3" t="s">
        <v>39</v>
      </c>
      <c r="E330" s="1" t="s">
        <v>40</v>
      </c>
      <c r="F330" s="1">
        <v>0.5</v>
      </c>
      <c r="G330" s="1" t="s">
        <v>160</v>
      </c>
      <c r="H330" s="1" t="s">
        <v>1098</v>
      </c>
      <c r="I330" s="1" t="s">
        <v>1099</v>
      </c>
      <c r="K330" s="1" t="b">
        <v>0</v>
      </c>
      <c r="L330" s="1" t="s">
        <v>32</v>
      </c>
    </row>
    <row r="331">
      <c r="A331" s="1" t="s">
        <v>1100</v>
      </c>
      <c r="B331" s="1" t="s">
        <v>1101</v>
      </c>
      <c r="C331" s="1" t="s">
        <v>105</v>
      </c>
      <c r="D331" s="3" t="s">
        <v>39</v>
      </c>
      <c r="E331" s="1" t="s">
        <v>147</v>
      </c>
      <c r="G331" s="1" t="s">
        <v>261</v>
      </c>
      <c r="H331" s="1" t="s">
        <v>84</v>
      </c>
      <c r="I331" s="1" t="s">
        <v>1102</v>
      </c>
      <c r="K331" s="1" t="b">
        <v>1</v>
      </c>
      <c r="L331" s="1" t="s">
        <v>28</v>
      </c>
    </row>
    <row r="332">
      <c r="A332" s="1" t="s">
        <v>1103</v>
      </c>
      <c r="B332" s="1" t="s">
        <v>1104</v>
      </c>
      <c r="C332" s="1" t="s">
        <v>105</v>
      </c>
      <c r="D332" s="3" t="s">
        <v>39</v>
      </c>
      <c r="E332" s="1" t="s">
        <v>147</v>
      </c>
      <c r="H332" s="1" t="s">
        <v>1098</v>
      </c>
      <c r="I332" s="1" t="s">
        <v>1105</v>
      </c>
      <c r="K332" s="1" t="b">
        <v>0</v>
      </c>
      <c r="L332" s="1" t="s">
        <v>1072</v>
      </c>
    </row>
    <row r="333">
      <c r="A333" s="1" t="s">
        <v>1106</v>
      </c>
      <c r="B333" s="1" t="s">
        <v>1107</v>
      </c>
      <c r="C333" s="1" t="s">
        <v>105</v>
      </c>
      <c r="D333" s="3" t="s">
        <v>39</v>
      </c>
      <c r="E333" s="1" t="s">
        <v>40</v>
      </c>
      <c r="I333" s="1" t="s">
        <v>1108</v>
      </c>
      <c r="K333" s="1" t="b">
        <v>0</v>
      </c>
      <c r="L333" s="1" t="s">
        <v>32</v>
      </c>
    </row>
    <row r="334">
      <c r="A334" s="1" t="s">
        <v>1109</v>
      </c>
      <c r="B334" s="1" t="s">
        <v>1110</v>
      </c>
      <c r="C334" s="1" t="s">
        <v>27</v>
      </c>
      <c r="D334" s="3" t="s">
        <v>39</v>
      </c>
      <c r="E334" s="1" t="s">
        <v>40</v>
      </c>
      <c r="F334" s="1">
        <v>1.0</v>
      </c>
      <c r="G334" s="1" t="s">
        <v>41</v>
      </c>
      <c r="H334" s="1" t="s">
        <v>84</v>
      </c>
      <c r="I334" s="1" t="s">
        <v>1111</v>
      </c>
      <c r="K334" s="1" t="b">
        <v>0</v>
      </c>
      <c r="L334" s="1" t="s">
        <v>1042</v>
      </c>
    </row>
    <row r="335">
      <c r="A335" s="1" t="s">
        <v>1112</v>
      </c>
      <c r="B335" s="1" t="s">
        <v>1113</v>
      </c>
      <c r="C335" s="1" t="s">
        <v>105</v>
      </c>
      <c r="D335" s="3" t="s">
        <v>39</v>
      </c>
      <c r="E335" s="1" t="s">
        <v>147</v>
      </c>
      <c r="F335" s="1">
        <v>0.5</v>
      </c>
      <c r="G335" s="1" t="s">
        <v>160</v>
      </c>
      <c r="H335" s="1" t="s">
        <v>84</v>
      </c>
      <c r="I335" s="1" t="s">
        <v>1114</v>
      </c>
      <c r="K335" s="1" t="b">
        <v>0</v>
      </c>
      <c r="L335" s="1" t="s">
        <v>25</v>
      </c>
    </row>
    <row r="336">
      <c r="A336" s="1" t="s">
        <v>1115</v>
      </c>
      <c r="B336" s="1" t="s">
        <v>1116</v>
      </c>
      <c r="C336" s="1" t="s">
        <v>128</v>
      </c>
      <c r="D336" s="3">
        <v>2.0</v>
      </c>
      <c r="F336" s="1">
        <v>1.5</v>
      </c>
      <c r="H336" s="1" t="s">
        <v>302</v>
      </c>
      <c r="I336" s="1" t="s">
        <v>1117</v>
      </c>
      <c r="K336" s="1" t="b">
        <v>0</v>
      </c>
      <c r="L336" s="1" t="s">
        <v>25</v>
      </c>
    </row>
    <row r="337">
      <c r="A337" s="1" t="s">
        <v>1118</v>
      </c>
      <c r="B337" s="1" t="s">
        <v>1119</v>
      </c>
      <c r="C337" s="1" t="s">
        <v>80</v>
      </c>
      <c r="D337" s="3">
        <v>1.0</v>
      </c>
      <c r="E337" s="1" t="s">
        <v>40</v>
      </c>
      <c r="F337" s="1">
        <v>1.5</v>
      </c>
      <c r="H337" s="1" t="s">
        <v>84</v>
      </c>
      <c r="I337" s="1" t="s">
        <v>1120</v>
      </c>
      <c r="K337" s="1" t="b">
        <v>0</v>
      </c>
      <c r="L337" s="1" t="s">
        <v>25</v>
      </c>
    </row>
    <row r="338">
      <c r="A338" s="1" t="s">
        <v>1121</v>
      </c>
      <c r="B338" s="1" t="s">
        <v>1122</v>
      </c>
      <c r="C338" s="1" t="s">
        <v>128</v>
      </c>
      <c r="D338" s="3" t="s">
        <v>39</v>
      </c>
      <c r="E338" s="1" t="s">
        <v>40</v>
      </c>
      <c r="I338" s="1" t="s">
        <v>1123</v>
      </c>
      <c r="K338" s="1" t="b">
        <v>0</v>
      </c>
      <c r="L338" s="1" t="s">
        <v>28</v>
      </c>
    </row>
    <row r="339">
      <c r="A339" s="1" t="s">
        <v>1124</v>
      </c>
      <c r="B339" s="1" t="s">
        <v>1125</v>
      </c>
      <c r="C339" s="1" t="s">
        <v>27</v>
      </c>
      <c r="D339" s="3" t="s">
        <v>39</v>
      </c>
      <c r="E339" s="1" t="s">
        <v>40</v>
      </c>
      <c r="F339" s="1">
        <v>0.5</v>
      </c>
      <c r="G339" s="1" t="s">
        <v>41</v>
      </c>
      <c r="I339" s="1" t="s">
        <v>1126</v>
      </c>
      <c r="K339" s="1" t="b">
        <v>0</v>
      </c>
      <c r="L339" s="1" t="s">
        <v>1042</v>
      </c>
    </row>
    <row r="340">
      <c r="A340" s="1" t="s">
        <v>1127</v>
      </c>
      <c r="B340" s="1" t="s">
        <v>1128</v>
      </c>
      <c r="C340" s="1" t="s">
        <v>27</v>
      </c>
      <c r="D340" s="3" t="s">
        <v>39</v>
      </c>
      <c r="E340" s="1" t="s">
        <v>40</v>
      </c>
      <c r="F340" s="1">
        <v>0.5</v>
      </c>
      <c r="G340" s="1" t="s">
        <v>41</v>
      </c>
      <c r="I340" s="1" t="s">
        <v>1129</v>
      </c>
      <c r="K340" s="1" t="b">
        <v>0</v>
      </c>
      <c r="L340" s="1" t="s">
        <v>25</v>
      </c>
    </row>
    <row r="341">
      <c r="A341" s="1" t="s">
        <v>1130</v>
      </c>
      <c r="B341" s="1" t="s">
        <v>1131</v>
      </c>
      <c r="C341" s="1" t="s">
        <v>27</v>
      </c>
      <c r="D341" s="3" t="s">
        <v>39</v>
      </c>
      <c r="E341" s="1" t="s">
        <v>40</v>
      </c>
      <c r="G341" s="1" t="s">
        <v>40</v>
      </c>
      <c r="I341" s="1" t="s">
        <v>1132</v>
      </c>
      <c r="K341" s="1" t="b">
        <v>0</v>
      </c>
      <c r="L341" s="1" t="s">
        <v>1133</v>
      </c>
    </row>
    <row r="342">
      <c r="D342" s="11"/>
    </row>
    <row r="343">
      <c r="D343" s="11"/>
    </row>
    <row r="344">
      <c r="D344" s="11"/>
    </row>
    <row r="345">
      <c r="D345" s="11"/>
    </row>
    <row r="346">
      <c r="D346" s="11"/>
    </row>
    <row r="347">
      <c r="D347" s="11"/>
    </row>
    <row r="348">
      <c r="D348" s="11"/>
    </row>
    <row r="349">
      <c r="D349" s="11"/>
    </row>
    <row r="350">
      <c r="D350" s="11"/>
    </row>
    <row r="351">
      <c r="D351" s="11"/>
    </row>
    <row r="352">
      <c r="D352" s="11"/>
    </row>
    <row r="353">
      <c r="D353" s="11"/>
    </row>
    <row r="354">
      <c r="D354" s="11"/>
    </row>
    <row r="355">
      <c r="D355" s="11"/>
    </row>
    <row r="356">
      <c r="D356" s="11"/>
    </row>
    <row r="357">
      <c r="D357" s="11"/>
    </row>
    <row r="358">
      <c r="D358" s="11"/>
    </row>
    <row r="359">
      <c r="D359" s="11"/>
    </row>
    <row r="360">
      <c r="D360" s="11"/>
    </row>
    <row r="361">
      <c r="D361" s="11"/>
    </row>
    <row r="362">
      <c r="D362" s="11"/>
    </row>
    <row r="363">
      <c r="D363" s="11"/>
    </row>
    <row r="364">
      <c r="D364" s="11"/>
    </row>
    <row r="365">
      <c r="D365" s="11"/>
    </row>
    <row r="366">
      <c r="D366" s="11"/>
    </row>
    <row r="367">
      <c r="D367" s="11"/>
    </row>
    <row r="368">
      <c r="D368" s="11"/>
    </row>
    <row r="369">
      <c r="D369" s="11"/>
    </row>
    <row r="370">
      <c r="D370" s="11"/>
    </row>
    <row r="371">
      <c r="D371" s="11"/>
    </row>
    <row r="372">
      <c r="D372" s="11"/>
    </row>
    <row r="373">
      <c r="D373" s="11"/>
    </row>
    <row r="374">
      <c r="D374" s="11"/>
    </row>
    <row r="375">
      <c r="D375" s="11"/>
    </row>
    <row r="376">
      <c r="D376" s="11"/>
    </row>
    <row r="377">
      <c r="D377" s="11"/>
    </row>
    <row r="378">
      <c r="D378" s="11"/>
    </row>
    <row r="379">
      <c r="D379" s="11"/>
    </row>
    <row r="380">
      <c r="D380" s="11"/>
    </row>
    <row r="381">
      <c r="D381" s="11"/>
    </row>
    <row r="382">
      <c r="D382" s="11"/>
    </row>
    <row r="383">
      <c r="D383" s="11"/>
    </row>
    <row r="384">
      <c r="D384" s="11"/>
    </row>
    <row r="385">
      <c r="D385" s="11"/>
    </row>
    <row r="386">
      <c r="D386" s="11"/>
    </row>
    <row r="387">
      <c r="D387" s="11"/>
    </row>
    <row r="388">
      <c r="D388" s="11"/>
    </row>
    <row r="389">
      <c r="D389" s="11"/>
    </row>
    <row r="390">
      <c r="D390" s="11"/>
    </row>
    <row r="391">
      <c r="D391" s="11"/>
    </row>
    <row r="392">
      <c r="D392" s="11"/>
    </row>
    <row r="393">
      <c r="D393" s="11"/>
    </row>
    <row r="394">
      <c r="D394" s="11"/>
    </row>
    <row r="395">
      <c r="D395" s="11"/>
    </row>
    <row r="396">
      <c r="D396" s="11"/>
    </row>
    <row r="397">
      <c r="D397" s="11"/>
    </row>
    <row r="398">
      <c r="D398" s="11"/>
    </row>
    <row r="399">
      <c r="D399" s="11"/>
    </row>
    <row r="400">
      <c r="D400" s="11"/>
    </row>
    <row r="401">
      <c r="D401" s="11"/>
    </row>
    <row r="402">
      <c r="D402" s="11"/>
    </row>
    <row r="403">
      <c r="D403" s="11"/>
    </row>
    <row r="404">
      <c r="D404" s="11"/>
    </row>
    <row r="405">
      <c r="D405" s="11"/>
    </row>
    <row r="406">
      <c r="D406" s="11"/>
    </row>
    <row r="407">
      <c r="D407" s="11"/>
    </row>
    <row r="408">
      <c r="D408" s="11"/>
    </row>
    <row r="409">
      <c r="D409" s="11"/>
    </row>
    <row r="410">
      <c r="D410" s="11"/>
    </row>
    <row r="411">
      <c r="D411" s="11"/>
    </row>
    <row r="412">
      <c r="D412" s="11"/>
    </row>
    <row r="413">
      <c r="D413" s="11"/>
    </row>
    <row r="414">
      <c r="D414" s="11"/>
    </row>
    <row r="415">
      <c r="D415" s="11"/>
    </row>
    <row r="416">
      <c r="D416" s="11"/>
    </row>
    <row r="417">
      <c r="D417" s="11"/>
    </row>
    <row r="418">
      <c r="D418" s="11"/>
    </row>
    <row r="419">
      <c r="D419" s="11"/>
    </row>
    <row r="420">
      <c r="D420" s="11"/>
    </row>
    <row r="421">
      <c r="D421" s="11"/>
    </row>
    <row r="422">
      <c r="D422" s="11"/>
    </row>
    <row r="423">
      <c r="D423" s="11"/>
    </row>
    <row r="424">
      <c r="D424" s="11"/>
    </row>
    <row r="425">
      <c r="D425" s="11"/>
    </row>
    <row r="426">
      <c r="D426" s="11"/>
    </row>
    <row r="427">
      <c r="D427" s="11"/>
    </row>
    <row r="428">
      <c r="D428" s="11"/>
    </row>
    <row r="429">
      <c r="D429" s="11"/>
    </row>
    <row r="430">
      <c r="D430" s="11"/>
    </row>
    <row r="431">
      <c r="D431" s="11"/>
    </row>
    <row r="432">
      <c r="D432" s="11"/>
    </row>
    <row r="433">
      <c r="D433" s="11"/>
    </row>
    <row r="434">
      <c r="D434" s="11"/>
    </row>
    <row r="435">
      <c r="D435" s="11"/>
    </row>
    <row r="436">
      <c r="D436" s="11"/>
    </row>
    <row r="437">
      <c r="D437" s="11"/>
    </row>
    <row r="438">
      <c r="D438" s="11"/>
    </row>
    <row r="439">
      <c r="D439" s="11"/>
    </row>
    <row r="440">
      <c r="D440" s="11"/>
    </row>
    <row r="441">
      <c r="D441" s="11"/>
    </row>
    <row r="442">
      <c r="D442" s="11"/>
    </row>
    <row r="443">
      <c r="D443" s="11"/>
    </row>
    <row r="444">
      <c r="D444" s="11"/>
    </row>
    <row r="445">
      <c r="D445" s="11"/>
    </row>
    <row r="446">
      <c r="D446" s="11"/>
    </row>
    <row r="447">
      <c r="D447" s="11"/>
    </row>
    <row r="448">
      <c r="D448" s="11"/>
    </row>
    <row r="449">
      <c r="D449" s="11"/>
    </row>
    <row r="450">
      <c r="D450" s="11"/>
    </row>
    <row r="451">
      <c r="D451" s="11"/>
    </row>
    <row r="452">
      <c r="D452" s="11"/>
    </row>
    <row r="453">
      <c r="D453" s="11"/>
    </row>
    <row r="454">
      <c r="D454" s="11"/>
    </row>
    <row r="455">
      <c r="D455" s="11"/>
    </row>
    <row r="456">
      <c r="D456" s="11"/>
    </row>
    <row r="457">
      <c r="D457" s="11"/>
    </row>
    <row r="458">
      <c r="D458" s="11"/>
    </row>
    <row r="459">
      <c r="D459" s="11"/>
    </row>
    <row r="460">
      <c r="D460" s="11"/>
    </row>
    <row r="461">
      <c r="D461" s="11"/>
    </row>
    <row r="462">
      <c r="D462" s="11"/>
    </row>
    <row r="463">
      <c r="D463" s="11"/>
    </row>
    <row r="464">
      <c r="D464" s="11"/>
    </row>
    <row r="465">
      <c r="D465" s="11"/>
    </row>
    <row r="466">
      <c r="D466" s="11"/>
    </row>
    <row r="467">
      <c r="D467" s="11"/>
    </row>
    <row r="468">
      <c r="D468" s="11"/>
    </row>
    <row r="469">
      <c r="D469" s="11"/>
    </row>
    <row r="470">
      <c r="D470" s="11"/>
    </row>
    <row r="471">
      <c r="D471" s="11"/>
    </row>
    <row r="472">
      <c r="D472" s="11"/>
    </row>
    <row r="473">
      <c r="D473" s="11"/>
    </row>
    <row r="474">
      <c r="D474" s="11"/>
    </row>
    <row r="475">
      <c r="D475" s="11"/>
    </row>
    <row r="476">
      <c r="D476" s="11"/>
    </row>
    <row r="477">
      <c r="D477" s="11"/>
    </row>
    <row r="478">
      <c r="D478" s="11"/>
    </row>
    <row r="479">
      <c r="D479" s="11"/>
    </row>
    <row r="480">
      <c r="D480" s="11"/>
    </row>
    <row r="481">
      <c r="D481" s="11"/>
    </row>
    <row r="482">
      <c r="D482" s="11"/>
    </row>
    <row r="483">
      <c r="D483" s="11"/>
    </row>
    <row r="484">
      <c r="D484" s="11"/>
    </row>
    <row r="485">
      <c r="D485" s="11"/>
    </row>
    <row r="486">
      <c r="D486" s="11"/>
    </row>
    <row r="487">
      <c r="D487" s="11"/>
    </row>
    <row r="488">
      <c r="D488" s="11"/>
    </row>
    <row r="489">
      <c r="D489" s="11"/>
    </row>
    <row r="490">
      <c r="D490" s="11"/>
    </row>
    <row r="491">
      <c r="D491" s="11"/>
    </row>
    <row r="492">
      <c r="D492" s="11"/>
    </row>
    <row r="493">
      <c r="D493" s="11"/>
    </row>
    <row r="494">
      <c r="D494" s="11"/>
    </row>
    <row r="495">
      <c r="D495" s="11"/>
    </row>
    <row r="496">
      <c r="D496" s="11"/>
    </row>
    <row r="497">
      <c r="D497" s="11"/>
    </row>
    <row r="498">
      <c r="D498" s="11"/>
    </row>
    <row r="499">
      <c r="D499" s="11"/>
    </row>
    <row r="500">
      <c r="D500" s="11"/>
    </row>
    <row r="501">
      <c r="D501" s="11"/>
    </row>
    <row r="502">
      <c r="D502" s="11"/>
    </row>
    <row r="503">
      <c r="D503" s="11"/>
    </row>
    <row r="504">
      <c r="D504" s="11"/>
    </row>
    <row r="505">
      <c r="D505" s="11"/>
    </row>
    <row r="506">
      <c r="D506" s="11"/>
    </row>
    <row r="507">
      <c r="D507" s="11"/>
    </row>
    <row r="508">
      <c r="D508" s="11"/>
    </row>
    <row r="509">
      <c r="D509" s="11"/>
    </row>
    <row r="510">
      <c r="D510" s="11"/>
    </row>
    <row r="511">
      <c r="D511" s="11"/>
    </row>
    <row r="512">
      <c r="D512" s="11"/>
    </row>
    <row r="513">
      <c r="D513" s="11"/>
    </row>
    <row r="514">
      <c r="D514" s="11"/>
    </row>
    <row r="515">
      <c r="D515" s="11"/>
    </row>
    <row r="516">
      <c r="D516" s="11"/>
    </row>
    <row r="517">
      <c r="D517" s="11"/>
    </row>
    <row r="518">
      <c r="D518" s="11"/>
    </row>
    <row r="519">
      <c r="D519" s="11"/>
    </row>
    <row r="520">
      <c r="D520" s="11"/>
    </row>
    <row r="521">
      <c r="D521" s="11"/>
    </row>
    <row r="522">
      <c r="D522" s="11"/>
    </row>
    <row r="523">
      <c r="D523" s="11"/>
    </row>
    <row r="524">
      <c r="D524" s="11"/>
    </row>
    <row r="525">
      <c r="D525" s="11"/>
    </row>
    <row r="526">
      <c r="D526" s="11"/>
    </row>
    <row r="527">
      <c r="D527" s="11"/>
    </row>
    <row r="528">
      <c r="D528" s="11"/>
    </row>
    <row r="529">
      <c r="D529" s="11"/>
    </row>
    <row r="530">
      <c r="D530" s="11"/>
    </row>
    <row r="531">
      <c r="D531" s="11"/>
    </row>
    <row r="532">
      <c r="D532" s="11"/>
    </row>
    <row r="533">
      <c r="D533" s="11"/>
    </row>
    <row r="534">
      <c r="D534" s="11"/>
    </row>
    <row r="535">
      <c r="D535" s="11"/>
    </row>
    <row r="536">
      <c r="D536" s="11"/>
    </row>
    <row r="537">
      <c r="D537" s="11"/>
    </row>
    <row r="538">
      <c r="D538" s="11"/>
    </row>
    <row r="539">
      <c r="D539" s="11"/>
    </row>
    <row r="540">
      <c r="D540" s="11"/>
    </row>
    <row r="541">
      <c r="D541" s="11"/>
    </row>
    <row r="542">
      <c r="D542" s="11"/>
    </row>
    <row r="543">
      <c r="D543" s="11"/>
    </row>
    <row r="544">
      <c r="D544" s="11"/>
    </row>
    <row r="545">
      <c r="D545" s="11"/>
    </row>
    <row r="546">
      <c r="D546" s="11"/>
    </row>
    <row r="547">
      <c r="D547" s="11"/>
    </row>
    <row r="548">
      <c r="D548" s="11"/>
    </row>
    <row r="549">
      <c r="D549" s="11"/>
    </row>
    <row r="550">
      <c r="D550" s="11"/>
    </row>
    <row r="551">
      <c r="D551" s="11"/>
    </row>
    <row r="552">
      <c r="D552" s="11"/>
    </row>
    <row r="553">
      <c r="D553" s="11"/>
    </row>
    <row r="554">
      <c r="D554" s="11"/>
    </row>
    <row r="555">
      <c r="D555" s="11"/>
    </row>
    <row r="556">
      <c r="D556" s="11"/>
    </row>
    <row r="557">
      <c r="D557" s="11"/>
    </row>
    <row r="558">
      <c r="D558" s="11"/>
    </row>
    <row r="559">
      <c r="D559" s="11"/>
    </row>
    <row r="560">
      <c r="D560" s="11"/>
    </row>
    <row r="561">
      <c r="D561" s="11"/>
    </row>
    <row r="562">
      <c r="D562" s="11"/>
    </row>
    <row r="563">
      <c r="D563" s="11"/>
    </row>
    <row r="564">
      <c r="D564" s="11"/>
    </row>
    <row r="565">
      <c r="D565" s="11"/>
    </row>
    <row r="566">
      <c r="D566" s="11"/>
    </row>
    <row r="567">
      <c r="D567" s="11"/>
    </row>
    <row r="568">
      <c r="D568" s="11"/>
    </row>
    <row r="569">
      <c r="D569" s="11"/>
    </row>
    <row r="570">
      <c r="D570" s="11"/>
    </row>
    <row r="571">
      <c r="D571" s="11"/>
    </row>
    <row r="572">
      <c r="D572" s="11"/>
    </row>
    <row r="573">
      <c r="D573" s="11"/>
    </row>
    <row r="574">
      <c r="D574" s="11"/>
    </row>
    <row r="575">
      <c r="D575" s="11"/>
    </row>
    <row r="576">
      <c r="D576" s="11"/>
    </row>
    <row r="577">
      <c r="D577" s="11"/>
    </row>
    <row r="578">
      <c r="D578" s="11"/>
    </row>
    <row r="579">
      <c r="D579" s="11"/>
    </row>
    <row r="580">
      <c r="D580" s="11"/>
    </row>
    <row r="581">
      <c r="D581" s="11"/>
    </row>
    <row r="582">
      <c r="D582" s="11"/>
    </row>
    <row r="583">
      <c r="D583" s="11"/>
    </row>
    <row r="584">
      <c r="D584" s="11"/>
    </row>
    <row r="585">
      <c r="D585" s="11"/>
    </row>
    <row r="586">
      <c r="D586" s="11"/>
    </row>
    <row r="587">
      <c r="D587" s="11"/>
    </row>
    <row r="588">
      <c r="D588" s="11"/>
    </row>
    <row r="589">
      <c r="D589" s="11"/>
    </row>
    <row r="590">
      <c r="D590" s="11"/>
    </row>
    <row r="591">
      <c r="D591" s="11"/>
    </row>
    <row r="592">
      <c r="D592" s="11"/>
    </row>
    <row r="593">
      <c r="D593" s="11"/>
    </row>
    <row r="594">
      <c r="D594" s="11"/>
    </row>
    <row r="595">
      <c r="D595" s="11"/>
    </row>
    <row r="596">
      <c r="D596" s="11"/>
    </row>
    <row r="597">
      <c r="D597" s="11"/>
    </row>
    <row r="598">
      <c r="D598" s="11"/>
    </row>
    <row r="599">
      <c r="D599" s="11"/>
    </row>
    <row r="600">
      <c r="D600" s="11"/>
    </row>
    <row r="601">
      <c r="D601" s="11"/>
    </row>
    <row r="602">
      <c r="D602" s="11"/>
    </row>
    <row r="603">
      <c r="D603" s="11"/>
    </row>
    <row r="604">
      <c r="D604" s="11"/>
    </row>
    <row r="605">
      <c r="D605" s="11"/>
    </row>
    <row r="606">
      <c r="D606" s="11"/>
    </row>
    <row r="607">
      <c r="D607" s="11"/>
    </row>
    <row r="608">
      <c r="D608" s="11"/>
    </row>
    <row r="609">
      <c r="D609" s="11"/>
    </row>
    <row r="610">
      <c r="D610" s="11"/>
    </row>
    <row r="611">
      <c r="D611" s="11"/>
    </row>
    <row r="612">
      <c r="D612" s="11"/>
    </row>
    <row r="613">
      <c r="D613" s="11"/>
    </row>
    <row r="614">
      <c r="D614" s="11"/>
    </row>
    <row r="615">
      <c r="D615" s="11"/>
    </row>
    <row r="616">
      <c r="D616" s="11"/>
    </row>
    <row r="617">
      <c r="D617" s="11"/>
    </row>
    <row r="618">
      <c r="D618" s="11"/>
    </row>
    <row r="619">
      <c r="D619" s="11"/>
    </row>
    <row r="620">
      <c r="D620" s="11"/>
    </row>
    <row r="621">
      <c r="D621" s="11"/>
    </row>
    <row r="622">
      <c r="D622" s="11"/>
    </row>
    <row r="623">
      <c r="D623" s="11"/>
    </row>
    <row r="624">
      <c r="D624" s="11"/>
    </row>
    <row r="625">
      <c r="D625" s="11"/>
    </row>
    <row r="626">
      <c r="D626" s="11"/>
    </row>
    <row r="627">
      <c r="D627" s="11"/>
    </row>
    <row r="628">
      <c r="D628" s="11"/>
    </row>
    <row r="629">
      <c r="D629" s="11"/>
    </row>
    <row r="630">
      <c r="D630" s="11"/>
    </row>
    <row r="631">
      <c r="D631" s="11"/>
    </row>
    <row r="632">
      <c r="D632" s="11"/>
    </row>
    <row r="633">
      <c r="D633" s="11"/>
    </row>
    <row r="634">
      <c r="D634" s="11"/>
    </row>
    <row r="635">
      <c r="D635" s="11"/>
    </row>
    <row r="636">
      <c r="D636" s="11"/>
    </row>
    <row r="637">
      <c r="D637" s="11"/>
    </row>
    <row r="638">
      <c r="D638" s="11"/>
    </row>
    <row r="639">
      <c r="D639" s="11"/>
    </row>
    <row r="640">
      <c r="D640" s="11"/>
    </row>
    <row r="641">
      <c r="D641" s="11"/>
    </row>
    <row r="642">
      <c r="D642" s="11"/>
    </row>
    <row r="643">
      <c r="D643" s="11"/>
    </row>
    <row r="644">
      <c r="D644" s="11"/>
    </row>
    <row r="645">
      <c r="D645" s="11"/>
    </row>
    <row r="646">
      <c r="D646" s="11"/>
    </row>
    <row r="647">
      <c r="D647" s="11"/>
    </row>
    <row r="648">
      <c r="D648" s="11"/>
    </row>
    <row r="649">
      <c r="D649" s="11"/>
    </row>
    <row r="650">
      <c r="D650" s="11"/>
    </row>
    <row r="651">
      <c r="D651" s="11"/>
    </row>
    <row r="652">
      <c r="D652" s="11"/>
    </row>
    <row r="653">
      <c r="D653" s="11"/>
    </row>
    <row r="654">
      <c r="D654" s="11"/>
    </row>
    <row r="655">
      <c r="D655" s="11"/>
    </row>
    <row r="656">
      <c r="D656" s="11"/>
    </row>
    <row r="657">
      <c r="D657" s="11"/>
    </row>
    <row r="658">
      <c r="D658" s="11"/>
    </row>
    <row r="659">
      <c r="D659" s="11"/>
    </row>
    <row r="660">
      <c r="D660" s="11"/>
    </row>
    <row r="661">
      <c r="D661" s="11"/>
    </row>
    <row r="662">
      <c r="D662" s="11"/>
    </row>
    <row r="663">
      <c r="D663" s="11"/>
    </row>
    <row r="664">
      <c r="D664" s="11"/>
    </row>
    <row r="665">
      <c r="D665" s="11"/>
    </row>
    <row r="666">
      <c r="D666" s="11"/>
    </row>
    <row r="667">
      <c r="D667" s="11"/>
    </row>
    <row r="668">
      <c r="D668" s="11"/>
    </row>
    <row r="669">
      <c r="D669" s="11"/>
    </row>
    <row r="670">
      <c r="D670" s="11"/>
    </row>
    <row r="671">
      <c r="D671" s="11"/>
    </row>
    <row r="672">
      <c r="D672" s="11"/>
    </row>
    <row r="673">
      <c r="D673" s="11"/>
    </row>
    <row r="674">
      <c r="D674" s="11"/>
    </row>
    <row r="675">
      <c r="D675" s="11"/>
    </row>
    <row r="676">
      <c r="D676" s="11"/>
    </row>
    <row r="677">
      <c r="D677" s="11"/>
    </row>
    <row r="678">
      <c r="D678" s="11"/>
    </row>
    <row r="679">
      <c r="D679" s="11"/>
    </row>
    <row r="680">
      <c r="D680" s="11"/>
    </row>
    <row r="681">
      <c r="D681" s="11"/>
    </row>
    <row r="682">
      <c r="D682" s="11"/>
    </row>
    <row r="683">
      <c r="D683" s="11"/>
    </row>
    <row r="684">
      <c r="D684" s="11"/>
    </row>
    <row r="685">
      <c r="D685" s="11"/>
    </row>
    <row r="686">
      <c r="D686" s="11"/>
    </row>
    <row r="687">
      <c r="D687" s="11"/>
    </row>
    <row r="688">
      <c r="D688" s="11"/>
    </row>
    <row r="689">
      <c r="D689" s="11"/>
    </row>
    <row r="690">
      <c r="D690" s="11"/>
    </row>
    <row r="691">
      <c r="D691" s="11"/>
    </row>
    <row r="692">
      <c r="D692" s="11"/>
    </row>
    <row r="693">
      <c r="D693" s="11"/>
    </row>
    <row r="694">
      <c r="D694" s="11"/>
    </row>
    <row r="695">
      <c r="D695" s="11"/>
    </row>
    <row r="696">
      <c r="D696" s="11"/>
    </row>
    <row r="697">
      <c r="D697" s="11"/>
    </row>
    <row r="698">
      <c r="D698" s="11"/>
    </row>
    <row r="699">
      <c r="D699" s="11"/>
    </row>
    <row r="700">
      <c r="D700" s="11"/>
    </row>
    <row r="701">
      <c r="D701" s="11"/>
    </row>
    <row r="702">
      <c r="D702" s="11"/>
    </row>
    <row r="703">
      <c r="D703" s="11"/>
    </row>
    <row r="704">
      <c r="D704" s="11"/>
    </row>
    <row r="705">
      <c r="D705" s="11"/>
    </row>
    <row r="706">
      <c r="D706" s="11"/>
    </row>
    <row r="707">
      <c r="D707" s="11"/>
    </row>
    <row r="708">
      <c r="D708" s="11"/>
    </row>
    <row r="709">
      <c r="D709" s="11"/>
    </row>
    <row r="710">
      <c r="D710" s="11"/>
    </row>
    <row r="711">
      <c r="D711" s="11"/>
    </row>
    <row r="712">
      <c r="D712" s="11"/>
    </row>
    <row r="713">
      <c r="D713" s="11"/>
    </row>
    <row r="714">
      <c r="D714" s="11"/>
    </row>
    <row r="715">
      <c r="D715" s="11"/>
    </row>
    <row r="716">
      <c r="D716" s="11"/>
    </row>
    <row r="717">
      <c r="D717" s="11"/>
    </row>
    <row r="718">
      <c r="D718" s="11"/>
    </row>
    <row r="719">
      <c r="D719" s="11"/>
    </row>
    <row r="720">
      <c r="D720" s="11"/>
    </row>
    <row r="721">
      <c r="D721" s="11"/>
    </row>
    <row r="722">
      <c r="D722" s="11"/>
    </row>
    <row r="723">
      <c r="D723" s="11"/>
    </row>
    <row r="724">
      <c r="D724" s="11"/>
    </row>
    <row r="725">
      <c r="D725" s="11"/>
    </row>
    <row r="726">
      <c r="D726" s="11"/>
    </row>
    <row r="727">
      <c r="D727" s="11"/>
    </row>
    <row r="728">
      <c r="D728" s="11"/>
    </row>
    <row r="729">
      <c r="D729" s="11"/>
    </row>
    <row r="730">
      <c r="D730" s="11"/>
    </row>
    <row r="731">
      <c r="D731" s="11"/>
    </row>
    <row r="732">
      <c r="D732" s="11"/>
    </row>
    <row r="733">
      <c r="D733" s="11"/>
    </row>
    <row r="734">
      <c r="D734" s="11"/>
    </row>
    <row r="735">
      <c r="D735" s="11"/>
    </row>
    <row r="736">
      <c r="D736" s="11"/>
    </row>
    <row r="737">
      <c r="D737" s="11"/>
    </row>
    <row r="738">
      <c r="D738" s="11"/>
    </row>
    <row r="739">
      <c r="D739" s="11"/>
    </row>
    <row r="740">
      <c r="D740" s="11"/>
    </row>
    <row r="741">
      <c r="D741" s="11"/>
    </row>
    <row r="742">
      <c r="D742" s="11"/>
    </row>
    <row r="743">
      <c r="D743" s="11"/>
    </row>
    <row r="744">
      <c r="D744" s="11"/>
    </row>
    <row r="745">
      <c r="D745" s="11"/>
    </row>
    <row r="746">
      <c r="D746" s="11"/>
    </row>
    <row r="747">
      <c r="D747" s="11"/>
    </row>
    <row r="748">
      <c r="D748" s="11"/>
    </row>
    <row r="749">
      <c r="D749" s="11"/>
    </row>
    <row r="750">
      <c r="D750" s="11"/>
    </row>
    <row r="751">
      <c r="D751" s="11"/>
    </row>
    <row r="752">
      <c r="D752" s="11"/>
    </row>
    <row r="753">
      <c r="D753" s="11"/>
    </row>
    <row r="754">
      <c r="D754" s="11"/>
    </row>
    <row r="755">
      <c r="D755" s="11"/>
    </row>
    <row r="756">
      <c r="D756" s="11"/>
    </row>
    <row r="757">
      <c r="D757" s="11"/>
    </row>
    <row r="758">
      <c r="D758" s="11"/>
    </row>
    <row r="759">
      <c r="D759" s="11"/>
    </row>
    <row r="760">
      <c r="D760" s="11"/>
    </row>
    <row r="761">
      <c r="D761" s="11"/>
    </row>
    <row r="762">
      <c r="D762" s="11"/>
    </row>
    <row r="763">
      <c r="D763" s="11"/>
    </row>
    <row r="764">
      <c r="D764" s="11"/>
    </row>
    <row r="765">
      <c r="D765" s="11"/>
    </row>
    <row r="766">
      <c r="D766" s="11"/>
    </row>
    <row r="767">
      <c r="D767" s="11"/>
    </row>
    <row r="768">
      <c r="D768" s="11"/>
    </row>
    <row r="769">
      <c r="D769" s="11"/>
    </row>
    <row r="770">
      <c r="D770" s="11"/>
    </row>
    <row r="771">
      <c r="D771" s="11"/>
    </row>
    <row r="772">
      <c r="D772" s="11"/>
    </row>
    <row r="773">
      <c r="D773" s="11"/>
    </row>
    <row r="774">
      <c r="D774" s="11"/>
    </row>
    <row r="775">
      <c r="D775" s="11"/>
    </row>
    <row r="776">
      <c r="D776" s="11"/>
    </row>
    <row r="777">
      <c r="D777" s="11"/>
    </row>
    <row r="778">
      <c r="D778" s="11"/>
    </row>
    <row r="779">
      <c r="D779" s="11"/>
    </row>
    <row r="780">
      <c r="D780" s="11"/>
    </row>
    <row r="781">
      <c r="D781" s="11"/>
    </row>
    <row r="782">
      <c r="D782" s="11"/>
    </row>
    <row r="783">
      <c r="D783" s="11"/>
    </row>
    <row r="784">
      <c r="D784" s="11"/>
    </row>
    <row r="785">
      <c r="D785" s="11"/>
    </row>
    <row r="786">
      <c r="D786" s="11"/>
    </row>
    <row r="787">
      <c r="D787" s="11"/>
    </row>
    <row r="788">
      <c r="D788" s="11"/>
    </row>
    <row r="789">
      <c r="D789" s="11"/>
    </row>
    <row r="790">
      <c r="D790" s="11"/>
    </row>
    <row r="791">
      <c r="D791" s="11"/>
    </row>
    <row r="792">
      <c r="D792" s="11"/>
    </row>
    <row r="793">
      <c r="D793" s="11"/>
    </row>
    <row r="794">
      <c r="D794" s="11"/>
    </row>
    <row r="795">
      <c r="D795" s="11"/>
    </row>
    <row r="796">
      <c r="D796" s="11"/>
    </row>
    <row r="797">
      <c r="D797" s="11"/>
    </row>
    <row r="798">
      <c r="D798" s="11"/>
    </row>
    <row r="799">
      <c r="D799" s="11"/>
    </row>
    <row r="800">
      <c r="D800" s="11"/>
    </row>
    <row r="801">
      <c r="D801" s="11"/>
    </row>
    <row r="802">
      <c r="D802" s="11"/>
    </row>
    <row r="803">
      <c r="D803" s="11"/>
    </row>
    <row r="804">
      <c r="D804" s="11"/>
    </row>
    <row r="805">
      <c r="D805" s="11"/>
    </row>
    <row r="806">
      <c r="D806" s="11"/>
    </row>
    <row r="807">
      <c r="D807" s="11"/>
    </row>
    <row r="808">
      <c r="D808" s="11"/>
    </row>
    <row r="809">
      <c r="D809" s="11"/>
    </row>
    <row r="810">
      <c r="D810" s="11"/>
    </row>
    <row r="811">
      <c r="D811" s="11"/>
    </row>
    <row r="812">
      <c r="D812" s="11"/>
    </row>
    <row r="813">
      <c r="D813" s="11"/>
    </row>
    <row r="814">
      <c r="D814" s="11"/>
    </row>
    <row r="815">
      <c r="D815" s="11"/>
    </row>
    <row r="816">
      <c r="D816" s="11"/>
    </row>
    <row r="817">
      <c r="D817" s="11"/>
    </row>
    <row r="818">
      <c r="D818" s="11"/>
    </row>
    <row r="819">
      <c r="D819" s="11"/>
    </row>
    <row r="820">
      <c r="D820" s="11"/>
    </row>
    <row r="821">
      <c r="D821" s="11"/>
    </row>
    <row r="822">
      <c r="D822" s="11"/>
    </row>
    <row r="823">
      <c r="D823" s="11"/>
    </row>
    <row r="824">
      <c r="D824" s="11"/>
    </row>
    <row r="825">
      <c r="D825" s="11"/>
    </row>
    <row r="826">
      <c r="D826" s="11"/>
    </row>
    <row r="827">
      <c r="D827" s="11"/>
    </row>
    <row r="828">
      <c r="D828" s="11"/>
    </row>
    <row r="829">
      <c r="D829" s="11"/>
    </row>
    <row r="830">
      <c r="D830" s="11"/>
    </row>
    <row r="831">
      <c r="D831" s="11"/>
    </row>
    <row r="832">
      <c r="D832" s="11"/>
    </row>
    <row r="833">
      <c r="D833" s="11"/>
    </row>
    <row r="834">
      <c r="D834" s="11"/>
    </row>
    <row r="835">
      <c r="D835" s="11"/>
    </row>
    <row r="836">
      <c r="D836" s="11"/>
    </row>
    <row r="837">
      <c r="D837" s="11"/>
    </row>
    <row r="838">
      <c r="D838" s="11"/>
    </row>
    <row r="839">
      <c r="D839" s="11"/>
    </row>
    <row r="840">
      <c r="D840" s="11"/>
    </row>
    <row r="841">
      <c r="D841" s="11"/>
    </row>
    <row r="842">
      <c r="D842" s="11"/>
    </row>
    <row r="843">
      <c r="D843" s="11"/>
    </row>
    <row r="844">
      <c r="D844" s="11"/>
    </row>
    <row r="845">
      <c r="D845" s="11"/>
    </row>
    <row r="846">
      <c r="D846" s="11"/>
    </row>
    <row r="847">
      <c r="D847" s="11"/>
    </row>
    <row r="848">
      <c r="D848" s="11"/>
    </row>
    <row r="849">
      <c r="D849" s="11"/>
    </row>
    <row r="850">
      <c r="D850" s="11"/>
    </row>
    <row r="851">
      <c r="D851" s="11"/>
    </row>
    <row r="852">
      <c r="D852" s="11"/>
    </row>
    <row r="853">
      <c r="D853" s="11"/>
    </row>
    <row r="854">
      <c r="D854" s="11"/>
    </row>
    <row r="855">
      <c r="D855" s="11"/>
    </row>
    <row r="856">
      <c r="D856" s="11"/>
    </row>
    <row r="857">
      <c r="D857" s="11"/>
    </row>
    <row r="858">
      <c r="D858" s="11"/>
    </row>
    <row r="859">
      <c r="D859" s="11"/>
    </row>
    <row r="860">
      <c r="D860" s="11"/>
    </row>
    <row r="861">
      <c r="D861" s="11"/>
    </row>
    <row r="862">
      <c r="D862" s="11"/>
    </row>
    <row r="863">
      <c r="D863" s="11"/>
    </row>
    <row r="864">
      <c r="D864" s="11"/>
    </row>
    <row r="865">
      <c r="D865" s="11"/>
    </row>
    <row r="866">
      <c r="D866" s="11"/>
    </row>
    <row r="867">
      <c r="D867" s="11"/>
    </row>
    <row r="868">
      <c r="D868" s="11"/>
    </row>
    <row r="869">
      <c r="D869" s="11"/>
    </row>
    <row r="870">
      <c r="D870" s="11"/>
    </row>
    <row r="871">
      <c r="D871" s="11"/>
    </row>
    <row r="872">
      <c r="D872" s="11"/>
    </row>
    <row r="873">
      <c r="D873" s="11"/>
    </row>
    <row r="874">
      <c r="D874" s="11"/>
    </row>
    <row r="875">
      <c r="D875" s="11"/>
    </row>
    <row r="876">
      <c r="D876" s="11"/>
    </row>
    <row r="877">
      <c r="D877" s="11"/>
    </row>
    <row r="878">
      <c r="D878" s="11"/>
    </row>
    <row r="879">
      <c r="D879" s="11"/>
    </row>
    <row r="880">
      <c r="D880" s="11"/>
    </row>
    <row r="881">
      <c r="D881" s="11"/>
    </row>
    <row r="882">
      <c r="D882" s="11"/>
    </row>
    <row r="883">
      <c r="D883" s="11"/>
    </row>
    <row r="884">
      <c r="D884" s="11"/>
    </row>
    <row r="885">
      <c r="D885" s="11"/>
    </row>
    <row r="886">
      <c r="D886" s="11"/>
    </row>
    <row r="887">
      <c r="D887" s="11"/>
    </row>
    <row r="888">
      <c r="D888" s="11"/>
    </row>
    <row r="889">
      <c r="D889" s="11"/>
    </row>
    <row r="890">
      <c r="D890" s="11"/>
    </row>
    <row r="891">
      <c r="D891" s="11"/>
    </row>
    <row r="892">
      <c r="D892" s="11"/>
    </row>
    <row r="893">
      <c r="D893" s="11"/>
    </row>
    <row r="894">
      <c r="D894" s="11"/>
    </row>
    <row r="895">
      <c r="D895" s="11"/>
    </row>
    <row r="896">
      <c r="D896" s="11"/>
    </row>
    <row r="897">
      <c r="D897" s="11"/>
    </row>
    <row r="898">
      <c r="D898" s="11"/>
    </row>
    <row r="899">
      <c r="D899" s="11"/>
    </row>
    <row r="900">
      <c r="D900" s="11"/>
    </row>
    <row r="901">
      <c r="D901" s="11"/>
    </row>
    <row r="902">
      <c r="D902" s="11"/>
    </row>
    <row r="903">
      <c r="D903" s="11"/>
    </row>
    <row r="904">
      <c r="D904" s="11"/>
    </row>
    <row r="905">
      <c r="D905" s="11"/>
    </row>
    <row r="906">
      <c r="D906" s="11"/>
    </row>
    <row r="907">
      <c r="D907" s="11"/>
    </row>
    <row r="908">
      <c r="D908" s="11"/>
    </row>
    <row r="909">
      <c r="D909" s="11"/>
    </row>
    <row r="910">
      <c r="D910" s="11"/>
    </row>
    <row r="911">
      <c r="D911" s="11"/>
    </row>
    <row r="912">
      <c r="D912" s="11"/>
    </row>
    <row r="913">
      <c r="D913" s="11"/>
    </row>
    <row r="914">
      <c r="D914" s="11"/>
    </row>
    <row r="915">
      <c r="D915" s="11"/>
    </row>
    <row r="916">
      <c r="D916" s="11"/>
    </row>
    <row r="917">
      <c r="D917" s="11"/>
    </row>
    <row r="918">
      <c r="D918" s="11"/>
    </row>
    <row r="919">
      <c r="D919" s="11"/>
    </row>
    <row r="920">
      <c r="D920" s="11"/>
    </row>
    <row r="921">
      <c r="D921" s="11"/>
    </row>
    <row r="922">
      <c r="D922" s="11"/>
    </row>
    <row r="923">
      <c r="D923" s="11"/>
    </row>
    <row r="924">
      <c r="D924" s="11"/>
    </row>
    <row r="925">
      <c r="D925" s="11"/>
    </row>
    <row r="926">
      <c r="D926" s="11"/>
    </row>
    <row r="927">
      <c r="D927" s="11"/>
    </row>
    <row r="928">
      <c r="D928" s="11"/>
    </row>
    <row r="929">
      <c r="D929" s="11"/>
    </row>
    <row r="930">
      <c r="D930" s="11"/>
    </row>
    <row r="931">
      <c r="D931" s="11"/>
    </row>
    <row r="932">
      <c r="D932" s="11"/>
    </row>
    <row r="933">
      <c r="D933" s="11"/>
    </row>
    <row r="934">
      <c r="D934" s="11"/>
    </row>
    <row r="935">
      <c r="D935" s="11"/>
    </row>
    <row r="936">
      <c r="D936" s="11"/>
    </row>
    <row r="937">
      <c r="D937" s="11"/>
    </row>
    <row r="938">
      <c r="D938" s="11"/>
    </row>
    <row r="939">
      <c r="D939" s="11"/>
    </row>
    <row r="940">
      <c r="D940" s="11"/>
    </row>
    <row r="941">
      <c r="D941" s="11"/>
    </row>
    <row r="942">
      <c r="D942" s="11"/>
    </row>
    <row r="943">
      <c r="D943" s="11"/>
    </row>
    <row r="944">
      <c r="D944" s="11"/>
    </row>
    <row r="945">
      <c r="D945" s="11"/>
    </row>
    <row r="946">
      <c r="D946" s="11"/>
    </row>
    <row r="947">
      <c r="D947" s="11"/>
    </row>
    <row r="948">
      <c r="D948" s="11"/>
    </row>
    <row r="949">
      <c r="D949" s="11"/>
    </row>
    <row r="950">
      <c r="D950" s="11"/>
    </row>
    <row r="951">
      <c r="D951" s="11"/>
    </row>
    <row r="952">
      <c r="D952" s="11"/>
    </row>
    <row r="953">
      <c r="D953" s="11"/>
    </row>
    <row r="954">
      <c r="D954" s="11"/>
    </row>
    <row r="955">
      <c r="D955" s="11"/>
    </row>
    <row r="956">
      <c r="D956" s="11"/>
    </row>
    <row r="957">
      <c r="D957" s="11"/>
    </row>
    <row r="958">
      <c r="D958" s="11"/>
    </row>
    <row r="959">
      <c r="D959" s="11"/>
    </row>
    <row r="960">
      <c r="D960" s="11"/>
    </row>
    <row r="961">
      <c r="D961" s="11"/>
    </row>
    <row r="962">
      <c r="D962" s="11"/>
    </row>
    <row r="963">
      <c r="D963" s="11"/>
    </row>
    <row r="964">
      <c r="D964" s="11"/>
    </row>
    <row r="965">
      <c r="D965" s="11"/>
    </row>
    <row r="966">
      <c r="D966" s="11"/>
    </row>
    <row r="967">
      <c r="D967" s="11"/>
    </row>
    <row r="968">
      <c r="D968" s="11"/>
    </row>
    <row r="969">
      <c r="D969" s="11"/>
    </row>
    <row r="970">
      <c r="D970" s="11"/>
    </row>
    <row r="971">
      <c r="D971" s="11"/>
    </row>
    <row r="972">
      <c r="D972" s="11"/>
    </row>
    <row r="973">
      <c r="D973" s="11"/>
    </row>
    <row r="974">
      <c r="D974" s="11"/>
    </row>
    <row r="975">
      <c r="D975" s="11"/>
    </row>
    <row r="976">
      <c r="D976" s="11"/>
    </row>
    <row r="977">
      <c r="D977" s="11"/>
    </row>
    <row r="978">
      <c r="D978" s="11"/>
    </row>
    <row r="979">
      <c r="D979" s="11"/>
    </row>
    <row r="980">
      <c r="D980" s="11"/>
    </row>
    <row r="981">
      <c r="D981" s="11"/>
    </row>
    <row r="982">
      <c r="D982" s="11"/>
    </row>
    <row r="983">
      <c r="D983" s="11"/>
    </row>
    <row r="984">
      <c r="D984" s="11"/>
    </row>
    <row r="985">
      <c r="D985" s="11"/>
    </row>
    <row r="986">
      <c r="D986" s="11"/>
    </row>
    <row r="987">
      <c r="D987" s="11"/>
    </row>
    <row r="988">
      <c r="D988" s="11"/>
    </row>
    <row r="989">
      <c r="D989" s="11"/>
    </row>
    <row r="990">
      <c r="D990" s="11"/>
    </row>
    <row r="991">
      <c r="D991" s="11"/>
    </row>
    <row r="992">
      <c r="D992" s="11"/>
    </row>
    <row r="993">
      <c r="D993" s="11"/>
    </row>
    <row r="994">
      <c r="D994" s="11"/>
    </row>
  </sheetData>
  <conditionalFormatting sqref="B1:B994">
    <cfRule type="expression" dxfId="0" priority="1">
      <formula>COUNTIF(B:B, B1) &gt;1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2"/>
      <c r="B1" s="5" t="s">
        <v>6</v>
      </c>
      <c r="C1" s="6"/>
      <c r="D1" s="5" t="s">
        <v>25</v>
      </c>
      <c r="E1" s="6"/>
      <c r="F1" s="5" t="s">
        <v>28</v>
      </c>
      <c r="G1" s="6"/>
      <c r="H1" s="5" t="s">
        <v>32</v>
      </c>
      <c r="I1" s="6"/>
      <c r="J1" s="5" t="s">
        <v>33</v>
      </c>
      <c r="K1" s="6"/>
      <c r="L1" s="2"/>
      <c r="M1" s="2"/>
      <c r="N1" s="2"/>
      <c r="O1" s="2"/>
      <c r="P1" s="2"/>
      <c r="Q1" s="2"/>
      <c r="R1" s="2"/>
      <c r="S1" s="2"/>
      <c r="T1" s="2"/>
      <c r="U1" s="2"/>
      <c r="V1" s="2"/>
      <c r="W1" s="2"/>
      <c r="X1" s="2"/>
      <c r="Y1" s="2"/>
      <c r="Z1" s="2"/>
      <c r="AA1" s="2"/>
      <c r="AB1" s="2"/>
      <c r="AC1" s="2"/>
    </row>
    <row r="2">
      <c r="A2" s="9" t="s">
        <v>38</v>
      </c>
      <c r="B2" s="10" t="s">
        <v>43</v>
      </c>
      <c r="C2" s="12" t="s">
        <v>48</v>
      </c>
      <c r="D2" s="10" t="s">
        <v>52</v>
      </c>
      <c r="E2" s="12" t="s">
        <v>53</v>
      </c>
      <c r="F2" s="10" t="s">
        <v>55</v>
      </c>
      <c r="G2" s="12" t="s">
        <v>57</v>
      </c>
      <c r="H2" s="10" t="s">
        <v>59</v>
      </c>
      <c r="I2" s="12" t="s">
        <v>60</v>
      </c>
      <c r="J2" s="10" t="s">
        <v>52</v>
      </c>
      <c r="K2" s="12" t="s">
        <v>30</v>
      </c>
    </row>
    <row r="3">
      <c r="A3" s="9" t="s">
        <v>64</v>
      </c>
      <c r="B3" s="10" t="s">
        <v>65</v>
      </c>
      <c r="C3" s="12" t="s">
        <v>26</v>
      </c>
      <c r="D3" s="10" t="s">
        <v>66</v>
      </c>
      <c r="E3" s="12" t="s">
        <v>67</v>
      </c>
      <c r="F3" s="10" t="s">
        <v>68</v>
      </c>
      <c r="G3" s="12" t="s">
        <v>70</v>
      </c>
      <c r="H3" s="10" t="s">
        <v>71</v>
      </c>
      <c r="I3" s="12" t="s">
        <v>73</v>
      </c>
      <c r="J3" s="10" t="s">
        <v>74</v>
      </c>
      <c r="K3" s="12" t="s">
        <v>75</v>
      </c>
    </row>
    <row r="4">
      <c r="A4" s="9" t="s">
        <v>77</v>
      </c>
      <c r="B4" s="10" t="s">
        <v>79</v>
      </c>
      <c r="C4" s="12" t="s">
        <v>81</v>
      </c>
      <c r="D4" s="10" t="s">
        <v>82</v>
      </c>
      <c r="E4" s="12" t="s">
        <v>83</v>
      </c>
      <c r="F4" s="10" t="s">
        <v>85</v>
      </c>
      <c r="G4" s="12" t="s">
        <v>86</v>
      </c>
      <c r="H4" s="10" t="s">
        <v>27</v>
      </c>
      <c r="I4" s="12" t="s">
        <v>88</v>
      </c>
      <c r="J4" s="10" t="s">
        <v>89</v>
      </c>
      <c r="K4" s="12" t="s">
        <v>91</v>
      </c>
    </row>
    <row r="5">
      <c r="A5" s="9" t="s">
        <v>92</v>
      </c>
      <c r="B5" s="10" t="s">
        <v>93</v>
      </c>
      <c r="C5" s="12" t="s">
        <v>94</v>
      </c>
      <c r="D5" s="10"/>
      <c r="E5" s="12"/>
      <c r="F5" s="13"/>
      <c r="G5" s="14"/>
      <c r="H5" s="10" t="s">
        <v>80</v>
      </c>
      <c r="I5" s="12" t="s">
        <v>100</v>
      </c>
      <c r="J5" s="10" t="s">
        <v>101</v>
      </c>
      <c r="K5" s="12" t="s">
        <v>103</v>
      </c>
    </row>
    <row r="6">
      <c r="A6" s="9" t="s">
        <v>106</v>
      </c>
      <c r="B6" s="10" t="s">
        <v>55</v>
      </c>
      <c r="C6" s="12" t="s">
        <v>95</v>
      </c>
      <c r="D6" s="13"/>
      <c r="E6" s="14"/>
      <c r="F6" s="13"/>
      <c r="G6" s="14"/>
      <c r="H6" s="10" t="s">
        <v>105</v>
      </c>
      <c r="I6" s="12" t="s">
        <v>109</v>
      </c>
      <c r="J6" s="13"/>
      <c r="K6" s="14"/>
    </row>
    <row r="7">
      <c r="A7" s="9" t="s">
        <v>111</v>
      </c>
      <c r="B7" s="10" t="s">
        <v>59</v>
      </c>
      <c r="C7" s="12" t="s">
        <v>113</v>
      </c>
      <c r="D7" s="10" t="s">
        <v>114</v>
      </c>
      <c r="E7" s="12" t="s">
        <v>115</v>
      </c>
      <c r="F7" s="10" t="s">
        <v>96</v>
      </c>
      <c r="G7" s="12" t="s">
        <v>117</v>
      </c>
      <c r="H7" s="10" t="s">
        <v>96</v>
      </c>
      <c r="I7" s="12" t="s">
        <v>118</v>
      </c>
      <c r="J7" s="10" t="s">
        <v>59</v>
      </c>
      <c r="K7" s="12" t="s">
        <v>120</v>
      </c>
    </row>
    <row r="8">
      <c r="A8" s="9" t="s">
        <v>122</v>
      </c>
      <c r="B8" s="10" t="s">
        <v>96</v>
      </c>
      <c r="C8" s="12" t="s">
        <v>124</v>
      </c>
      <c r="D8" s="13"/>
      <c r="E8" s="14"/>
      <c r="F8" s="10" t="s">
        <v>126</v>
      </c>
      <c r="G8" s="12" t="s">
        <v>127</v>
      </c>
      <c r="H8" s="10" t="s">
        <v>128</v>
      </c>
      <c r="I8" s="12" t="s">
        <v>129</v>
      </c>
      <c r="J8" s="10" t="s">
        <v>71</v>
      </c>
      <c r="K8" s="12" t="s">
        <v>131</v>
      </c>
    </row>
    <row r="9">
      <c r="A9" s="9" t="s">
        <v>133</v>
      </c>
      <c r="B9" s="10"/>
      <c r="C9" s="12"/>
      <c r="D9" s="10"/>
      <c r="E9" s="12"/>
      <c r="F9" s="10"/>
      <c r="G9" s="12"/>
      <c r="H9" s="13"/>
      <c r="I9" s="14"/>
      <c r="J9" s="10" t="s">
        <v>136</v>
      </c>
      <c r="K9" s="12" t="s">
        <v>137</v>
      </c>
    </row>
    <row r="10">
      <c r="A10" s="9" t="s">
        <v>138</v>
      </c>
      <c r="B10" s="10" t="s">
        <v>80</v>
      </c>
      <c r="C10" s="12" t="s">
        <v>140</v>
      </c>
      <c r="D10" s="10" t="s">
        <v>59</v>
      </c>
      <c r="E10" s="12" t="s">
        <v>141</v>
      </c>
      <c r="F10" s="10" t="s">
        <v>27</v>
      </c>
      <c r="G10" s="12" t="s">
        <v>143</v>
      </c>
      <c r="H10" s="13"/>
      <c r="I10" s="14"/>
      <c r="J10" s="10" t="s">
        <v>96</v>
      </c>
      <c r="K10" s="12" t="s">
        <v>145</v>
      </c>
    </row>
    <row r="11">
      <c r="A11" s="16"/>
      <c r="B11" s="13"/>
      <c r="C11" s="14"/>
      <c r="D11" s="13"/>
      <c r="E11" s="14"/>
      <c r="F11" s="13"/>
      <c r="G11" s="14"/>
      <c r="H11" s="13"/>
      <c r="I11" s="14"/>
      <c r="J11" s="13"/>
      <c r="K11" s="14"/>
    </row>
    <row r="12">
      <c r="A12" s="16"/>
    </row>
    <row r="13">
      <c r="A13" s="1" t="s">
        <v>153</v>
      </c>
    </row>
    <row r="14">
      <c r="A14" s="16"/>
    </row>
    <row r="15">
      <c r="A15" s="16"/>
    </row>
    <row r="16">
      <c r="A16" s="16"/>
    </row>
    <row r="17">
      <c r="A17" s="16"/>
    </row>
    <row r="18">
      <c r="A18" s="16"/>
    </row>
    <row r="19">
      <c r="A19" s="16"/>
    </row>
    <row r="20">
      <c r="A20" s="16"/>
    </row>
    <row r="21">
      <c r="A21" s="16"/>
    </row>
    <row r="22">
      <c r="A22" s="16"/>
    </row>
    <row r="23">
      <c r="A23" s="16"/>
    </row>
    <row r="24">
      <c r="A24" s="16"/>
    </row>
    <row r="25">
      <c r="A25" s="16"/>
    </row>
    <row r="26">
      <c r="A26" s="16"/>
    </row>
    <row r="27">
      <c r="A27" s="16"/>
    </row>
    <row r="28">
      <c r="A28" s="16"/>
    </row>
    <row r="29">
      <c r="A29" s="16"/>
    </row>
    <row r="30">
      <c r="A30" s="16"/>
    </row>
    <row r="31">
      <c r="A31" s="16"/>
    </row>
    <row r="32">
      <c r="A32" s="16"/>
    </row>
    <row r="33">
      <c r="A33" s="16"/>
    </row>
    <row r="34">
      <c r="A34" s="16"/>
    </row>
    <row r="35">
      <c r="A35" s="16"/>
    </row>
    <row r="36">
      <c r="A36" s="16"/>
    </row>
    <row r="37">
      <c r="A37" s="16"/>
    </row>
    <row r="38">
      <c r="A38" s="16"/>
    </row>
    <row r="39">
      <c r="A39" s="16"/>
    </row>
    <row r="40">
      <c r="A40" s="16"/>
    </row>
    <row r="41">
      <c r="A41" s="16"/>
    </row>
    <row r="42">
      <c r="A42" s="16"/>
    </row>
    <row r="43">
      <c r="A43" s="16"/>
    </row>
    <row r="44">
      <c r="A44" s="16"/>
    </row>
    <row r="45">
      <c r="A45" s="16"/>
    </row>
    <row r="46">
      <c r="A46" s="16"/>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row r="1001">
      <c r="A1001" s="16"/>
    </row>
  </sheetData>
  <mergeCells count="5">
    <mergeCell ref="B1:C1"/>
    <mergeCell ref="D1:E1"/>
    <mergeCell ref="F1:G1"/>
    <mergeCell ref="H1:I1"/>
    <mergeCell ref="J1:K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3" t="s">
        <v>5</v>
      </c>
      <c r="F1" s="1" t="s">
        <v>7</v>
      </c>
      <c r="G1" s="1" t="s">
        <v>11</v>
      </c>
      <c r="I1" s="1" t="s">
        <v>12</v>
      </c>
      <c r="K1" s="1" t="s">
        <v>3</v>
      </c>
      <c r="L1" s="1" t="s">
        <v>14</v>
      </c>
      <c r="M1" s="1" t="s">
        <v>17</v>
      </c>
      <c r="N1" s="1" t="s">
        <v>19</v>
      </c>
      <c r="O1" s="1" t="s">
        <v>21</v>
      </c>
      <c r="P1" s="1" t="s">
        <v>22</v>
      </c>
      <c r="Q1" s="1" t="s">
        <v>23</v>
      </c>
    </row>
    <row r="2">
      <c r="C2" s="1" t="str">
        <f t="array" ref="C2">IF(NOT(ISBLANK($A2)), (_xlfn.XLOOKUP($A2,Index!$B$2:$B$995,Index!$C$2:$C$995,"Not Found")),"")</f>
        <v/>
      </c>
      <c r="D2" s="1" t="str">
        <f t="array" ref="D2">IF(NOT(ISBLANK(A2)), (_xlfn.XLOOKUP($A2,Index!$B$2:B$995,Index!$A$2:$A$995,"Not Found")),"")</f>
        <v/>
      </c>
      <c r="E2" s="3" t="str">
        <f t="array" ref="E2">IF(NOT(ISBLANK($A2)), (_xlfn.XLOOKUP($A2,Index!$B$2:$B$995,Index!$D$2:$D$995,"Not Found")),"")</f>
        <v/>
      </c>
      <c r="F2" s="1" t="str">
        <f t="array" ref="F2">IF(NOT(ISBLANK($A2)), (_xlfn.XLOOKUP($A2,Index!$B$2:$B$995,Index!$E$2:$E$995,"Not Found")),"")</f>
        <v/>
      </c>
      <c r="G2" s="1" t="str">
        <f t="array" ref="G2">IF(NOT(ISBLANK(A2)), ((_xlfn.XLOOKUP(A2,Index!$B$2:$B$995,Index!$F$2:$F$995,"Not Found"))*B2),"")</f>
        <v/>
      </c>
      <c r="I2" s="15">
        <f>SUM(B2:B38)</f>
        <v>0</v>
      </c>
      <c r="L2" s="15" t="str">
        <f t="shared" ref="L2:L6" si="1">IF(NOT(ISBLANK(K2)), SUM(M2:P2), "")</f>
        <v/>
      </c>
      <c r="M2" s="1" t="str">
        <f t="shared" ref="M2:M5" si="2">IF(NOT(ISBLANK($K2)), SUMIFS($B$2:$B$32, $E$2:$E$32, "B", $C$2:$C$32,$K2), "")</f>
        <v/>
      </c>
      <c r="N2" s="1" t="str">
        <f t="shared" ref="N2:N5" si="3">IF(NOT(ISBLANK($K2)),SUMIFS($B$2:$B$32,$E$2:$E$32, "1", $C$2:$C$32,$K2,$F$2:$F$32,"N"), "")</f>
        <v/>
      </c>
      <c r="O2" s="1" t="str">
        <f t="shared" ref="O2:O5" si="4">IF(NOT(ISBLANK($K2)),SUMIFS($B$2:$B$32,$E$2:$E$32, "1", $C$2:$C$32,$K2,$F$2:$F$32,"Y"), "")</f>
        <v/>
      </c>
      <c r="P2" s="1" t="str">
        <f t="shared" ref="P2:P5" si="5">IF(NOT(ISBLANK($K2)),SUMIFS($B$2:$B$32,$E$2:$E$32, "2", $C$2:$C$32,$K2), "")</f>
        <v/>
      </c>
      <c r="Q2" s="1" t="str">
        <f t="shared" ref="Q2:Q5" si="6">IF(NOT(ISBLANK($K2)),SUMIFS($B$2:$B$32,$E$2:$E$32, "B", $C$2:$C$32,$K2,$F$2:$F$32,"N"), "")</f>
        <v/>
      </c>
    </row>
    <row r="3">
      <c r="C3" s="1" t="str">
        <f t="array" ref="C3">IF(NOT(ISBLANK($A3)), (_xlfn.XLOOKUP($A3,Index!$B$2:$B$995,Index!$C$2:$C$995,"Not Found")),"")</f>
        <v/>
      </c>
      <c r="D3" s="1" t="str">
        <f t="array" ref="D3">IF(NOT(ISBLANK(A3)), (_xlfn.XLOOKUP($A3,Index!$B$2:B$995,Index!$A$2:$A$995,"Not Found")),"")</f>
        <v/>
      </c>
      <c r="E3" s="3" t="str">
        <f t="array" ref="E3">IF(NOT(ISBLANK($A3)), (_xlfn.XLOOKUP($A3,Index!$B$2:$B$995,Index!$D$2:$D$995,"Not Found")),"")</f>
        <v/>
      </c>
      <c r="F3" s="1" t="str">
        <f t="array" ref="F3">IF(NOT(ISBLANK($A3)), (_xlfn.XLOOKUP($A3,Index!$B$2:$B$995,Index!$E$2:$E$995,"Not Found")),"")</f>
        <v/>
      </c>
      <c r="G3" s="1" t="str">
        <f t="array" ref="G3">IF(NOT(ISBLANK(A3)), ((_xlfn.XLOOKUP(A3,Index!$B$2:$B$995,Index!$F$2:$F$995,"Not Found"))*B3),"")</f>
        <v/>
      </c>
      <c r="L3" s="15" t="str">
        <f t="shared" si="1"/>
        <v/>
      </c>
      <c r="M3" s="1" t="str">
        <f t="shared" si="2"/>
        <v/>
      </c>
      <c r="N3" s="1" t="str">
        <f t="shared" si="3"/>
        <v/>
      </c>
      <c r="O3" s="1" t="str">
        <f t="shared" si="4"/>
        <v/>
      </c>
      <c r="P3" s="1" t="str">
        <f t="shared" si="5"/>
        <v/>
      </c>
      <c r="Q3" s="1" t="str">
        <f t="shared" si="6"/>
        <v/>
      </c>
    </row>
    <row r="4">
      <c r="C4" s="1" t="str">
        <f t="array" ref="C4">IF(NOT(ISBLANK($A4)), (_xlfn.XLOOKUP($A4,Index!$B$2:$B$995,Index!$C$2:$C$995,"Not Found")),"")</f>
        <v/>
      </c>
      <c r="D4" s="1" t="str">
        <f t="array" ref="D4">IF(NOT(ISBLANK(A4)), (_xlfn.XLOOKUP($A4,Index!$B$2:B$995,Index!$A$2:$A$995,"Not Found")),"")</f>
        <v/>
      </c>
      <c r="E4" s="3" t="str">
        <f t="array" ref="E4">IF(NOT(ISBLANK($A4)), (_xlfn.XLOOKUP($A4,Index!$B$2:$B$995,Index!$D$2:$D$995,"Not Found")),"")</f>
        <v/>
      </c>
      <c r="F4" s="1" t="str">
        <f t="array" ref="F4">IF(NOT(ISBLANK($A4)), (_xlfn.XLOOKUP($A4,Index!$B$2:$B$995,Index!$E$2:$E$995,"Not Found")),"")</f>
        <v/>
      </c>
      <c r="G4" s="1" t="str">
        <f t="array" ref="G4">IF(NOT(ISBLANK(A4)), ((_xlfn.XLOOKUP(A4,Index!$B$2:$B$995,Index!$F$2:$F$995,"Not Found"))*B4),"")</f>
        <v/>
      </c>
      <c r="L4" s="15" t="str">
        <f t="shared" si="1"/>
        <v/>
      </c>
      <c r="M4" s="1" t="str">
        <f t="shared" si="2"/>
        <v/>
      </c>
      <c r="N4" s="1" t="str">
        <f t="shared" si="3"/>
        <v/>
      </c>
      <c r="O4" s="1" t="str">
        <f t="shared" si="4"/>
        <v/>
      </c>
      <c r="P4" s="1" t="str">
        <f t="shared" si="5"/>
        <v/>
      </c>
      <c r="Q4" s="1" t="str">
        <f t="shared" si="6"/>
        <v/>
      </c>
    </row>
    <row r="5">
      <c r="C5" s="1" t="str">
        <f t="array" ref="C5">IF(NOT(ISBLANK($A5)), (_xlfn.XLOOKUP($A5,Index!$B$2:$B$995,Index!$C$2:$C$995,"Not Found")),"")</f>
        <v/>
      </c>
      <c r="D5" s="1" t="str">
        <f t="array" ref="D5">IF(NOT(ISBLANK(A5)), (_xlfn.XLOOKUP($A5,Index!$B$2:B$995,Index!$A$2:$A$995,"Not Found")),"")</f>
        <v/>
      </c>
      <c r="E5" s="3" t="str">
        <f t="array" ref="E5">IF(NOT(ISBLANK($A5)), (_xlfn.XLOOKUP($A5,Index!$B$2:$B$995,Index!$D$2:$D$995,"Not Found")),"")</f>
        <v/>
      </c>
      <c r="F5" s="1" t="str">
        <f t="array" ref="F5">IF(NOT(ISBLANK($A5)), (_xlfn.XLOOKUP($A5,Index!$B$2:$B$995,Index!$E$2:$E$995,"Not Found")),"")</f>
        <v/>
      </c>
      <c r="G5" s="1" t="str">
        <f t="array" ref="G5">IF(NOT(ISBLANK(A5)), ((_xlfn.XLOOKUP(A5,Index!$B$2:$B$995,Index!$F$2:$F$995,"Not Found"))*B5),"")</f>
        <v/>
      </c>
      <c r="L5" s="15" t="str">
        <f t="shared" si="1"/>
        <v/>
      </c>
      <c r="M5" s="1" t="str">
        <f t="shared" si="2"/>
        <v/>
      </c>
      <c r="N5" s="1" t="str">
        <f t="shared" si="3"/>
        <v/>
      </c>
      <c r="O5" s="1" t="str">
        <f t="shared" si="4"/>
        <v/>
      </c>
      <c r="P5" s="1" t="str">
        <f t="shared" si="5"/>
        <v/>
      </c>
      <c r="Q5" s="1" t="str">
        <f t="shared" si="6"/>
        <v/>
      </c>
    </row>
    <row r="6">
      <c r="C6" s="1" t="str">
        <f t="array" ref="C6">IF(NOT(ISBLANK($A6)), (_xlfn.XLOOKUP($A6,Index!$B$2:$B$995,Index!$C$2:$C$995,"Not Found")),"")</f>
        <v/>
      </c>
      <c r="D6" s="1" t="str">
        <f t="array" ref="D6">IF(NOT(ISBLANK(A6)), (_xlfn.XLOOKUP($A6,Index!$B$2:B$995,Index!$A$2:$A$995,"Not Found")),"")</f>
        <v/>
      </c>
      <c r="E6" s="3" t="str">
        <f t="array" ref="E6">IF(NOT(ISBLANK($A6)), (_xlfn.XLOOKUP($A6,Index!$B$2:$B$995,Index!$D$2:$D$995,"Not Found")),"")</f>
        <v/>
      </c>
      <c r="F6" s="1" t="str">
        <f t="array" ref="F6">IF(NOT(ISBLANK($A6)), (_xlfn.XLOOKUP($A6,Index!$B$2:$B$995,Index!$E$2:$E$995,"Not Found")),"")</f>
        <v/>
      </c>
      <c r="G6" s="1" t="str">
        <f t="array" ref="G6">IF(NOT(ISBLANK(A6)), ((_xlfn.XLOOKUP(A6,Index!$B$2:$B$995,Index!$F$2:$F$995,"Not Found"))*B6),"")</f>
        <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C7" s="1" t="str">
        <f t="array" ref="C7">IF(NOT(ISBLANK($A7)), (_xlfn.XLOOKUP($A7,Index!$B$2:$B$995,Index!$C$2:$C$995,"Not Found")),"")</f>
        <v/>
      </c>
      <c r="D7" s="1" t="str">
        <f t="array" ref="D7">IF(NOT(ISBLANK(A7)), (_xlfn.XLOOKUP($A7,Index!$B$2:B$995,Index!$A$2:$A$995,"Not Found")),"")</f>
        <v/>
      </c>
      <c r="E7" s="3" t="str">
        <f t="array" ref="E7">IF(NOT(ISBLANK($A7)), (_xlfn.XLOOKUP($A7,Index!$B$2:$B$995,Index!$D$2:$D$995,"Not Found")),"")</f>
        <v/>
      </c>
      <c r="F7" s="1" t="str">
        <f t="array" ref="F7">IF(NOT(ISBLANK($A7)), (_xlfn.XLOOKUP($A7,Index!$B$2:$B$995,Index!$E$2:$E$995,"Not Found")),"")</f>
        <v/>
      </c>
      <c r="G7" s="1" t="str">
        <f t="array" ref="G7">IF(NOT(ISBLANK(A7)), ((_xlfn.XLOOKUP(A7,Index!$B$2:$B$995,Index!$F$2:$F$995,"Not Found"))*B7),"")</f>
        <v/>
      </c>
      <c r="K7" s="1" t="s">
        <v>435</v>
      </c>
      <c r="L7" s="15">
        <f t="shared" ref="L7:Q7" si="7">SUM(L2:L6)</f>
        <v>0</v>
      </c>
      <c r="M7" s="15">
        <f t="shared" si="7"/>
        <v>0</v>
      </c>
      <c r="N7" s="15">
        <f t="shared" si="7"/>
        <v>0</v>
      </c>
      <c r="O7" s="15">
        <f t="shared" si="7"/>
        <v>0</v>
      </c>
      <c r="P7" s="15">
        <f t="shared" si="7"/>
        <v>0</v>
      </c>
      <c r="Q7" s="15">
        <f t="shared" si="7"/>
        <v>0</v>
      </c>
    </row>
    <row r="8">
      <c r="C8" s="1" t="str">
        <f t="array" ref="C8">IF(NOT(ISBLANK($A8)), (_xlfn.XLOOKUP($A8,Index!$B$2:$B$995,Index!$C$2:$C$995,"Not Found")),"")</f>
        <v/>
      </c>
      <c r="D8" s="1" t="str">
        <f t="array" ref="D8">IF(NOT(ISBLANK(A8)), (_xlfn.XLOOKUP($A8,Index!$B$2:B$995,Index!$A$2:$A$995,"Not Found")),"")</f>
        <v/>
      </c>
      <c r="E8" s="3" t="str">
        <f t="array" ref="E8">IF(NOT(ISBLANK($A8)), (_xlfn.XLOOKUP($A8,Index!$B$2:$B$995,Index!$D$2:$D$995,"Not Found")),"")</f>
        <v/>
      </c>
      <c r="F8" s="1" t="str">
        <f t="array" ref="F8">IF(NOT(ISBLANK($A8)), (_xlfn.XLOOKUP($A8,Index!$B$2:$B$995,Index!$E$2:$E$995,"Not Found")),"")</f>
        <v/>
      </c>
      <c r="G8" s="1" t="str">
        <f t="array" ref="G8">IF(NOT(ISBLANK(A8)), ((_xlfn.XLOOKUP(A8,Index!$B$2:$B$995,Index!$F$2:$F$995,"Not Found"))*B8),"")</f>
        <v/>
      </c>
    </row>
    <row r="9">
      <c r="C9" s="1" t="str">
        <f t="array" ref="C9">IF(NOT(ISBLANK($A9)), (_xlfn.XLOOKUP($A9,Index!$B$2:$B$995,Index!$C$2:$C$995,"Not Found")),"")</f>
        <v/>
      </c>
      <c r="D9" s="1" t="str">
        <f t="array" ref="D9">IF(NOT(ISBLANK(A9)), (_xlfn.XLOOKUP($A9,Index!$B$2:B$995,Index!$A$2:$A$995,"Not Found")),"")</f>
        <v/>
      </c>
      <c r="E9" s="3" t="str">
        <f t="array" ref="E9">IF(NOT(ISBLANK($A9)), (_xlfn.XLOOKUP($A9,Index!$B$2:$B$995,Index!$D$2:$D$995,"Not Found")),"")</f>
        <v/>
      </c>
      <c r="F9" s="1" t="str">
        <f t="array" ref="F9">IF(NOT(ISBLANK($A9)), (_xlfn.XLOOKUP($A9,Index!$B$2:$B$995,Index!$E$2:$E$995,"Not Found")),"")</f>
        <v/>
      </c>
      <c r="G9" s="1" t="str">
        <f t="array" ref="G9">IF(NOT(ISBLANK(A9)), ((_xlfn.XLOOKUP(A9,Index!$B$2:$B$995,Index!$F$2:$F$995,"Not Found"))*B9),"")</f>
        <v/>
      </c>
      <c r="M9" s="1" t="s">
        <v>508</v>
      </c>
      <c r="N9" s="1" t="s">
        <v>509</v>
      </c>
      <c r="O9" s="1" t="s">
        <v>510</v>
      </c>
    </row>
    <row r="10">
      <c r="C10" s="1" t="str">
        <f t="array" ref="C10">IF(NOT(ISBLANK($A10)), (_xlfn.XLOOKUP($A10,Index!$B$2:$B$995,Index!$C$2:$C$995,"Not Found")),"")</f>
        <v/>
      </c>
      <c r="D10" s="1" t="str">
        <f t="array" ref="D10">IF(NOT(ISBLANK(A10)), (_xlfn.XLOOKUP($A10,Index!$B$2:B$995,Index!$A$2:$A$995,"Not Found")),"")</f>
        <v/>
      </c>
      <c r="E10" s="3" t="str">
        <f t="array" ref="E10">IF(NOT(ISBLANK($A10)), (_xlfn.XLOOKUP($A10,Index!$B$2:$B$995,Index!$D$2:$D$995,"Not Found")),"")</f>
        <v/>
      </c>
      <c r="F10" s="1" t="str">
        <f t="array" ref="F10">IF(NOT(ISBLANK($A10)), (_xlfn.XLOOKUP($A10,Index!$B$2:$B$995,Index!$E$2:$E$995,"Not Found")),"")</f>
        <v/>
      </c>
      <c r="G10" s="1" t="str">
        <f t="array" ref="G10">IF(NOT(ISBLANK(A10)), ((_xlfn.XLOOKUP(A10,Index!$B$2:$B$995,Index!$F$2:$F$995,"Not Found"))*B10),"")</f>
        <v/>
      </c>
      <c r="K10" s="1" t="s">
        <v>533</v>
      </c>
      <c r="L10" s="15">
        <f>SUM(M10:P10)</f>
        <v>0</v>
      </c>
      <c r="M10" s="15">
        <f>IF(NOT(ISBLANK($K10)), SUMIFS($B$2:$B$32,$E$2:$E$32, "C", $C$2:$C$32,"T"), "")</f>
        <v>0</v>
      </c>
      <c r="N10" s="15">
        <f>IF(NOT(ISBLANK($K10)), SUMIFS($B$2:$B$32,$E$2:$E$32, "U", $C$2:$C$32,"T"), "")</f>
        <v>0</v>
      </c>
      <c r="O10" s="15" t="str">
        <f>IF(NOT(ISBLANK($K$2)), SUMIFS($B$2:$B$32,$E$2:$E$32, "R", $C$2:$C$32,"T"), "")</f>
        <v/>
      </c>
    </row>
    <row r="11">
      <c r="C11" s="1" t="str">
        <f t="array" ref="C11">IF(NOT(ISBLANK($A11)), (_xlfn.XLOOKUP($A11,Index!$B$2:$B$995,Index!$C$2:$C$995,"Not Found")),"")</f>
        <v/>
      </c>
      <c r="D11" s="1" t="str">
        <f t="array" ref="D11">IF(NOT(ISBLANK(A11)), (_xlfn.XLOOKUP($A11,Index!$B$2:B$995,Index!$A$2:$A$995,"Not Found")),"")</f>
        <v/>
      </c>
      <c r="E11" s="3" t="str">
        <f t="array" ref="E11">IF(NOT(ISBLANK($A11)), (_xlfn.XLOOKUP($A11,Index!$B$2:$B$995,Index!$D$2:$D$995,"Not Found")),"")</f>
        <v/>
      </c>
      <c r="F11" s="1" t="str">
        <f t="array" ref="F11">IF(NOT(ISBLANK($A11)), (_xlfn.XLOOKUP($A11,Index!$B$2:$B$995,Index!$E$2:$E$995,"Not Found")),"")</f>
        <v/>
      </c>
      <c r="G11" s="1" t="str">
        <f t="array" ref="G11">IF(NOT(ISBLANK(A11)), ((_xlfn.XLOOKUP(A11,Index!$B$2:$B$995,Index!$F$2:$F$995,"Not Found"))*B11),"")</f>
        <v/>
      </c>
      <c r="K11" s="1" t="s">
        <v>47</v>
      </c>
      <c r="L11" s="1" t="str">
        <f>IF(NOT(ISBLANK($K$2)), SUMIFS($B$2:$B$32, $C$2:$C$32,"Energy"), "")</f>
        <v/>
      </c>
    </row>
    <row r="12">
      <c r="C12" s="1" t="str">
        <f t="array" ref="C12">IF(NOT(ISBLANK($A12)), (_xlfn.XLOOKUP($A12,Index!$B$2:$B$995,Index!$C$2:$C$995,"Not Found")),"")</f>
        <v/>
      </c>
      <c r="D12" s="1" t="str">
        <f t="array" ref="D12">IF(NOT(ISBLANK(A12)), (_xlfn.XLOOKUP($A12,Index!$B$2:B$995,Index!$A$2:$A$995,"Not Found")),"")</f>
        <v/>
      </c>
      <c r="E12" s="3" t="str">
        <f t="array" ref="E12">IF(NOT(ISBLANK($A12)), (_xlfn.XLOOKUP($A12,Index!$B$2:$B$995,Index!$D$2:$D$995,"Not Found")),"")</f>
        <v/>
      </c>
      <c r="F12" s="1" t="str">
        <f t="array" ref="F12">IF(NOT(ISBLANK($A12)), (_xlfn.XLOOKUP($A12,Index!$B$2:$B$995,Index!$E$2:$E$995,"Not Found")),"")</f>
        <v/>
      </c>
      <c r="G12" s="1" t="str">
        <f t="array" ref="G12">IF(NOT(ISBLANK(A12)), ((_xlfn.XLOOKUP(A12,Index!$B$2:$B$995,Index!$F$2:$F$995,"Not Found"))*B12),"")</f>
        <v/>
      </c>
      <c r="K12" s="1" t="s">
        <v>617</v>
      </c>
      <c r="L12" s="15">
        <f>L7</f>
        <v>0</v>
      </c>
    </row>
    <row r="13">
      <c r="C13" s="1" t="str">
        <f t="array" ref="C13">IF(NOT(ISBLANK($A13)), (_xlfn.XLOOKUP($A13,Index!$B$2:$B$995,Index!$C$2:$C$995,"Not Found")),"")</f>
        <v/>
      </c>
      <c r="D13" s="1" t="str">
        <f t="array" ref="D13">IF(NOT(ISBLANK(A13)), (_xlfn.XLOOKUP($A13,Index!$B$2:B$995,Index!$A$2:$A$995,"Not Found")),"")</f>
        <v/>
      </c>
      <c r="E13" s="3" t="str">
        <f t="array" ref="E13">IF(NOT(ISBLANK($A13)), (_xlfn.XLOOKUP($A13,Index!$B$2:$B$995,Index!$D$2:$D$995,"Not Found")),"")</f>
        <v/>
      </c>
      <c r="F13" s="1" t="str">
        <f t="array" ref="F13">IF(NOT(ISBLANK($A13)), (_xlfn.XLOOKUP($A13,Index!$B$2:$B$995,Index!$E$2:$E$995,"Not Found")),"")</f>
        <v/>
      </c>
      <c r="G13" s="1" t="str">
        <f t="array" ref="G13">IF(NOT(ISBLANK(A13)), ((_xlfn.XLOOKUP(A13,Index!$B$2:$B$995,Index!$F$2:$F$995,"Not Found"))*B13),"")</f>
        <v/>
      </c>
    </row>
    <row r="14">
      <c r="C14" s="1" t="str">
        <f t="array" ref="C14">IF(NOT(ISBLANK($A14)), (_xlfn.XLOOKUP($A14,Index!$B$2:$B$995,Index!$C$2:$C$995,"Not Found")),"")</f>
        <v/>
      </c>
      <c r="D14" s="1" t="str">
        <f t="array" ref="D14">IF(NOT(ISBLANK(A14)), (_xlfn.XLOOKUP($A14,Index!$B$2:B$995,Index!$A$2:$A$995,"Not Found")),"")</f>
        <v/>
      </c>
      <c r="E14" s="3" t="str">
        <f t="array" ref="E14">IF(NOT(ISBLANK($A14)), (_xlfn.XLOOKUP($A14,Index!$B$2:$B$995,Index!$D$2:$D$995,"Not Found")),"")</f>
        <v/>
      </c>
      <c r="F14" s="1" t="str">
        <f t="array" ref="F14">IF(NOT(ISBLANK($A14)), (_xlfn.XLOOKUP($A14,Index!$B$2:$B$995,Index!$E$2:$E$995,"Not Found")),"")</f>
        <v/>
      </c>
      <c r="G14" s="1" t="str">
        <f t="array" ref="G14">IF(NOT(ISBLANK(A14)), ((_xlfn.XLOOKUP(A14,Index!$B$2:$B$995,Index!$F$2:$F$995,"Not Found"))*B14),"")</f>
        <v/>
      </c>
    </row>
    <row r="15">
      <c r="C15" s="1" t="str">
        <f t="array" ref="C15">IF(NOT(ISBLANK($A15)), (_xlfn.XLOOKUP($A15,Index!$B$2:$B$995,Index!$C$2:$C$995,"Not Found")),"")</f>
        <v/>
      </c>
      <c r="D15" s="1" t="str">
        <f t="array" ref="D15">IF(NOT(ISBLANK(A15)), (_xlfn.XLOOKUP($A15,Index!$B$2:B$995,Index!$A$2:$A$995,"Not Found")),"")</f>
        <v/>
      </c>
      <c r="E15" s="3" t="str">
        <f t="array" ref="E15">IF(NOT(ISBLANK($A15)), (_xlfn.XLOOKUP($A15,Index!$B$2:$B$995,Index!$D$2:$D$995,"Not Found")),"")</f>
        <v/>
      </c>
      <c r="F15" s="1" t="str">
        <f t="array" ref="F15">IF(NOT(ISBLANK($A15)), (_xlfn.XLOOKUP($A15,Index!$B$2:$B$995,Index!$E$2:$E$995,"Not Found")),"")</f>
        <v/>
      </c>
      <c r="G15" s="1" t="str">
        <f t="array" ref="G15">IF(NOT(ISBLANK(A15)), ((_xlfn.XLOOKUP(A15,Index!$B$2:$B$995,Index!$F$2:$F$995,"Not Found"))*B15),"")</f>
        <v/>
      </c>
      <c r="K15" s="1" t="s">
        <v>689</v>
      </c>
    </row>
    <row r="16">
      <c r="C16" s="1" t="str">
        <f t="array" ref="C16">IF(NOT(ISBLANK($A16)), (_xlfn.XLOOKUP($A16,Index!$B$2:$B$995,Index!$C$2:$C$995,"Not Found")),"")</f>
        <v/>
      </c>
      <c r="D16" s="1" t="str">
        <f t="array" ref="D16">IF(NOT(ISBLANK(A16)), (_xlfn.XLOOKUP($A16,Index!$B$2:B$995,Index!$A$2:$A$995,"Not Found")),"")</f>
        <v/>
      </c>
      <c r="E16" s="3" t="str">
        <f t="array" ref="E16">IF(NOT(ISBLANK($A16)), (_xlfn.XLOOKUP($A16,Index!$B$2:$B$995,Index!$D$2:$D$995,"Not Found")),"")</f>
        <v/>
      </c>
      <c r="F16" s="1" t="str">
        <f t="array" ref="F16">IF(NOT(ISBLANK($A16)), (_xlfn.XLOOKUP($A16,Index!$B$2:$B$995,Index!$E$2:$E$995,"Not Found")),"")</f>
        <v/>
      </c>
      <c r="G16" s="1" t="str">
        <f t="array" ref="G16">IF(NOT(ISBLANK(A16)), ((_xlfn.XLOOKUP(A16,Index!$B$2:$B$995,Index!$F$2:$F$995,"Not Found"))*B16),"")</f>
        <v/>
      </c>
      <c r="K16" s="15" t="str">
        <f t="shared" ref="K16:K20" si="8">K2</f>
        <v/>
      </c>
      <c r="L16" s="1" t="str">
        <f t="shared" ref="L16:L19" si="9">IF(NOT(ISBLANK($K2)), SUMIFS($G$2:$G$32, $C$2:$C$32,$K2), "")</f>
        <v/>
      </c>
    </row>
    <row r="17">
      <c r="C17" s="1" t="str">
        <f t="array" ref="C17">IF(NOT(ISBLANK($A17)), (_xlfn.XLOOKUP($A17,Index!$B$2:$B$995,Index!$C$2:$C$995,"Not Found")),"")</f>
        <v/>
      </c>
      <c r="D17" s="1" t="str">
        <f t="array" ref="D17">IF(NOT(ISBLANK(A17)), (_xlfn.XLOOKUP($A17,Index!$B$2:B$995,Index!$A$2:$A$995,"Not Found")),"")</f>
        <v/>
      </c>
      <c r="E17" s="3" t="str">
        <f t="array" ref="E17">IF(NOT(ISBLANK($A17)), (_xlfn.XLOOKUP($A17,Index!$B$2:$B$995,Index!$D$2:$D$995,"Not Found")),"")</f>
        <v/>
      </c>
      <c r="F17" s="1" t="str">
        <f t="array" ref="F17">IF(NOT(ISBLANK($A17)), (_xlfn.XLOOKUP($A17,Index!$B$2:$B$995,Index!$E$2:$E$995,"Not Found")),"")</f>
        <v/>
      </c>
      <c r="G17" s="1" t="str">
        <f t="array" ref="G17">IF(NOT(ISBLANK(A17)), ((_xlfn.XLOOKUP(A17,Index!$B$2:$B$995,Index!$F$2:$F$995,"Not Found"))*B17),"")</f>
        <v/>
      </c>
      <c r="K17" s="15" t="str">
        <f t="shared" si="8"/>
        <v/>
      </c>
      <c r="L17" s="1" t="str">
        <f t="shared" si="9"/>
        <v/>
      </c>
    </row>
    <row r="18">
      <c r="C18" s="1" t="str">
        <f t="array" ref="C18">IF(NOT(ISBLANK($A18)), (_xlfn.XLOOKUP($A18,Index!$B$2:$B$995,Index!$C$2:$C$995,"Not Found")),"")</f>
        <v/>
      </c>
      <c r="D18" s="1" t="str">
        <f t="array" ref="D18">IF(NOT(ISBLANK(A18)), (_xlfn.XLOOKUP($A18,Index!$B$2:B$995,Index!$A$2:$A$995,"Not Found")),"")</f>
        <v/>
      </c>
      <c r="E18" s="3" t="str">
        <f t="array" ref="E18">IF(NOT(ISBLANK($A18)), (_xlfn.XLOOKUP($A18,Index!$B$2:$B$995,Index!$D$2:$D$995,"Not Found")),"")</f>
        <v/>
      </c>
      <c r="F18" s="1" t="str">
        <f t="array" ref="F18">IF(NOT(ISBLANK($A18)), (_xlfn.XLOOKUP($A18,Index!$B$2:$B$995,Index!$E$2:$E$995,"Not Found")),"")</f>
        <v/>
      </c>
      <c r="G18" s="1" t="str">
        <f t="array" ref="G18">IF(NOT(ISBLANK(A18)), ((_xlfn.XLOOKUP(A18,Index!$B$2:$B$995,Index!$F$2:$F$995,"Not Found"))*B18),"")</f>
        <v/>
      </c>
      <c r="K18" s="15" t="str">
        <f t="shared" si="8"/>
        <v/>
      </c>
      <c r="L18" s="1" t="str">
        <f t="shared" si="9"/>
        <v/>
      </c>
    </row>
    <row r="19">
      <c r="C19" s="1" t="str">
        <f t="array" ref="C19">IF(NOT(ISBLANK($A19)), (_xlfn.XLOOKUP($A19,Index!$B$2:$B$995,Index!$C$2:$C$995,"Not Found")),"")</f>
        <v/>
      </c>
      <c r="D19" s="1" t="str">
        <f t="array" ref="D19">IF(NOT(ISBLANK(A19)), (_xlfn.XLOOKUP($A19,Index!$B$2:B$995,Index!$A$2:$A$995,"Not Found")),"")</f>
        <v/>
      </c>
      <c r="E19" s="3" t="str">
        <f t="array" ref="E19">IF(NOT(ISBLANK($A19)), (_xlfn.XLOOKUP($A19,Index!$B$2:$B$995,Index!$D$2:$D$995,"Not Found")),"")</f>
        <v/>
      </c>
      <c r="F19" s="1" t="str">
        <f t="array" ref="F19">IF(NOT(ISBLANK($A19)), (_xlfn.XLOOKUP($A19,Index!$B$2:$B$995,Index!$E$2:$E$995,"Not Found")),"")</f>
        <v/>
      </c>
      <c r="G19" s="1" t="str">
        <f t="array" ref="G19">IF(NOT(ISBLANK(A19)), ((_xlfn.XLOOKUP(A19,Index!$B$2:$B$995,Index!$F$2:$F$995,"Not Found"))*B19),"")</f>
        <v/>
      </c>
      <c r="K19" s="15" t="str">
        <f t="shared" si="8"/>
        <v/>
      </c>
      <c r="L19" s="1" t="str">
        <f t="shared" si="9"/>
        <v/>
      </c>
    </row>
    <row r="20">
      <c r="C20" s="1" t="str">
        <f t="array" ref="C20">IF(NOT(ISBLANK($A20)), (_xlfn.XLOOKUP($A20,Index!$B$2:$B$995,Index!$C$2:$C$995,"Not Found")),"")</f>
        <v/>
      </c>
      <c r="D20" s="1" t="str">
        <f t="array" ref="D20">IF(NOT(ISBLANK(A20)), (_xlfn.XLOOKUP($A20,Index!$B$2:B$995,Index!$A$2:$A$995,"Not Found")),"")</f>
        <v/>
      </c>
      <c r="E20" s="3" t="str">
        <f t="array" ref="E20">IF(NOT(ISBLANK($A20)), (_xlfn.XLOOKUP($A20,Index!$B$2:$B$995,Index!$D$2:$D$995,"Not Found")),"")</f>
        <v/>
      </c>
      <c r="F20" s="1" t="str">
        <f t="array" ref="F20">IF(NOT(ISBLANK($A20)), (_xlfn.XLOOKUP($A20,Index!$B$2:$B$995,Index!$E$2:$E$995,"Not Found")),"")</f>
        <v/>
      </c>
      <c r="G20" s="1" t="str">
        <f t="array" ref="G20">IF(NOT(ISBLANK(A20)), ((_xlfn.XLOOKUP(A20,Index!$B$2:$B$995,Index!$F$2:$F$995,"Not Found"))*B20),"")</f>
        <v/>
      </c>
      <c r="K20" s="15" t="str">
        <f t="shared" si="8"/>
        <v/>
      </c>
    </row>
    <row r="21">
      <c r="C21" s="1" t="str">
        <f t="array" ref="C21">IF(NOT(ISBLANK($A21)), (_xlfn.XLOOKUP($A21,Index!$B$2:$B$995,Index!$C$2:$C$995,"Not Found")),"")</f>
        <v/>
      </c>
      <c r="D21" s="1" t="str">
        <f t="array" ref="D21">IF(NOT(ISBLANK(A21)), (_xlfn.XLOOKUP($A21,Index!$B$2:B$995,Index!$A$2:$A$995,"Not Found")),"")</f>
        <v/>
      </c>
      <c r="E21" s="3" t="str">
        <f t="array" ref="E21">IF(NOT(ISBLANK($A21)), (_xlfn.XLOOKUP($A21,Index!$B$2:$B$995,Index!$D$2:$D$995,"Not Found")),"")</f>
        <v/>
      </c>
      <c r="F21" s="1" t="str">
        <f t="array" ref="F21">IF(NOT(ISBLANK($A21)), (_xlfn.XLOOKUP($A21,Index!$B$2:$B$995,Index!$E$2:$E$995,"Not Found")),"")</f>
        <v/>
      </c>
      <c r="G21" s="1" t="str">
        <f t="array" ref="G21">IF(NOT(ISBLANK(A21)), ((_xlfn.XLOOKUP(A21,Index!$B$2:$B$995,Index!$F$2:$F$995,"Not Found"))*B21),"")</f>
        <v/>
      </c>
      <c r="K21" s="1" t="s">
        <v>860</v>
      </c>
      <c r="L21" s="15">
        <f>SUM(L15:L19)</f>
        <v>0</v>
      </c>
    </row>
    <row r="22">
      <c r="C22" s="1" t="str">
        <f t="array" ref="C22">IF(NOT(ISBLANK($A22)), (_xlfn.XLOOKUP($A22,Index!$B$2:$B$995,Index!$C$2:$C$995,"Not Found")),"")</f>
        <v/>
      </c>
      <c r="D22" s="1" t="str">
        <f t="array" ref="D22">IF(NOT(ISBLANK(A22)), (_xlfn.XLOOKUP($A22,Index!$B$2:B$995,Index!$A$2:$A$995,"Not Found")),"")</f>
        <v/>
      </c>
      <c r="E22" s="3" t="str">
        <f t="array" ref="E22">IF(NOT(ISBLANK($A22)), (_xlfn.XLOOKUP($A22,Index!$B$2:$B$995,Index!$D$2:$D$995,"Not Found")),"")</f>
        <v/>
      </c>
      <c r="F22" s="1" t="str">
        <f t="array" ref="F22">IF(NOT(ISBLANK($A22)), (_xlfn.XLOOKUP($A22,Index!$B$2:$B$995,Index!$E$2:$E$995,"Not Found")),"")</f>
        <v/>
      </c>
      <c r="G22" s="1" t="str">
        <f t="array" ref="G22">IF(NOT(ISBLANK(A22)), ((_xlfn.XLOOKUP(A22,Index!$B$2:$B$995,Index!$F$2:$F$995,"Not Found"))*B22),"")</f>
        <v/>
      </c>
    </row>
    <row r="23">
      <c r="C23" s="1" t="str">
        <f t="array" ref="C23">IF(NOT(ISBLANK($A23)), (_xlfn.XLOOKUP($A23,Index!$B$2:$B$995,Index!$C$2:$C$995,"Not Found")),"")</f>
        <v/>
      </c>
      <c r="D23" s="1" t="str">
        <f t="array" ref="D23">IF(NOT(ISBLANK(A23)), (_xlfn.XLOOKUP($A23,Index!$B$2:B$995,Index!$A$2:$A$995,"Not Found")),"")</f>
        <v/>
      </c>
      <c r="E23" s="3"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3"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935</v>
      </c>
    </row>
    <row r="25">
      <c r="C25" s="1" t="str">
        <f t="array" ref="C25">IF(NOT(ISBLANK($A25)), (_xlfn.XLOOKUP($A25,Index!$B$2:$B$995,Index!$C$2:$C$995,"Not Found")),"")</f>
        <v/>
      </c>
      <c r="D25" s="1" t="str">
        <f t="array" ref="D25">IF(NOT(ISBLANK(A25)), (_xlfn.XLOOKUP($A25,Index!$B$2:B$995,Index!$A$2:$A$995,"Not Found")),"")</f>
        <v/>
      </c>
      <c r="E25" s="3"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3"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3"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3"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3"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3"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3"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3"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3"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3"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3"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3"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3"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3"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3"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3"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3"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3"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3"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3"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3"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3"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3"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3"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3"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3"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3"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3"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3"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3"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3"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3"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3"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3"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3"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3"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3"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3"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3"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3"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3"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3"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3"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3"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3"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3"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3"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3"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3"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3"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3"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3"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3"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11"/>
    </row>
    <row r="79">
      <c r="E79" s="11"/>
    </row>
    <row r="80">
      <c r="E80" s="11"/>
    </row>
    <row r="81">
      <c r="E81" s="11"/>
    </row>
    <row r="82">
      <c r="E82" s="11"/>
    </row>
    <row r="83">
      <c r="E83" s="11"/>
    </row>
    <row r="84">
      <c r="E84" s="11"/>
    </row>
    <row r="85">
      <c r="E85" s="11"/>
    </row>
    <row r="86">
      <c r="E86" s="11"/>
    </row>
    <row r="87">
      <c r="E87" s="11"/>
    </row>
    <row r="88">
      <c r="E88" s="11"/>
    </row>
    <row r="89">
      <c r="E89" s="11"/>
    </row>
    <row r="90">
      <c r="E90" s="11"/>
    </row>
    <row r="91">
      <c r="E91" s="11"/>
    </row>
    <row r="92">
      <c r="E92" s="11"/>
    </row>
    <row r="93">
      <c r="E93" s="11"/>
    </row>
    <row r="94">
      <c r="E94" s="11"/>
    </row>
    <row r="95">
      <c r="E95" s="11"/>
    </row>
    <row r="96">
      <c r="E96" s="11"/>
    </row>
    <row r="97">
      <c r="E97" s="11"/>
    </row>
    <row r="98">
      <c r="E98" s="11"/>
    </row>
    <row r="99">
      <c r="E99" s="11"/>
    </row>
    <row r="100">
      <c r="E100" s="11"/>
    </row>
    <row r="101">
      <c r="E101" s="11"/>
    </row>
    <row r="102">
      <c r="E102" s="11"/>
    </row>
    <row r="103">
      <c r="E103" s="11"/>
    </row>
    <row r="104">
      <c r="E104" s="11"/>
    </row>
    <row r="105">
      <c r="E105" s="11"/>
    </row>
    <row r="106">
      <c r="E106" s="11"/>
    </row>
    <row r="107">
      <c r="E107" s="11"/>
    </row>
    <row r="108">
      <c r="E108" s="11"/>
    </row>
    <row r="109">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3" t="s">
        <v>5</v>
      </c>
      <c r="F1" s="1" t="s">
        <v>7</v>
      </c>
      <c r="G1" s="1" t="s">
        <v>11</v>
      </c>
      <c r="I1" s="1" t="s">
        <v>12</v>
      </c>
      <c r="K1" s="1" t="s">
        <v>3</v>
      </c>
      <c r="L1" s="1" t="s">
        <v>14</v>
      </c>
      <c r="M1" s="1" t="s">
        <v>17</v>
      </c>
      <c r="N1" s="1" t="s">
        <v>19</v>
      </c>
      <c r="O1" s="1" t="s">
        <v>21</v>
      </c>
      <c r="P1" s="1" t="s">
        <v>22</v>
      </c>
      <c r="Q1" s="1" t="s">
        <v>23</v>
      </c>
    </row>
    <row r="2">
      <c r="A2" s="1" t="s">
        <v>30</v>
      </c>
      <c r="B2" s="1">
        <v>4.0</v>
      </c>
      <c r="C2" s="1" t="str">
        <f t="array" ref="C2">IF(NOT(ISBLANK($A2)), (_xlfn.XLOOKUP($A2,Index!$B$2:$B$995,Index!$C$2:$C$995,"Not Found")),"")</f>
        <v>C</v>
      </c>
      <c r="D2" s="1" t="str">
        <f t="array" ref="D2">IF(NOT(ISBLANK(A2)), (_xlfn.XLOOKUP($A2,Index!$B$2:B$995,Index!$A$2:$A$995,"Not Found")),"")</f>
        <v>base5-55</v>
      </c>
      <c r="E2" s="3" t="str">
        <f t="array" ref="E2">IF(NOT(ISBLANK($A2)), (_xlfn.XLOOKUP($A2,Index!$B$2:$B$995,Index!$D$2:$D$995,"Not Found")),"")</f>
        <v>b</v>
      </c>
      <c r="F2" s="1" t="str">
        <f t="array" ref="F2">IF(NOT(ISBLANK($A2)), (_xlfn.XLOOKUP($A2,Index!$B$2:$B$995,Index!$E$2:$E$995,"Not Found")),"")</f>
        <v>y</v>
      </c>
      <c r="G2" s="1">
        <f t="array" ref="G2">IF(NOT(ISBLANK(A2)), ((_xlfn.XLOOKUP(A2,Index!$B$2:$B$995,Index!$F$2:$F$995,"Not Found"))*B2),"")</f>
        <v>0</v>
      </c>
      <c r="I2" s="15">
        <f>SUM(B2:B38)</f>
        <v>60</v>
      </c>
      <c r="K2" s="1" t="s">
        <v>105</v>
      </c>
      <c r="L2" s="15">
        <f t="shared" ref="L2:L6" si="1">IF(NOT(ISBLANK(K2)), SUM(M2:P2), "")</f>
        <v>6</v>
      </c>
      <c r="M2" s="1">
        <f t="shared" ref="M2:M5" si="2">IF(NOT(ISBLANK($K2)), SUMIFS($B$2:$B$32, $E$2:$E$32, "B", $C$2:$C$32,$K2), "")</f>
        <v>4</v>
      </c>
      <c r="N2" s="1">
        <f t="shared" ref="N2:N5" si="3">IF(NOT(ISBLANK($K2)),SUMIFS($B$2:$B$32,$E$2:$E$32, "1", $C$2:$C$32,$K2,$F$2:$F$32,"N"), "")</f>
        <v>2</v>
      </c>
      <c r="O2" s="1">
        <f t="shared" ref="O2:O5" si="4">IF(NOT(ISBLANK($K2)),SUMIFS($B$2:$B$32,$E$2:$E$32, "1", $C$2:$C$32,$K2,$F$2:$F$32,"Y"), "")</f>
        <v>0</v>
      </c>
      <c r="P2" s="1">
        <f t="shared" ref="P2:P5" si="5">IF(NOT(ISBLANK($K2)),SUMIFS($B$2:$B$32,$E$2:$E$32, "2", $C$2:$C$32,$K2), "")</f>
        <v>0</v>
      </c>
      <c r="Q2" s="1">
        <f t="shared" ref="Q2:Q5" si="6">IF(NOT(ISBLANK($K2)),SUMIFS($B$2:$B$32,$E$2:$E$32, "B", $C$2:$C$32,$K2,$F$2:$F$32,"N"), "")</f>
        <v>1</v>
      </c>
    </row>
    <row r="3">
      <c r="A3" s="1" t="s">
        <v>193</v>
      </c>
      <c r="B3" s="1">
        <v>1.0</v>
      </c>
      <c r="C3" s="1" t="str">
        <f t="array" ref="C3">IF(NOT(ISBLANK($A3)), (_xlfn.XLOOKUP($A3,Index!$B$2:$B$995,Index!$C$2:$C$995,"Not Found")),"")</f>
        <v>E</v>
      </c>
      <c r="D3" s="1" t="str">
        <f t="array" ref="D3">IF(NOT(ISBLANK(A3)), (_xlfn.XLOOKUP($A3,Index!$B$2:B$995,Index!$A$2:$A$995,"Not Found")),"")</f>
        <v>base5-38</v>
      </c>
      <c r="E3" s="3">
        <f t="array" ref="E3">IF(NOT(ISBLANK($A3)), (_xlfn.XLOOKUP($A3,Index!$B$2:$B$995,Index!$D$2:$D$995,"Not Found")),"")</f>
        <v>1</v>
      </c>
      <c r="F3" s="1" t="str">
        <f t="array" ref="F3">IF(NOT(ISBLANK($A3)), (_xlfn.XLOOKUP($A3,Index!$B$2:$B$995,Index!$E$2:$E$995,"Not Found")),"")</f>
        <v>n</v>
      </c>
      <c r="G3" s="1">
        <f t="array" ref="G3">IF(NOT(ISBLANK(A3)), ((_xlfn.XLOOKUP(A3,Index!$B$2:$B$995,Index!$F$2:$F$995,"Not Found"))*B3),"")</f>
        <v>2</v>
      </c>
      <c r="K3" s="1" t="s">
        <v>80</v>
      </c>
      <c r="L3" s="15">
        <f t="shared" si="1"/>
        <v>6</v>
      </c>
      <c r="M3" s="1">
        <f t="shared" si="2"/>
        <v>4</v>
      </c>
      <c r="N3" s="1">
        <f t="shared" si="3"/>
        <v>2</v>
      </c>
      <c r="O3" s="1">
        <f t="shared" si="4"/>
        <v>0</v>
      </c>
      <c r="P3" s="1">
        <f t="shared" si="5"/>
        <v>0</v>
      </c>
      <c r="Q3" s="1">
        <f t="shared" si="6"/>
        <v>1</v>
      </c>
    </row>
    <row r="4">
      <c r="A4" s="1" t="s">
        <v>251</v>
      </c>
      <c r="B4" s="1">
        <v>1.0</v>
      </c>
      <c r="C4" s="1" t="str">
        <f t="array" ref="C4">IF(NOT(ISBLANK($A4)), (_xlfn.XLOOKUP($A4,Index!$B$2:$B$995,Index!$C$2:$C$995,"Not Found")),"")</f>
        <v>R</v>
      </c>
      <c r="D4" s="1" t="str">
        <f t="array" ref="D4">IF(NOT(ISBLANK(A4)), (_xlfn.XLOOKUP($A4,Index!$B$2:B$995,Index!$A$2:$A$995,"Not Found")),"")</f>
        <v>base5-35</v>
      </c>
      <c r="E4" s="3">
        <f t="array" ref="E4">IF(NOT(ISBLANK($A4)), (_xlfn.XLOOKUP($A4,Index!$B$2:$B$995,Index!$D$2:$D$995,"Not Found")),"")</f>
        <v>1</v>
      </c>
      <c r="F4" s="1" t="str">
        <f t="array" ref="F4">IF(NOT(ISBLANK($A4)), (_xlfn.XLOOKUP($A4,Index!$B$2:$B$995,Index!$E$2:$E$995,"Not Found")),"")</f>
        <v>n</v>
      </c>
      <c r="G4" s="1">
        <f t="array" ref="G4">IF(NOT(ISBLANK(A4)), ((_xlfn.XLOOKUP(A4,Index!$B$2:$B$995,Index!$F$2:$F$995,"Not Found"))*B4),"")</f>
        <v>1.5</v>
      </c>
      <c r="K4" s="1" t="s">
        <v>96</v>
      </c>
      <c r="L4" s="15">
        <f t="shared" si="1"/>
        <v>6</v>
      </c>
      <c r="M4" s="1">
        <f t="shared" si="2"/>
        <v>4</v>
      </c>
      <c r="N4" s="1">
        <f t="shared" si="3"/>
        <v>2</v>
      </c>
      <c r="O4" s="1">
        <f t="shared" si="4"/>
        <v>0</v>
      </c>
      <c r="P4" s="1">
        <f t="shared" si="5"/>
        <v>0</v>
      </c>
      <c r="Q4" s="1">
        <f t="shared" si="6"/>
        <v>1</v>
      </c>
    </row>
    <row r="5">
      <c r="A5" s="1" t="s">
        <v>293</v>
      </c>
      <c r="B5" s="1">
        <v>1.0</v>
      </c>
      <c r="C5" s="1" t="str">
        <f t="array" ref="C5">IF(NOT(ISBLANK($A5)), (_xlfn.XLOOKUP($A5,Index!$B$2:$B$995,Index!$C$2:$C$995,"Not Found")),"")</f>
        <v>W</v>
      </c>
      <c r="D5" s="1" t="str">
        <f t="array" ref="D5">IF(NOT(ISBLANK(A5)), (_xlfn.XLOOKUP($A5,Index!$B$2:B$995,Index!$A$2:$A$995,"Not Found")),"")</f>
        <v>base5-45</v>
      </c>
      <c r="E5" s="3">
        <f t="array" ref="E5">IF(NOT(ISBLANK($A5)), (_xlfn.XLOOKUP($A5,Index!$B$2:$B$995,Index!$D$2:$D$995,"Not Found")),"")</f>
        <v>1</v>
      </c>
      <c r="F5" s="1" t="str">
        <f t="array" ref="F5">IF(NOT(ISBLANK($A5)), (_xlfn.XLOOKUP($A5,Index!$B$2:$B$995,Index!$E$2:$E$995,"Not Found")),"")</f>
        <v>n</v>
      </c>
      <c r="G5" s="1">
        <f t="array" ref="G5">IF(NOT(ISBLANK(A5)), ((_xlfn.XLOOKUP(A5,Index!$B$2:$B$995,Index!$F$2:$F$995,"Not Found"))*B5),"")</f>
        <v>1.5</v>
      </c>
      <c r="K5" s="1" t="s">
        <v>128</v>
      </c>
      <c r="L5" s="15">
        <f t="shared" si="1"/>
        <v>4</v>
      </c>
      <c r="M5" s="1">
        <f t="shared" si="2"/>
        <v>4</v>
      </c>
      <c r="N5" s="1">
        <f t="shared" si="3"/>
        <v>0</v>
      </c>
      <c r="O5" s="1">
        <f t="shared" si="4"/>
        <v>0</v>
      </c>
      <c r="P5" s="1">
        <f t="shared" si="5"/>
        <v>0</v>
      </c>
      <c r="Q5" s="1">
        <f t="shared" si="6"/>
        <v>0</v>
      </c>
    </row>
    <row r="6">
      <c r="A6" s="1" t="s">
        <v>333</v>
      </c>
      <c r="B6" s="1">
        <v>3.0</v>
      </c>
      <c r="C6" s="1" t="str">
        <f t="array" ref="C6">IF(NOT(ISBLANK($A6)), (_xlfn.XLOOKUP($A6,Index!$B$2:$B$995,Index!$C$2:$C$995,"Not Found")),"")</f>
        <v>E</v>
      </c>
      <c r="D6" s="1" t="str">
        <f t="array" ref="D6">IF(NOT(ISBLANK(A6)), (_xlfn.XLOOKUP($A6,Index!$B$2:B$995,Index!$A$2:$A$995,"Not Found")),"")</f>
        <v>base5-60</v>
      </c>
      <c r="E6" s="3" t="str">
        <f t="array" ref="E6">IF(NOT(ISBLANK($A6)), (_xlfn.XLOOKUP($A6,Index!$B$2:$B$995,Index!$D$2:$D$995,"Not Found")),"")</f>
        <v>b</v>
      </c>
      <c r="F6" s="1" t="str">
        <f t="array" ref="F6">IF(NOT(ISBLANK($A6)), (_xlfn.XLOOKUP($A6,Index!$B$2:$B$995,Index!$E$2:$E$995,"Not Found")),"")</f>
        <v>y</v>
      </c>
      <c r="G6" s="1">
        <f t="array" ref="G6">IF(NOT(ISBLANK(A6)), ((_xlfn.XLOOKUP(A6,Index!$B$2:$B$995,Index!$F$2:$F$995,"Not Found"))*B6),"")</f>
        <v>0</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403</v>
      </c>
      <c r="B7" s="1">
        <v>1.0</v>
      </c>
      <c r="C7" s="1" t="str">
        <f t="array" ref="C7">IF(NOT(ISBLANK($A7)), (_xlfn.XLOOKUP($A7,Index!$B$2:$B$995,Index!$C$2:$C$995,"Not Found")),"")</f>
        <v>E</v>
      </c>
      <c r="D7" s="1" t="str">
        <f t="array" ref="D7">IF(NOT(ISBLANK(A7)), (_xlfn.XLOOKUP($A7,Index!$B$2:B$995,Index!$A$2:$A$995,"Not Found")),"")</f>
        <v>base5-28</v>
      </c>
      <c r="E7" s="3">
        <f t="array" ref="E7">IF(NOT(ISBLANK($A7)), (_xlfn.XLOOKUP($A7,Index!$B$2:$B$995,Index!$D$2:$D$995,"Not Found")),"")</f>
        <v>1</v>
      </c>
      <c r="F7" s="1" t="str">
        <f t="array" ref="F7">IF(NOT(ISBLANK($A7)), (_xlfn.XLOOKUP($A7,Index!$B$2:$B$995,Index!$E$2:$E$995,"Not Found")),"")</f>
        <v>n</v>
      </c>
      <c r="G7" s="1">
        <f t="array" ref="G7">IF(NOT(ISBLANK(A7)), ((_xlfn.XLOOKUP(A7,Index!$B$2:$B$995,Index!$F$2:$F$995,"Not Found"))*B7),"")</f>
        <v>2</v>
      </c>
      <c r="K7" s="1" t="s">
        <v>435</v>
      </c>
      <c r="L7" s="15">
        <f t="shared" ref="L7:Q7" si="7">SUM(L2:L6)</f>
        <v>22</v>
      </c>
      <c r="M7" s="15">
        <f t="shared" si="7"/>
        <v>16</v>
      </c>
      <c r="N7" s="15">
        <f t="shared" si="7"/>
        <v>6</v>
      </c>
      <c r="O7" s="15">
        <f t="shared" si="7"/>
        <v>0</v>
      </c>
      <c r="P7" s="15">
        <f t="shared" si="7"/>
        <v>0</v>
      </c>
      <c r="Q7" s="15">
        <f t="shared" si="7"/>
        <v>3</v>
      </c>
    </row>
    <row r="8">
      <c r="A8" s="1" t="s">
        <v>447</v>
      </c>
      <c r="B8" s="1">
        <v>3.0</v>
      </c>
      <c r="C8" s="1" t="str">
        <f t="array" ref="C8">IF(NOT(ISBLANK($A8)), (_xlfn.XLOOKUP($A8,Index!$B$2:$B$995,Index!$C$2:$C$995,"Not Found")),"")</f>
        <v>R</v>
      </c>
      <c r="D8" s="1" t="str">
        <f t="array" ref="D8">IF(NOT(ISBLANK(A8)), (_xlfn.XLOOKUP($A8,Index!$B$2:B$995,Index!$A$2:$A$995,"Not Found")),"")</f>
        <v>base5-64</v>
      </c>
      <c r="E8" s="3" t="str">
        <f t="array" ref="E8">IF(NOT(ISBLANK($A8)), (_xlfn.XLOOKUP($A8,Index!$B$2:$B$995,Index!$D$2:$D$995,"Not Found")),"")</f>
        <v>b</v>
      </c>
      <c r="F8" s="1" t="str">
        <f t="array" ref="F8">IF(NOT(ISBLANK($A8)), (_xlfn.XLOOKUP($A8,Index!$B$2:$B$995,Index!$E$2:$E$995,"Not Found")),"")</f>
        <v>y</v>
      </c>
      <c r="G8" s="1">
        <f t="array" ref="G8">IF(NOT(ISBLANK(A8)), ((_xlfn.XLOOKUP(A8,Index!$B$2:$B$995,Index!$F$2:$F$995,"Not Found"))*B8),"")</f>
        <v>0</v>
      </c>
    </row>
    <row r="9">
      <c r="A9" s="1" t="s">
        <v>480</v>
      </c>
      <c r="B9" s="1">
        <v>1.0</v>
      </c>
      <c r="C9" s="1" t="str">
        <f t="array" ref="C9">IF(NOT(ISBLANK($A9)), (_xlfn.XLOOKUP($A9,Index!$B$2:$B$995,Index!$C$2:$C$995,"Not Found")),"")</f>
        <v>R</v>
      </c>
      <c r="D9" s="1" t="str">
        <f t="array" ref="D9">IF(NOT(ISBLANK(A9)), (_xlfn.XLOOKUP($A9,Index!$B$2:B$995,Index!$A$2:$A$995,"Not Found")),"")</f>
        <v>base5-44</v>
      </c>
      <c r="E9" s="3">
        <f t="array" ref="E9">IF(NOT(ISBLANK($A9)), (_xlfn.XLOOKUP($A9,Index!$B$2:$B$995,Index!$D$2:$D$995,"Not Found")),"")</f>
        <v>1</v>
      </c>
      <c r="F9" s="1" t="str">
        <f t="array" ref="F9">IF(NOT(ISBLANK($A9)), (_xlfn.XLOOKUP($A9,Index!$B$2:$B$995,Index!$E$2:$E$995,"Not Found")),"")</f>
        <v>n</v>
      </c>
      <c r="G9" s="1">
        <f t="array" ref="G9">IF(NOT(ISBLANK(A9)), ((_xlfn.XLOOKUP(A9,Index!$B$2:$B$995,Index!$F$2:$F$995,"Not Found"))*B9),"")</f>
        <v>1.5</v>
      </c>
      <c r="M9" s="1" t="s">
        <v>508</v>
      </c>
      <c r="N9" s="1" t="s">
        <v>509</v>
      </c>
      <c r="O9" s="1" t="s">
        <v>510</v>
      </c>
    </row>
    <row r="10">
      <c r="A10" s="1" t="s">
        <v>512</v>
      </c>
      <c r="B10" s="1">
        <v>3.0</v>
      </c>
      <c r="C10" s="1" t="str">
        <f t="array" ref="C10">IF(NOT(ISBLANK($A10)), (_xlfn.XLOOKUP($A10,Index!$B$2:$B$995,Index!$C$2:$C$995,"Not Found")),"")</f>
        <v>W</v>
      </c>
      <c r="D10" s="1" t="str">
        <f t="array" ref="D10">IF(NOT(ISBLANK(A10)), (_xlfn.XLOOKUP($A10,Index!$B$2:B$995,Index!$A$2:$A$995,"Not Found")),"")</f>
        <v>base3-56</v>
      </c>
      <c r="E10" s="3" t="str">
        <f t="array" ref="E10">IF(NOT(ISBLANK($A10)), (_xlfn.XLOOKUP($A10,Index!$B$2:$B$995,Index!$D$2:$D$995,"Not Found")),"")</f>
        <v>b</v>
      </c>
      <c r="F10" s="1" t="str">
        <f t="array" ref="F10">IF(NOT(ISBLANK($A10)), (_xlfn.XLOOKUP($A10,Index!$B$2:$B$995,Index!$E$2:$E$995,"Not Found")),"")</f>
        <v>y</v>
      </c>
      <c r="G10" s="1">
        <f t="array" ref="G10">IF(NOT(ISBLANK(A10)), ((_xlfn.XLOOKUP(A10,Index!$B$2:$B$995,Index!$F$2:$F$995,"Not Found"))*B10),"")</f>
        <v>0</v>
      </c>
      <c r="K10" s="1" t="s">
        <v>533</v>
      </c>
      <c r="L10" s="15">
        <f>SUM(M10:P10)</f>
        <v>10</v>
      </c>
      <c r="M10" s="15">
        <f>IF(NOT(ISBLANK($K10)), SUMIFS($B$2:$B$32,$E$2:$E$32, "C", $C$2:$C$32,"T"), "")</f>
        <v>6</v>
      </c>
      <c r="N10" s="15">
        <f>IF(NOT(ISBLANK($K10)), SUMIFS($B$2:$B$32,$E$2:$E$32, "U", $C$2:$C$32,"T"), "")</f>
        <v>3</v>
      </c>
      <c r="O10" s="15">
        <f>IF(NOT(ISBLANK($K$2)), SUMIFS($B$2:$B$32,$E$2:$E$32, "R", $C$2:$C$32,"T"), "")</f>
        <v>1</v>
      </c>
    </row>
    <row r="11">
      <c r="A11" s="1" t="s">
        <v>557</v>
      </c>
      <c r="B11" s="1">
        <v>1.0</v>
      </c>
      <c r="C11" s="1" t="str">
        <f t="array" ref="C11">IF(NOT(ISBLANK($A11)), (_xlfn.XLOOKUP($A11,Index!$B$2:$B$995,Index!$C$2:$C$995,"Not Found")),"")</f>
        <v>W</v>
      </c>
      <c r="D11" s="1" t="str">
        <f t="array" ref="D11">IF(NOT(ISBLANK(A11)), (_xlfn.XLOOKUP($A11,Index!$B$2:B$995,Index!$A$2:$A$995,"Not Found")),"")</f>
        <v>base3-44</v>
      </c>
      <c r="E11" s="3">
        <f t="array" ref="E11">IF(NOT(ISBLANK($A11)), (_xlfn.XLOOKUP($A11,Index!$B$2:$B$995,Index!$D$2:$D$995,"Not Found")),"")</f>
        <v>1</v>
      </c>
      <c r="F11" s="1" t="str">
        <f t="array" ref="F11">IF(NOT(ISBLANK($A11)), (_xlfn.XLOOKUP($A11,Index!$B$2:$B$995,Index!$E$2:$E$995,"Not Found")),"")</f>
        <v>n</v>
      </c>
      <c r="G11" s="1">
        <f t="array" ref="G11">IF(NOT(ISBLANK(A11)), ((_xlfn.XLOOKUP(A11,Index!$B$2:$B$995,Index!$F$2:$F$995,"Not Found"))*B11),"")</f>
        <v>1.5</v>
      </c>
      <c r="K11" s="1" t="s">
        <v>47</v>
      </c>
      <c r="L11" s="1">
        <f>IF(NOT(ISBLANK($K$2)), SUMIFS($B$2:$B$32, $C$2:$C$32,"Energy"), "")</f>
        <v>28</v>
      </c>
    </row>
    <row r="12">
      <c r="A12" s="1" t="s">
        <v>46</v>
      </c>
      <c r="B12" s="1">
        <v>8.0</v>
      </c>
      <c r="C12" s="1" t="str">
        <f t="array" ref="C12">IF(NOT(ISBLANK($A12)), (_xlfn.XLOOKUP($A12,Index!$B$2:$B$995,Index!$C$2:$C$995,"Not Found")),"")</f>
        <v>Energy</v>
      </c>
      <c r="D12" s="1" t="str">
        <f t="array" ref="D12">IF(NOT(ISBLANK(A12)), (_xlfn.XLOOKUP($A12,Index!$B$2:B$995,Index!$A$2:$A$995,"Not Found")),"")</f>
        <v>base1-100</v>
      </c>
      <c r="E12" s="3" t="str">
        <f t="array" ref="E12">IF(NOT(ISBLANK($A12)), (_xlfn.XLOOKUP($A12,Index!$B$2:$B$995,Index!$D$2:$D$995,"Not Found")),"")</f>
        <v/>
      </c>
      <c r="F12" s="1" t="str">
        <f t="array" ref="F12">IF(NOT(ISBLANK($A12)), (_xlfn.XLOOKUP($A12,Index!$B$2:$B$995,Index!$E$2:$E$995,"Not Found")),"")</f>
        <v/>
      </c>
      <c r="G12" s="1">
        <f t="array" ref="G12">IF(NOT(ISBLANK(A12)), ((_xlfn.XLOOKUP(A12,Index!$B$2:$B$995,Index!$F$2:$F$995,"Not Found"))*B12),"")</f>
        <v>0</v>
      </c>
      <c r="K12" s="1" t="s">
        <v>617</v>
      </c>
      <c r="L12" s="15">
        <f>L7</f>
        <v>22</v>
      </c>
    </row>
    <row r="13">
      <c r="A13" s="1" t="s">
        <v>465</v>
      </c>
      <c r="B13" s="1">
        <v>8.0</v>
      </c>
      <c r="C13" s="1" t="str">
        <f t="array" ref="C13">IF(NOT(ISBLANK($A13)), (_xlfn.XLOOKUP($A13,Index!$B$2:$B$995,Index!$C$2:$C$995,"Not Found")),"")</f>
        <v>Energy</v>
      </c>
      <c r="D13" s="1" t="str">
        <f t="array" ref="D13">IF(NOT(ISBLANK(A13)), (_xlfn.XLOOKUP($A13,Index!$B$2:B$995,Index!$A$2:$A$995,"Not Found")),"")</f>
        <v>base1-98</v>
      </c>
      <c r="E13" s="3" t="str">
        <f t="array" ref="E13">IF(NOT(ISBLANK($A13)), (_xlfn.XLOOKUP($A13,Index!$B$2:$B$995,Index!$D$2:$D$995,"Not Found")),"")</f>
        <v/>
      </c>
      <c r="F13" s="1" t="str">
        <f t="array" ref="F13">IF(NOT(ISBLANK($A13)), (_xlfn.XLOOKUP($A13,Index!$B$2:$B$995,Index!$E$2:$E$995,"Not Found")),"")</f>
        <v/>
      </c>
      <c r="G13" s="1">
        <f t="array" ref="G13">IF(NOT(ISBLANK(A13)), ((_xlfn.XLOOKUP(A13,Index!$B$2:$B$995,Index!$F$2:$F$995,"Not Found"))*B13),"")</f>
        <v>0</v>
      </c>
    </row>
    <row r="14">
      <c r="A14" s="1" t="s">
        <v>58</v>
      </c>
      <c r="B14" s="1">
        <v>8.0</v>
      </c>
      <c r="C14" s="1" t="str">
        <f t="array" ref="C14">IF(NOT(ISBLANK($A14)), (_xlfn.XLOOKUP($A14,Index!$B$2:$B$995,Index!$C$2:$C$995,"Not Found")),"")</f>
        <v>Energy</v>
      </c>
      <c r="D14" s="1" t="str">
        <f t="array" ref="D14">IF(NOT(ISBLANK(A14)), (_xlfn.XLOOKUP($A14,Index!$B$2:B$995,Index!$A$2:$A$995,"Not Found")),"")</f>
        <v>base1-102</v>
      </c>
      <c r="E14" s="3" t="str">
        <f t="array" ref="E14">IF(NOT(ISBLANK($A14)), (_xlfn.XLOOKUP($A14,Index!$B$2:$B$995,Index!$D$2:$D$995,"Not Found")),"")</f>
        <v/>
      </c>
      <c r="F14" s="1" t="str">
        <f t="array" ref="F14">IF(NOT(ISBLANK($A14)), (_xlfn.XLOOKUP($A14,Index!$B$2:$B$995,Index!$E$2:$E$995,"Not Found")),"")</f>
        <v/>
      </c>
      <c r="G14" s="1">
        <f t="array" ref="G14">IF(NOT(ISBLANK(A14)), ((_xlfn.XLOOKUP(A14,Index!$B$2:$B$995,Index!$F$2:$F$995,"Not Found"))*B14),"")</f>
        <v>0</v>
      </c>
    </row>
    <row r="15">
      <c r="A15" s="1" t="s">
        <v>461</v>
      </c>
      <c r="B15" s="1">
        <v>2.0</v>
      </c>
      <c r="C15" s="1" t="str">
        <f t="array" ref="C15">IF(NOT(ISBLANK($A15)), (_xlfn.XLOOKUP($A15,Index!$B$2:$B$995,Index!$C$2:$C$995,"Not Found")),"")</f>
        <v>Energy</v>
      </c>
      <c r="D15" s="1" t="str">
        <f t="array" ref="D15">IF(NOT(ISBLANK(A15)), (_xlfn.XLOOKUP($A15,Index!$B$2:B$995,Index!$A$2:$A$995,"Not Found")),"")</f>
        <v>base1-96</v>
      </c>
      <c r="E15" s="3" t="str">
        <f t="array" ref="E15">IF(NOT(ISBLANK($A15)), (_xlfn.XLOOKUP($A15,Index!$B$2:$B$995,Index!$D$2:$D$995,"Not Found")),"")</f>
        <v/>
      </c>
      <c r="F15" s="1" t="str">
        <f t="array" ref="F15">IF(NOT(ISBLANK($A15)), (_xlfn.XLOOKUP($A15,Index!$B$2:$B$995,Index!$E$2:$E$995,"Not Found")),"")</f>
        <v/>
      </c>
      <c r="G15" s="1">
        <f t="array" ref="G15">IF(NOT(ISBLANK(A15)), ((_xlfn.XLOOKUP(A15,Index!$B$2:$B$995,Index!$F$2:$F$995,"Not Found"))*B15),"")</f>
        <v>0</v>
      </c>
      <c r="K15" s="1" t="s">
        <v>689</v>
      </c>
    </row>
    <row r="16">
      <c r="A16" s="1" t="s">
        <v>229</v>
      </c>
      <c r="B16" s="1">
        <v>1.0</v>
      </c>
      <c r="C16" s="1" t="str">
        <f t="array" ref="C16">IF(NOT(ISBLANK($A16)), (_xlfn.XLOOKUP($A16,Index!$B$2:$B$995,Index!$C$2:$C$995,"Not Found")),"")</f>
        <v>R</v>
      </c>
      <c r="D16" s="1" t="str">
        <f t="array" ref="D16">IF(NOT(ISBLANK(A16)), (_xlfn.XLOOKUP($A16,Index!$B$2:B$995,Index!$A$2:$A$995,"Not Found")),"")</f>
        <v>base1-36</v>
      </c>
      <c r="E16" s="3" t="str">
        <f t="array" ref="E16">IF(NOT(ISBLANK($A16)), (_xlfn.XLOOKUP($A16,Index!$B$2:$B$995,Index!$D$2:$D$995,"Not Found")),"")</f>
        <v>b</v>
      </c>
      <c r="F16" s="1" t="str">
        <f t="array" ref="F16">IF(NOT(ISBLANK($A16)), (_xlfn.XLOOKUP($A16,Index!$B$2:$B$995,Index!$E$2:$E$995,"Not Found")),"")</f>
        <v>n</v>
      </c>
      <c r="G16" s="1">
        <f t="array" ref="G16">IF(NOT(ISBLANK(A16)), ((_xlfn.XLOOKUP(A16,Index!$B$2:$B$995,Index!$F$2:$F$995,"Not Found"))*B16),"")</f>
        <v>0</v>
      </c>
      <c r="K16" s="15" t="str">
        <f t="shared" ref="K16:K20" si="8">K2</f>
        <v>E</v>
      </c>
      <c r="L16" s="1">
        <f t="shared" ref="L16:L19" si="9">IF(NOT(ISBLANK($K2)), SUMIFS($G$2:$G$32, $C$2:$C$32,$K2), "")</f>
        <v>5</v>
      </c>
    </row>
    <row r="17">
      <c r="A17" s="1" t="s">
        <v>159</v>
      </c>
      <c r="B17" s="1">
        <v>1.0</v>
      </c>
      <c r="C17" s="1" t="str">
        <f t="array" ref="C17">IF(NOT(ISBLANK($A17)), (_xlfn.XLOOKUP($A17,Index!$B$2:$B$995,Index!$C$2:$C$995,"Not Found")),"")</f>
        <v>E</v>
      </c>
      <c r="D17" s="1" t="str">
        <f t="array" ref="D17">IF(NOT(ISBLANK(A17)), (_xlfn.XLOOKUP($A17,Index!$B$2:B$995,Index!$A$2:$A$995,"Not Found")),"")</f>
        <v>base1-20</v>
      </c>
      <c r="E17" s="3" t="str">
        <f t="array" ref="E17">IF(NOT(ISBLANK($A17)), (_xlfn.XLOOKUP($A17,Index!$B$2:$B$995,Index!$D$2:$D$995,"Not Found")),"")</f>
        <v>b</v>
      </c>
      <c r="F17" s="1" t="str">
        <f t="array" ref="F17">IF(NOT(ISBLANK($A17)), (_xlfn.XLOOKUP($A17,Index!$B$2:$B$995,Index!$E$2:$E$995,"Not Found")),"")</f>
        <v>n</v>
      </c>
      <c r="G17" s="1">
        <f t="array" ref="G17">IF(NOT(ISBLANK(A17)), ((_xlfn.XLOOKUP(A17,Index!$B$2:$B$995,Index!$F$2:$F$995,"Not Found"))*B17),"")</f>
        <v>1</v>
      </c>
      <c r="K17" s="15" t="str">
        <f t="shared" si="8"/>
        <v>R</v>
      </c>
      <c r="L17" s="1">
        <f t="shared" si="9"/>
        <v>3</v>
      </c>
    </row>
    <row r="18">
      <c r="A18" s="1" t="s">
        <v>654</v>
      </c>
      <c r="B18" s="1">
        <v>1.0</v>
      </c>
      <c r="C18" s="1" t="str">
        <f t="array" ref="C18">IF(NOT(ISBLANK($A18)), (_xlfn.XLOOKUP($A18,Index!$B$2:$B$995,Index!$C$2:$C$995,"Not Found")),"")</f>
        <v>W</v>
      </c>
      <c r="D18" s="1" t="str">
        <f t="array" ref="D18">IF(NOT(ISBLANK(A18)), (_xlfn.XLOOKUP($A18,Index!$B$2:B$995,Index!$A$2:$A$995,"Not Found")),"")</f>
        <v>base3-10</v>
      </c>
      <c r="E18" s="3" t="str">
        <f t="array" ref="E18">IF(NOT(ISBLANK($A18)), (_xlfn.XLOOKUP($A18,Index!$B$2:$B$995,Index!$D$2:$D$995,"Not Found")),"")</f>
        <v>b</v>
      </c>
      <c r="F18" s="1" t="str">
        <f t="array" ref="F18">IF(NOT(ISBLANK($A18)), (_xlfn.XLOOKUP($A18,Index!$B$2:$B$995,Index!$E$2:$E$995,"Not Found")),"")</f>
        <v>n</v>
      </c>
      <c r="G18" s="1">
        <f t="array" ref="G18">IF(NOT(ISBLANK(A18)), ((_xlfn.XLOOKUP(A18,Index!$B$2:$B$995,Index!$F$2:$F$995,"Not Found"))*B18),"")</f>
        <v>1</v>
      </c>
      <c r="K18" s="15" t="str">
        <f t="shared" si="8"/>
        <v>W</v>
      </c>
      <c r="L18" s="1">
        <f t="shared" si="9"/>
        <v>4</v>
      </c>
    </row>
    <row r="19">
      <c r="A19" s="1" t="s">
        <v>775</v>
      </c>
      <c r="B19" s="1">
        <v>2.0</v>
      </c>
      <c r="C19" s="1" t="str">
        <f t="array" ref="C19">IF(NOT(ISBLANK($A19)), (_xlfn.XLOOKUP($A19,Index!$B$2:$B$995,Index!$C$2:$C$995,"Not Found")),"")</f>
        <v>Energy</v>
      </c>
      <c r="D19" s="1" t="str">
        <f t="array" ref="D19">IF(NOT(ISBLANK(A19)), (_xlfn.XLOOKUP($A19,Index!$B$2:B$995,Index!$A$2:$A$995,"Not Found")),"")</f>
        <v>base5-80</v>
      </c>
      <c r="E19" s="3" t="str">
        <f t="array" ref="E19">IF(NOT(ISBLANK($A19)), (_xlfn.XLOOKUP($A19,Index!$B$2:$B$995,Index!$D$2:$D$995,"Not Found")),"")</f>
        <v/>
      </c>
      <c r="F19" s="1" t="str">
        <f t="array" ref="F19">IF(NOT(ISBLANK($A19)), (_xlfn.XLOOKUP($A19,Index!$B$2:$B$995,Index!$E$2:$E$995,"Not Found")),"")</f>
        <v/>
      </c>
      <c r="G19" s="1">
        <f t="array" ref="G19">IF(NOT(ISBLANK(A19)), ((_xlfn.XLOOKUP(A19,Index!$B$2:$B$995,Index!$F$2:$F$995,"Not Found"))*B19),"")</f>
        <v>0</v>
      </c>
      <c r="K19" s="15" t="str">
        <f t="shared" si="8"/>
        <v>C</v>
      </c>
      <c r="L19" s="1">
        <f t="shared" si="9"/>
        <v>0</v>
      </c>
    </row>
    <row r="20">
      <c r="A20" s="1" t="s">
        <v>796</v>
      </c>
      <c r="B20" s="1">
        <v>2.0</v>
      </c>
      <c r="C20" s="1" t="str">
        <f t="array" ref="C20">IF(NOT(ISBLANK($A20)), (_xlfn.XLOOKUP($A20,Index!$B$2:$B$995,Index!$C$2:$C$995,"Not Found")),"")</f>
        <v>T</v>
      </c>
      <c r="D20" s="1" t="str">
        <f t="array" ref="D20">IF(NOT(ISBLANK(A20)), (_xlfn.XLOOKUP($A20,Index!$B$2:B$995,Index!$A$2:$A$995,"Not Found")),"")</f>
        <v>base3-59</v>
      </c>
      <c r="E20" s="3"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15" t="str">
        <f t="shared" si="8"/>
        <v/>
      </c>
    </row>
    <row r="21">
      <c r="A21" s="1" t="s">
        <v>410</v>
      </c>
      <c r="B21" s="1">
        <v>2.0</v>
      </c>
      <c r="C21" s="1" t="str">
        <f t="array" ref="C21">IF(NOT(ISBLANK($A21)), (_xlfn.XLOOKUP($A21,Index!$B$2:$B$995,Index!$C$2:$C$995,"Not Found")),"")</f>
        <v>T</v>
      </c>
      <c r="D21" s="1" t="str">
        <f t="array" ref="D21">IF(NOT(ISBLANK(A21)), (_xlfn.XLOOKUP($A21,Index!$B$2:B$995,Index!$A$2:$A$995,"Not Found")),"")</f>
        <v>base1-81</v>
      </c>
      <c r="E21" s="3" t="str">
        <f t="array" ref="E21">IF(NOT(ISBLANK($A21)), (_xlfn.XLOOKUP($A21,Index!$B$2:$B$995,Index!$D$2:$D$995,"Not Found")),"")</f>
        <v>u</v>
      </c>
      <c r="F21" s="1" t="str">
        <f t="array" ref="F21">IF(NOT(ISBLANK($A21)), (_xlfn.XLOOKUP($A21,Index!$B$2:$B$995,Index!$E$2:$E$995,"Not Found")),"")</f>
        <v/>
      </c>
      <c r="G21" s="1" t="str">
        <f t="array" ref="G21">IF(NOT(ISBLANK(A21)), ((_xlfn.XLOOKUP(A21,Index!$B$2:$B$995,Index!$F$2:$F$995,"Not Found"))*B21),"")</f>
        <v>#VALUE!</v>
      </c>
      <c r="K21" s="1" t="s">
        <v>860</v>
      </c>
      <c r="L21" s="15">
        <f>SUM(L15:L19)</f>
        <v>12</v>
      </c>
    </row>
    <row r="22">
      <c r="A22" s="1" t="s">
        <v>444</v>
      </c>
      <c r="B22" s="1">
        <v>2.0</v>
      </c>
      <c r="C22" s="1" t="str">
        <f t="array" ref="C22">IF(NOT(ISBLANK($A22)), (_xlfn.XLOOKUP($A22,Index!$B$2:$B$995,Index!$C$2:$C$995,"Not Found")),"")</f>
        <v>T</v>
      </c>
      <c r="D22" s="1" t="str">
        <f t="array" ref="D22">IF(NOT(ISBLANK(A22)), (_xlfn.XLOOKUP($A22,Index!$B$2:B$995,Index!$A$2:$A$995,"Not Found")),"")</f>
        <v>base1-91</v>
      </c>
      <c r="E22" s="3" t="str">
        <f t="array" ref="E22">IF(NOT(ISBLANK($A22)), (_xlfn.XLOOKUP($A22,Index!$B$2:$B$995,Index!$D$2:$D$995,"Not Found")),"")</f>
        <v>c</v>
      </c>
      <c r="F22" s="1" t="str">
        <f t="array" ref="F22">IF(NOT(ISBLANK($A22)), (_xlfn.XLOOKUP($A22,Index!$B$2:$B$995,Index!$E$2:$E$995,"Not Found")),"")</f>
        <v/>
      </c>
      <c r="G22" s="1" t="str">
        <f t="array" ref="G22">IF(NOT(ISBLANK(A22)), ((_xlfn.XLOOKUP(A22,Index!$B$2:$B$995,Index!$F$2:$F$995,"Not Found"))*B22),"")</f>
        <v>#VALUE!</v>
      </c>
    </row>
    <row r="23">
      <c r="A23" s="1" t="s">
        <v>430</v>
      </c>
      <c r="B23" s="1">
        <v>1.0</v>
      </c>
      <c r="C23" s="1" t="str">
        <f t="array" ref="C23">IF(NOT(ISBLANK($A23)), (_xlfn.XLOOKUP($A23,Index!$B$2:$B$995,Index!$C$2:$C$995,"Not Found")),"")</f>
        <v>T</v>
      </c>
      <c r="D23" s="1" t="str">
        <f t="array" ref="D23">IF(NOT(ISBLANK(A23)), (_xlfn.XLOOKUP($A23,Index!$B$2:B$995,Index!$A$2:$A$995,"Not Found")),"")</f>
        <v>base1-88</v>
      </c>
      <c r="E23" s="3" t="str">
        <f t="array" ref="E23">IF(NOT(ISBLANK($A23)), (_xlfn.XLOOKUP($A23,Index!$B$2:$B$995,Index!$D$2:$D$995,"Not Found")),"")</f>
        <v>u</v>
      </c>
      <c r="F23" s="1" t="str">
        <f t="array" ref="F23">IF(NOT(ISBLANK($A23)), (_xlfn.XLOOKUP($A23,Index!$B$2:$B$995,Index!$E$2:$E$995,"Not Found")),"")</f>
        <v/>
      </c>
      <c r="G23" s="1" t="str">
        <f t="array" ref="G23">IF(NOT(ISBLANK(A23)), ((_xlfn.XLOOKUP(A23,Index!$B$2:$B$995,Index!$F$2:$F$995,"Not Found"))*B23),"")</f>
        <v>#VALUE!</v>
      </c>
    </row>
    <row r="24">
      <c r="A24" s="1" t="s">
        <v>909</v>
      </c>
      <c r="B24" s="1">
        <v>1.0</v>
      </c>
      <c r="C24" s="1" t="str">
        <f t="array" ref="C24">IF(NOT(ISBLANK($A24)), (_xlfn.XLOOKUP($A24,Index!$B$2:$B$995,Index!$C$2:$C$995,"Not Found")),"")</f>
        <v>T</v>
      </c>
      <c r="D24" s="1" t="str">
        <f t="array" ref="D24">IF(NOT(ISBLANK(A24)), (_xlfn.XLOOKUP($A24,Index!$B$2:B$995,Index!$A$2:$A$995,"Not Found")),"")</f>
        <v>base5-79</v>
      </c>
      <c r="E24" s="3" t="str">
        <f t="array" ref="E24">IF(NOT(ISBLANK($A24)), (_xlfn.XLOOKUP($A24,Index!$B$2:$B$995,Index!$D$2:$D$995,"Not Found")),"")</f>
        <v>c</v>
      </c>
      <c r="F24" s="1" t="str">
        <f t="array" ref="F24">IF(NOT(ISBLANK($A24)), (_xlfn.XLOOKUP($A24,Index!$B$2:$B$995,Index!$E$2:$E$995,"Not Found")),"")</f>
        <v/>
      </c>
      <c r="G24" s="1" t="str">
        <f t="array" ref="G24">IF(NOT(ISBLANK(A24)), ((_xlfn.XLOOKUP(A24,Index!$B$2:$B$995,Index!$F$2:$F$995,"Not Found"))*B24),"")</f>
        <v>#VALUE!</v>
      </c>
      <c r="K24" s="1" t="s">
        <v>935</v>
      </c>
      <c r="L24" s="1" t="s">
        <v>30</v>
      </c>
    </row>
    <row r="25">
      <c r="A25" s="1" t="s">
        <v>458</v>
      </c>
      <c r="B25" s="1">
        <v>1.0</v>
      </c>
      <c r="C25" s="1" t="str">
        <f t="array" ref="C25">IF(NOT(ISBLANK($A25)), (_xlfn.XLOOKUP($A25,Index!$B$2:$B$995,Index!$C$2:$C$995,"Not Found")),"")</f>
        <v>T</v>
      </c>
      <c r="D25" s="1" t="str">
        <f t="array" ref="D25">IF(NOT(ISBLANK(A25)), (_xlfn.XLOOKUP($A25,Index!$B$2:B$995,Index!$A$2:$A$995,"Not Found")),"")</f>
        <v>base1-95</v>
      </c>
      <c r="E25" s="3" t="str">
        <f t="array" ref="E25">IF(NOT(ISBLANK($A25)), (_xlfn.XLOOKUP($A25,Index!$B$2:$B$995,Index!$D$2:$D$995,"Not Found")),"")</f>
        <v>c</v>
      </c>
      <c r="F25" s="1" t="str">
        <f t="array" ref="F25">IF(NOT(ISBLANK($A25)), (_xlfn.XLOOKUP($A25,Index!$B$2:$B$995,Index!$E$2:$E$995,"Not Found")),"")</f>
        <v/>
      </c>
      <c r="G25" s="1" t="str">
        <f t="array" ref="G25">IF(NOT(ISBLANK(A25)), ((_xlfn.XLOOKUP(A25,Index!$B$2:$B$995,Index!$F$2:$F$995,"Not Found"))*B25),"")</f>
        <v>#VALUE!</v>
      </c>
    </row>
    <row r="26">
      <c r="A26" s="1" t="s">
        <v>394</v>
      </c>
      <c r="B26" s="1">
        <v>1.0</v>
      </c>
      <c r="C26" s="1" t="str">
        <f t="array" ref="C26">IF(NOT(ISBLANK($A26)), (_xlfn.XLOOKUP($A26,Index!$B$2:$B$995,Index!$C$2:$C$995,"Not Found")),"")</f>
        <v>T</v>
      </c>
      <c r="D26" s="1" t="str">
        <f t="array" ref="D26">IF(NOT(ISBLANK(A26)), (_xlfn.XLOOKUP($A26,Index!$B$2:B$995,Index!$A$2:$A$995,"Not Found")),"")</f>
        <v>base1-77</v>
      </c>
      <c r="E26" s="3" t="str">
        <f t="array" ref="E26">IF(NOT(ISBLANK($A26)), (_xlfn.XLOOKUP($A26,Index!$B$2:$B$995,Index!$D$2:$D$995,"Not Found")),"")</f>
        <v>r</v>
      </c>
      <c r="F26" s="1" t="str">
        <f t="array" ref="F26">IF(NOT(ISBLANK($A26)), (_xlfn.XLOOKUP($A26,Index!$B$2:$B$995,Index!$E$2:$E$995,"Not Found")),"")</f>
        <v/>
      </c>
      <c r="G26" s="1" t="str">
        <f t="array" ref="G26">IF(NOT(ISBLANK(A26)), ((_xlfn.XLOOKUP(A26,Index!$B$2:$B$995,Index!$F$2:$F$995,"Not Found"))*B26),"")</f>
        <v>#VALUE!</v>
      </c>
    </row>
    <row r="27">
      <c r="C27" s="1" t="str">
        <f t="array" ref="C27">IF(NOT(ISBLANK($A27)), (_xlfn.XLOOKUP($A27,Index!$B$2:$B$995,Index!$C$2:$C$995,"Not Found")),"")</f>
        <v/>
      </c>
      <c r="D27" s="1" t="str">
        <f t="array" ref="D27">IF(NOT(ISBLANK(A27)), (_xlfn.XLOOKUP($A27,Index!$B$2:B$995,Index!$A$2:$A$995,"Not Found")),"")</f>
        <v/>
      </c>
      <c r="E27" s="3"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3"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3"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3"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3"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3"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3"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3"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3"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3"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3"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3"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3"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3"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3"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3"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3"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3"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3"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3"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3"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3"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3"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3"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3"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3"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3"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3"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3"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3"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3"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3"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3"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3"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3"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3"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3"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3"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3"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3"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3"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3"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3"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3"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3"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3"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3"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3"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3"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3"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3"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11"/>
    </row>
    <row r="79">
      <c r="E79" s="11"/>
    </row>
    <row r="80">
      <c r="E80" s="11"/>
    </row>
    <row r="81">
      <c r="E81" s="11"/>
    </row>
    <row r="82">
      <c r="E82" s="11"/>
    </row>
    <row r="83">
      <c r="E83" s="11"/>
    </row>
    <row r="84">
      <c r="E84" s="11"/>
    </row>
    <row r="85">
      <c r="E85" s="11"/>
    </row>
    <row r="86">
      <c r="E86" s="11"/>
    </row>
    <row r="87">
      <c r="E87" s="11"/>
    </row>
    <row r="88">
      <c r="E88" s="11"/>
    </row>
    <row r="89">
      <c r="E89" s="11"/>
    </row>
    <row r="90">
      <c r="E90" s="11"/>
    </row>
    <row r="91">
      <c r="E91" s="11"/>
    </row>
    <row r="92">
      <c r="E92" s="11"/>
    </row>
    <row r="93">
      <c r="E93" s="11"/>
    </row>
    <row r="94">
      <c r="E94" s="11"/>
    </row>
    <row r="95">
      <c r="E95" s="11"/>
    </row>
    <row r="96">
      <c r="E96" s="11"/>
    </row>
    <row r="97">
      <c r="E97" s="11"/>
    </row>
    <row r="98">
      <c r="E98" s="11"/>
    </row>
    <row r="99">
      <c r="E99" s="11"/>
    </row>
    <row r="100">
      <c r="E100" s="11"/>
    </row>
    <row r="101">
      <c r="E101" s="11"/>
    </row>
    <row r="102">
      <c r="E102" s="11"/>
    </row>
    <row r="103">
      <c r="E103" s="11"/>
    </row>
    <row r="104">
      <c r="E104" s="11"/>
    </row>
    <row r="105">
      <c r="E105" s="11"/>
    </row>
    <row r="106">
      <c r="E106" s="11"/>
    </row>
    <row r="107">
      <c r="E107" s="11"/>
    </row>
    <row r="108">
      <c r="E108" s="11"/>
    </row>
    <row r="109">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sheetData>
  <conditionalFormatting sqref="G1:G1000">
    <cfRule type="cellIs" dxfId="1" priority="1" operator="equal">
      <formula>0</formula>
    </cfRule>
  </conditionalFormatting>
  <conditionalFormatting sqref="L1:Q5">
    <cfRule type="cellIs" dxfId="2" priority="2" operator="equal">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3" t="s">
        <v>5</v>
      </c>
      <c r="F1" s="1" t="s">
        <v>7</v>
      </c>
      <c r="G1" s="1" t="s">
        <v>11</v>
      </c>
      <c r="I1" s="1" t="s">
        <v>12</v>
      </c>
      <c r="K1" s="1" t="s">
        <v>3</v>
      </c>
      <c r="L1" s="1" t="s">
        <v>14</v>
      </c>
      <c r="M1" s="1" t="s">
        <v>17</v>
      </c>
      <c r="N1" s="1" t="s">
        <v>19</v>
      </c>
      <c r="O1" s="1" t="s">
        <v>21</v>
      </c>
      <c r="P1" s="1" t="s">
        <v>22</v>
      </c>
      <c r="Q1" s="1" t="s">
        <v>23</v>
      </c>
    </row>
    <row r="2">
      <c r="A2" s="1" t="s">
        <v>630</v>
      </c>
      <c r="B2" s="1">
        <v>2.0</v>
      </c>
      <c r="C2" s="1" t="str">
        <f t="array" ref="C2">IF(NOT(ISBLANK($A2)), (_xlfn.XLOOKUP($A2,Index!$B$2:$B$995,Index!$C$2:$C$995,"Not Found")),"")</f>
        <v>E</v>
      </c>
      <c r="D2" s="1" t="str">
        <f t="array" ref="D2">IF(NOT(ISBLANK(A2)), (_xlfn.XLOOKUP($A2,Index!$B$2:B$995,Index!$A$2:$A$995,"Not Found")),"")</f>
        <v>base2-60</v>
      </c>
      <c r="E2" s="3" t="str">
        <f t="array" ref="E2">IF(NOT(ISBLANK($A2)), (_xlfn.XLOOKUP($A2,Index!$B$2:$B$995,Index!$D$2:$D$995,"Not Found")),"")</f>
        <v>b</v>
      </c>
      <c r="F2" s="1" t="str">
        <f t="array" ref="F2">IF(NOT(ISBLANK($A2)), (_xlfn.XLOOKUP($A2,Index!$B$2:$B$995,Index!$E$2:$E$995,"Not Found")),"")</f>
        <v>y</v>
      </c>
      <c r="G2" s="1">
        <f t="array" ref="G2">IF(NOT(ISBLANK(A2)), ((_xlfn.XLOOKUP(A2,Index!$B$2:$B$995,Index!$F$2:$F$995,"Not Found"))*B2),"")</f>
        <v>0</v>
      </c>
      <c r="I2" s="15">
        <f>SUM(B2:B38)</f>
        <v>60</v>
      </c>
      <c r="K2" s="1" t="s">
        <v>105</v>
      </c>
      <c r="L2" s="15">
        <f t="shared" ref="L2:L6" si="1">IF(NOT(ISBLANK(K2)), SUM(M2:P2), "")</f>
        <v>10</v>
      </c>
      <c r="M2" s="1">
        <f t="shared" ref="M2:M5" si="2">IF(NOT(ISBLANK($K2)), SUMIFS($B$2:$B$32, $E$2:$E$32, "B", $C$2:$C$32,$K2), "")</f>
        <v>7</v>
      </c>
      <c r="N2" s="1">
        <f t="shared" ref="N2:N5" si="3">IF(NOT(ISBLANK($K2)),SUMIFS($B$2:$B$32,$E$2:$E$32, "1", $C$2:$C$32,$K2,$F$2:$F$32,"N"), "")</f>
        <v>3</v>
      </c>
      <c r="O2" s="1">
        <f t="shared" ref="O2:O5" si="4">IF(NOT(ISBLANK($K2)),SUMIFS($B$2:$B$32,$E$2:$E$32, "1", $C$2:$C$32,$K2,$F$2:$F$32,"Y"), "")</f>
        <v>0</v>
      </c>
      <c r="P2" s="1">
        <f t="shared" ref="P2:P5" si="5">IF(NOT(ISBLANK($K2)),SUMIFS($B$2:$B$32,$E$2:$E$32, "2", $C$2:$C$32,$K2), "")</f>
        <v>0</v>
      </c>
      <c r="Q2" s="1">
        <f t="shared" ref="Q2:Q5" si="6">IF(NOT(ISBLANK($K2)),SUMIFS($B$2:$B$32,$E$2:$E$32, "B", $C$2:$C$32,$K2,$F$2:$F$32,"N"), "")</f>
        <v>0</v>
      </c>
    </row>
    <row r="3">
      <c r="A3" s="1" t="s">
        <v>323</v>
      </c>
      <c r="B3" s="1">
        <v>2.0</v>
      </c>
      <c r="C3" s="1" t="str">
        <f t="array" ref="C3">IF(NOT(ISBLANK($A3)), (_xlfn.XLOOKUP($A3,Index!$B$2:$B$995,Index!$C$2:$C$995,"Not Found")),"")</f>
        <v>E</v>
      </c>
      <c r="D3" s="1" t="str">
        <f t="array" ref="D3">IF(NOT(ISBLANK(A3)), (_xlfn.XLOOKUP($A3,Index!$B$2:B$995,Index!$A$2:$A$995,"Not Found")),"")</f>
        <v>base1-58</v>
      </c>
      <c r="E3" s="3" t="str">
        <f t="array" ref="E3">IF(NOT(ISBLANK($A3)), (_xlfn.XLOOKUP($A3,Index!$B$2:$B$995,Index!$D$2:$D$995,"Not Found")),"")</f>
        <v>b</v>
      </c>
      <c r="F3" s="1" t="str">
        <f t="array" ref="F3">IF(NOT(ISBLANK($A3)), (_xlfn.XLOOKUP($A3,Index!$B$2:$B$995,Index!$E$2:$E$995,"Not Found")),"")</f>
        <v>y</v>
      </c>
      <c r="G3" s="1">
        <f t="array" ref="G3">IF(NOT(ISBLANK(A3)), ((_xlfn.XLOOKUP(A3,Index!$B$2:$B$995,Index!$F$2:$F$995,"Not Found"))*B3),"")</f>
        <v>0</v>
      </c>
      <c r="K3" s="1" t="s">
        <v>59</v>
      </c>
      <c r="L3" s="15">
        <f t="shared" si="1"/>
        <v>9</v>
      </c>
      <c r="M3" s="1">
        <f t="shared" si="2"/>
        <v>6</v>
      </c>
      <c r="N3" s="1">
        <f t="shared" si="3"/>
        <v>3</v>
      </c>
      <c r="O3" s="1">
        <f t="shared" si="4"/>
        <v>0</v>
      </c>
      <c r="P3" s="1">
        <f t="shared" si="5"/>
        <v>0</v>
      </c>
      <c r="Q3" s="1">
        <f t="shared" si="6"/>
        <v>0</v>
      </c>
    </row>
    <row r="4">
      <c r="A4" s="1" t="s">
        <v>75</v>
      </c>
      <c r="B4" s="1">
        <v>2.0</v>
      </c>
      <c r="C4" s="1" t="str">
        <f t="array" ref="C4">IF(NOT(ISBLANK($A4)), (_xlfn.XLOOKUP($A4,Index!$B$2:$B$995,Index!$C$2:$C$995,"Not Found")),"")</f>
        <v>E</v>
      </c>
      <c r="D4" s="1" t="str">
        <f t="array" ref="D4">IF(NOT(ISBLANK(A4)), (_xlfn.XLOOKUP($A4,Index!$B$2:B$995,Index!$A$2:$A$995,"Not Found")),"")</f>
        <v>base5-83</v>
      </c>
      <c r="E4" s="3">
        <f t="array" ref="E4">IF(NOT(ISBLANK($A4)), (_xlfn.XLOOKUP($A4,Index!$B$2:$B$995,Index!$D$2:$D$995,"Not Found")),"")</f>
        <v>1</v>
      </c>
      <c r="F4" s="1" t="str">
        <f t="array" ref="F4">IF(NOT(ISBLANK($A4)), (_xlfn.XLOOKUP($A4,Index!$B$2:$B$995,Index!$E$2:$E$995,"Not Found")),"")</f>
        <v>n</v>
      </c>
      <c r="G4" s="1">
        <f t="array" ref="G4">IF(NOT(ISBLANK(A4)), ((_xlfn.XLOOKUP(A4,Index!$B$2:$B$995,Index!$F$2:$F$995,"Not Found"))*B4),"")</f>
        <v>3</v>
      </c>
      <c r="K4" s="1" t="s">
        <v>128</v>
      </c>
      <c r="L4" s="15">
        <f t="shared" si="1"/>
        <v>3</v>
      </c>
      <c r="M4" s="1">
        <f t="shared" si="2"/>
        <v>2</v>
      </c>
      <c r="N4" s="1">
        <f t="shared" si="3"/>
        <v>1</v>
      </c>
      <c r="O4" s="1">
        <f t="shared" si="4"/>
        <v>0</v>
      </c>
      <c r="P4" s="1">
        <f t="shared" si="5"/>
        <v>0</v>
      </c>
      <c r="Q4" s="1">
        <f t="shared" si="6"/>
        <v>0</v>
      </c>
    </row>
    <row r="5">
      <c r="A5" s="1" t="s">
        <v>995</v>
      </c>
      <c r="B5" s="1">
        <v>3.0</v>
      </c>
      <c r="C5" s="1" t="str">
        <f t="array" ref="C5">IF(NOT(ISBLANK($A5)), (_xlfn.XLOOKUP($A5,Index!$B$2:$B$995,Index!$C$2:$C$995,"Not Found")),"")</f>
        <v>E</v>
      </c>
      <c r="D5" s="1" t="str">
        <f t="array" ref="D5">IF(NOT(ISBLANK(A5)), (_xlfn.XLOOKUP($A5,Index!$B$2:B$995,Index!$A$2:$A$995,"Not Found")),"")</f>
        <v>base5-69</v>
      </c>
      <c r="E5" s="3" t="str">
        <f t="array" ref="E5">IF(NOT(ISBLANK($A5)), (_xlfn.XLOOKUP($A5,Index!$B$2:$B$995,Index!$D$2:$D$995,"Not Found")),"")</f>
        <v>b</v>
      </c>
      <c r="F5" s="1" t="str">
        <f t="array" ref="F5">IF(NOT(ISBLANK($A5)), (_xlfn.XLOOKUP($A5,Index!$B$2:$B$995,Index!$E$2:$E$995,"Not Found")),"")</f>
        <v>y</v>
      </c>
      <c r="G5" s="1">
        <f t="array" ref="G5">IF(NOT(ISBLANK(A5)), ((_xlfn.XLOOKUP(A5,Index!$B$2:$B$995,Index!$F$2:$F$995,"Not Found"))*B5),"")</f>
        <v>0</v>
      </c>
      <c r="L5" s="15" t="str">
        <f t="shared" si="1"/>
        <v/>
      </c>
      <c r="M5" s="1" t="str">
        <f t="shared" si="2"/>
        <v/>
      </c>
      <c r="N5" s="1" t="str">
        <f t="shared" si="3"/>
        <v/>
      </c>
      <c r="O5" s="1" t="str">
        <f t="shared" si="4"/>
        <v/>
      </c>
      <c r="P5" s="1" t="str">
        <f t="shared" si="5"/>
        <v/>
      </c>
      <c r="Q5" s="1" t="str">
        <f t="shared" si="6"/>
        <v/>
      </c>
    </row>
    <row r="6">
      <c r="A6" s="1" t="s">
        <v>888</v>
      </c>
      <c r="B6" s="1">
        <v>1.0</v>
      </c>
      <c r="C6" s="1" t="str">
        <f t="array" ref="C6">IF(NOT(ISBLANK($A6)), (_xlfn.XLOOKUP($A6,Index!$B$2:$B$995,Index!$C$2:$C$995,"Not Found")),"")</f>
        <v>E</v>
      </c>
      <c r="D6" s="1" t="str">
        <f t="array" ref="D6">IF(NOT(ISBLANK(A6)), (_xlfn.XLOOKUP($A6,Index!$B$2:B$995,Index!$A$2:$A$995,"Not Found")),"")</f>
        <v>base5-34</v>
      </c>
      <c r="E6" s="3">
        <f t="array" ref="E6">IF(NOT(ISBLANK($A6)), (_xlfn.XLOOKUP($A6,Index!$B$2:$B$995,Index!$D$2:$D$995,"Not Found")),"")</f>
        <v>1</v>
      </c>
      <c r="F6" s="1" t="str">
        <f t="array" ref="F6">IF(NOT(ISBLANK($A6)), (_xlfn.XLOOKUP($A6,Index!$B$2:$B$995,Index!$E$2:$E$995,"Not Found")),"")</f>
        <v>n</v>
      </c>
      <c r="G6" s="1">
        <f t="array" ref="G6">IF(NOT(ISBLANK(A6)), ((_xlfn.XLOOKUP(A6,Index!$B$2:$B$995,Index!$F$2:$F$995,"Not Found"))*B6),"")</f>
        <v>1</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956</v>
      </c>
      <c r="B7" s="1">
        <v>3.0</v>
      </c>
      <c r="C7" s="1" t="str">
        <f t="array" ref="C7">IF(NOT(ISBLANK($A7)), (_xlfn.XLOOKUP($A7,Index!$B$2:$B$995,Index!$C$2:$C$995,"Not Found")),"")</f>
        <v>G</v>
      </c>
      <c r="D7" s="1" t="str">
        <f t="array" ref="D7">IF(NOT(ISBLANK(A7)), (_xlfn.XLOOKUP($A7,Index!$B$2:B$995,Index!$A$2:$A$995,"Not Found")),"")</f>
        <v>base5-56</v>
      </c>
      <c r="E7" s="3" t="str">
        <f t="array" ref="E7">IF(NOT(ISBLANK($A7)), (_xlfn.XLOOKUP($A7,Index!$B$2:$B$995,Index!$D$2:$D$995,"Not Found")),"")</f>
        <v>b</v>
      </c>
      <c r="F7" s="1" t="str">
        <f t="array" ref="F7">IF(NOT(ISBLANK($A7)), (_xlfn.XLOOKUP($A7,Index!$B$2:$B$995,Index!$E$2:$E$995,"Not Found")),"")</f>
        <v>y</v>
      </c>
      <c r="G7" s="1">
        <f t="array" ref="G7">IF(NOT(ISBLANK(A7)), ((_xlfn.XLOOKUP(A7,Index!$B$2:$B$995,Index!$F$2:$F$995,"Not Found"))*B7),"")</f>
        <v>0</v>
      </c>
      <c r="K7" s="1" t="s">
        <v>435</v>
      </c>
      <c r="L7" s="15">
        <f t="shared" ref="L7:Q7" si="7">SUM(L2:L6)</f>
        <v>22</v>
      </c>
      <c r="M7" s="15">
        <f t="shared" si="7"/>
        <v>15</v>
      </c>
      <c r="N7" s="15">
        <f t="shared" si="7"/>
        <v>7</v>
      </c>
      <c r="O7" s="15">
        <f t="shared" si="7"/>
        <v>0</v>
      </c>
      <c r="P7" s="15">
        <f t="shared" si="7"/>
        <v>0</v>
      </c>
      <c r="Q7" s="15">
        <f t="shared" si="7"/>
        <v>0</v>
      </c>
    </row>
    <row r="8">
      <c r="A8" s="1" t="s">
        <v>847</v>
      </c>
      <c r="B8" s="1">
        <v>2.0</v>
      </c>
      <c r="C8" s="1" t="str">
        <f t="array" ref="C8">IF(NOT(ISBLANK($A8)), (_xlfn.XLOOKUP($A8,Index!$B$2:$B$995,Index!$C$2:$C$995,"Not Found")),"")</f>
        <v>G</v>
      </c>
      <c r="D8" s="1" t="str">
        <f t="array" ref="D8">IF(NOT(ISBLANK(A8)), (_xlfn.XLOOKUP($A8,Index!$B$2:B$995,Index!$A$2:$A$995,"Not Found")),"")</f>
        <v>base5-2</v>
      </c>
      <c r="E8" s="3">
        <f t="array" ref="E8">IF(NOT(ISBLANK($A8)), (_xlfn.XLOOKUP($A8,Index!$B$2:$B$995,Index!$D$2:$D$995,"Not Found")),"")</f>
        <v>1</v>
      </c>
      <c r="F8" s="1" t="str">
        <f t="array" ref="F8">IF(NOT(ISBLANK($A8)), (_xlfn.XLOOKUP($A8,Index!$B$2:$B$995,Index!$E$2:$E$995,"Not Found")),"")</f>
        <v>n</v>
      </c>
      <c r="G8" s="1">
        <f t="array" ref="G8">IF(NOT(ISBLANK(A8)), ((_xlfn.XLOOKUP(A8,Index!$B$2:$B$995,Index!$F$2:$F$995,"Not Found"))*B8),"")</f>
        <v>4</v>
      </c>
    </row>
    <row r="9">
      <c r="A9" s="1" t="s">
        <v>1000</v>
      </c>
      <c r="B9" s="1">
        <v>3.0</v>
      </c>
      <c r="C9" s="1" t="str">
        <f t="array" ref="C9">IF(NOT(ISBLANK($A9)), (_xlfn.XLOOKUP($A9,Index!$B$2:$B$995,Index!$C$2:$C$995,"Not Found")),"")</f>
        <v>G</v>
      </c>
      <c r="D9" s="1" t="str">
        <f t="array" ref="D9">IF(NOT(ISBLANK(A9)), (_xlfn.XLOOKUP($A9,Index!$B$2:B$995,Index!$A$2:$A$995,"Not Found")),"")</f>
        <v>base5-70</v>
      </c>
      <c r="E9" s="3" t="str">
        <f t="array" ref="E9">IF(NOT(ISBLANK($A9)), (_xlfn.XLOOKUP($A9,Index!$B$2:$B$995,Index!$D$2:$D$995,"Not Found")),"")</f>
        <v>b</v>
      </c>
      <c r="F9" s="1" t="str">
        <f t="array" ref="F9">IF(NOT(ISBLANK($A9)), (_xlfn.XLOOKUP($A9,Index!$B$2:$B$995,Index!$E$2:$E$995,"Not Found")),"")</f>
        <v>y</v>
      </c>
      <c r="G9" s="1">
        <f t="array" ref="G9">IF(NOT(ISBLANK(A9)), ((_xlfn.XLOOKUP(A9,Index!$B$2:$B$995,Index!$F$2:$F$995,"Not Found"))*B9),"")</f>
        <v>0</v>
      </c>
      <c r="M9" s="1" t="s">
        <v>508</v>
      </c>
      <c r="N9" s="1" t="s">
        <v>509</v>
      </c>
      <c r="O9" s="1" t="s">
        <v>510</v>
      </c>
    </row>
    <row r="10">
      <c r="A10" s="1" t="s">
        <v>863</v>
      </c>
      <c r="B10" s="1">
        <v>1.0</v>
      </c>
      <c r="C10" s="1" t="str">
        <f t="array" ref="C10">IF(NOT(ISBLANK($A10)), (_xlfn.XLOOKUP($A10,Index!$B$2:$B$995,Index!$C$2:$C$995,"Not Found")),"")</f>
        <v>G</v>
      </c>
      <c r="D10" s="1" t="str">
        <f t="array" ref="D10">IF(NOT(ISBLANK(A10)), (_xlfn.XLOOKUP($A10,Index!$B$2:B$995,Index!$A$2:$A$995,"Not Found")),"")</f>
        <v>base5-24</v>
      </c>
      <c r="E10" s="3">
        <f t="array" ref="E10">IF(NOT(ISBLANK($A10)), (_xlfn.XLOOKUP($A10,Index!$B$2:$B$995,Index!$D$2:$D$995,"Not Found")),"")</f>
        <v>1</v>
      </c>
      <c r="F10" s="1" t="str">
        <f t="array" ref="F10">IF(NOT(ISBLANK($A10)), (_xlfn.XLOOKUP($A10,Index!$B$2:$B$995,Index!$E$2:$E$995,"Not Found")),"")</f>
        <v>n</v>
      </c>
      <c r="G10" s="1">
        <f t="array" ref="G10">IF(NOT(ISBLANK(A10)), ((_xlfn.XLOOKUP(A10,Index!$B$2:$B$995,Index!$F$2:$F$995,"Not Found"))*B10),"")</f>
        <v>1.5</v>
      </c>
      <c r="K10" s="1" t="s">
        <v>533</v>
      </c>
      <c r="L10" s="15">
        <f>SUM(M10:P10)</f>
        <v>10</v>
      </c>
      <c r="M10" s="15">
        <f>IF(NOT(ISBLANK($K10)), SUMIFS($B$2:$B$32,$E$2:$E$32, "C", $C$2:$C$32,"T"), "")</f>
        <v>5</v>
      </c>
      <c r="N10" s="15">
        <f>IF(NOT(ISBLANK($K10)), SUMIFS($B$2:$B$32,$E$2:$E$32, "U", $C$2:$C$32,"T"), "")</f>
        <v>4</v>
      </c>
      <c r="O10" s="15">
        <f>IF(NOT(ISBLANK($K$2)), SUMIFS($B$2:$B$32,$E$2:$E$32, "R", $C$2:$C$32,"T"), "")</f>
        <v>1</v>
      </c>
    </row>
    <row r="11">
      <c r="A11" s="1" t="s">
        <v>986</v>
      </c>
      <c r="B11" s="1">
        <v>2.0</v>
      </c>
      <c r="C11" s="1" t="str">
        <f t="array" ref="C11">IF(NOT(ISBLANK($A11)), (_xlfn.XLOOKUP($A11,Index!$B$2:$B$995,Index!$C$2:$C$995,"Not Found")),"")</f>
        <v>C</v>
      </c>
      <c r="D11" s="1" t="str">
        <f t="array" ref="D11">IF(NOT(ISBLANK(A11)), (_xlfn.XLOOKUP($A11,Index!$B$2:B$995,Index!$A$2:$A$995,"Not Found")),"")</f>
        <v>base5-66</v>
      </c>
      <c r="E11" s="3" t="str">
        <f t="array" ref="E11">IF(NOT(ISBLANK($A11)), (_xlfn.XLOOKUP($A11,Index!$B$2:$B$995,Index!$D$2:$D$995,"Not Found")),"")</f>
        <v>b</v>
      </c>
      <c r="F11" s="1" t="str">
        <f t="array" ref="F11">IF(NOT(ISBLANK($A11)), (_xlfn.XLOOKUP($A11,Index!$B$2:$B$995,Index!$E$2:$E$995,"Not Found")),"")</f>
        <v>y</v>
      </c>
      <c r="G11" s="1">
        <f t="array" ref="G11">IF(NOT(ISBLANK(A11)), ((_xlfn.XLOOKUP(A11,Index!$B$2:$B$995,Index!$F$2:$F$995,"Not Found"))*B11),"")</f>
        <v>0</v>
      </c>
      <c r="K11" s="1" t="s">
        <v>47</v>
      </c>
      <c r="L11" s="1">
        <f>IF(NOT(ISBLANK($K$2)), SUMIFS($B$2:$B$32, $C$2:$C$32,"Energy"), "")</f>
        <v>28</v>
      </c>
    </row>
    <row r="12">
      <c r="A12" s="1" t="s">
        <v>942</v>
      </c>
      <c r="B12" s="1">
        <v>1.0</v>
      </c>
      <c r="C12" s="1" t="str">
        <f t="array" ref="C12">IF(NOT(ISBLANK($A12)), (_xlfn.XLOOKUP($A12,Index!$B$2:$B$995,Index!$C$2:$C$995,"Not Found")),"")</f>
        <v>C</v>
      </c>
      <c r="D12" s="1" t="str">
        <f t="array" ref="D12">IF(NOT(ISBLANK(A12)), (_xlfn.XLOOKUP($A12,Index!$B$2:B$995,Index!$A$2:$A$995,"Not Found")),"")</f>
        <v>base5-51</v>
      </c>
      <c r="E12" s="3">
        <f t="array" ref="E12">IF(NOT(ISBLANK($A12)), (_xlfn.XLOOKUP($A12,Index!$B$2:$B$995,Index!$D$2:$D$995,"Not Found")),"")</f>
        <v>1</v>
      </c>
      <c r="F12" s="1" t="str">
        <f t="array" ref="F12">IF(NOT(ISBLANK($A12)), (_xlfn.XLOOKUP($A12,Index!$B$2:$B$995,Index!$E$2:$E$995,"Not Found")),"")</f>
        <v>n</v>
      </c>
      <c r="G12" s="1">
        <f t="array" ref="G12">IF(NOT(ISBLANK(A12)), ((_xlfn.XLOOKUP(A12,Index!$B$2:$B$995,Index!$F$2:$F$995,"Not Found"))*B12),"")</f>
        <v>1.5</v>
      </c>
      <c r="K12" s="1" t="s">
        <v>617</v>
      </c>
      <c r="L12" s="15">
        <f>L7</f>
        <v>22</v>
      </c>
    </row>
    <row r="13">
      <c r="A13" s="1" t="s">
        <v>46</v>
      </c>
      <c r="B13" s="1">
        <v>15.0</v>
      </c>
      <c r="C13" s="1" t="str">
        <f t="array" ref="C13">IF(NOT(ISBLANK($A13)), (_xlfn.XLOOKUP($A13,Index!$B$2:$B$995,Index!$C$2:$C$995,"Not Found")),"")</f>
        <v>Energy</v>
      </c>
      <c r="D13" s="1" t="str">
        <f t="array" ref="D13">IF(NOT(ISBLANK(A13)), (_xlfn.XLOOKUP($A13,Index!$B$2:B$995,Index!$A$2:$A$995,"Not Found")),"")</f>
        <v>base1-100</v>
      </c>
      <c r="E13" s="3" t="str">
        <f t="array" ref="E13">IF(NOT(ISBLANK($A13)), (_xlfn.XLOOKUP($A13,Index!$B$2:$B$995,Index!$D$2:$D$995,"Not Found")),"")</f>
        <v/>
      </c>
      <c r="F13" s="1" t="str">
        <f t="array" ref="F13">IF(NOT(ISBLANK($A13)), (_xlfn.XLOOKUP($A13,Index!$B$2:$B$995,Index!$E$2:$E$995,"Not Found")),"")</f>
        <v/>
      </c>
      <c r="G13" s="1">
        <f t="array" ref="G13">IF(NOT(ISBLANK(A13)), ((_xlfn.XLOOKUP(A13,Index!$B$2:$B$995,Index!$F$2:$F$995,"Not Found"))*B13),"")</f>
        <v>0</v>
      </c>
    </row>
    <row r="14">
      <c r="A14" s="1" t="s">
        <v>467</v>
      </c>
      <c r="B14" s="1">
        <v>12.0</v>
      </c>
      <c r="C14" s="1" t="str">
        <f t="array" ref="C14">IF(NOT(ISBLANK($A14)), (_xlfn.XLOOKUP($A14,Index!$B$2:$B$995,Index!$C$2:$C$995,"Not Found")),"")</f>
        <v>Energy</v>
      </c>
      <c r="D14" s="1" t="str">
        <f t="array" ref="D14">IF(NOT(ISBLANK(A14)), (_xlfn.XLOOKUP($A14,Index!$B$2:B$995,Index!$A$2:$A$995,"Not Found")),"")</f>
        <v>base1-99</v>
      </c>
      <c r="E14" s="3" t="str">
        <f t="array" ref="E14">IF(NOT(ISBLANK($A14)), (_xlfn.XLOOKUP($A14,Index!$B$2:$B$995,Index!$D$2:$D$995,"Not Found")),"")</f>
        <v/>
      </c>
      <c r="F14" s="1" t="str">
        <f t="array" ref="F14">IF(NOT(ISBLANK($A14)), (_xlfn.XLOOKUP($A14,Index!$B$2:$B$995,Index!$E$2:$E$995,"Not Found")),"")</f>
        <v/>
      </c>
      <c r="G14" s="1">
        <f t="array" ref="G14">IF(NOT(ISBLANK(A14)), ((_xlfn.XLOOKUP(A14,Index!$B$2:$B$995,Index!$F$2:$F$995,"Not Found"))*B14),"")</f>
        <v>0</v>
      </c>
    </row>
    <row r="15">
      <c r="A15" s="1" t="s">
        <v>796</v>
      </c>
      <c r="B15" s="1">
        <v>1.0</v>
      </c>
      <c r="C15" s="1" t="str">
        <f t="array" ref="C15">IF(NOT(ISBLANK($A15)), (_xlfn.XLOOKUP($A15,Index!$B$2:$B$995,Index!$C$2:$C$995,"Not Found")),"")</f>
        <v>T</v>
      </c>
      <c r="D15" s="1" t="str">
        <f t="array" ref="D15">IF(NOT(ISBLANK(A15)), (_xlfn.XLOOKUP($A15,Index!$B$2:B$995,Index!$A$2:$A$995,"Not Found")),"")</f>
        <v>base3-59</v>
      </c>
      <c r="E15" s="3" t="str">
        <f t="array" ref="E15">IF(NOT(ISBLANK($A15)), (_xlfn.XLOOKUP($A15,Index!$B$2:$B$995,Index!$D$2:$D$995,"Not Found")),"")</f>
        <v>c</v>
      </c>
      <c r="F15" s="1" t="str">
        <f t="array" ref="F15">IF(NOT(ISBLANK($A15)), (_xlfn.XLOOKUP($A15,Index!$B$2:$B$995,Index!$E$2:$E$995,"Not Found")),"")</f>
        <v/>
      </c>
      <c r="G15" s="1" t="str">
        <f t="array" ref="G15">IF(NOT(ISBLANK(A15)), ((_xlfn.XLOOKUP(A15,Index!$B$2:$B$995,Index!$F$2:$F$995,"Not Found"))*B15),"")</f>
        <v>#VALUE!</v>
      </c>
      <c r="K15" s="1" t="s">
        <v>689</v>
      </c>
    </row>
    <row r="16">
      <c r="A16" s="1" t="s">
        <v>444</v>
      </c>
      <c r="B16" s="1">
        <v>2.0</v>
      </c>
      <c r="C16" s="1" t="str">
        <f t="array" ref="C16">IF(NOT(ISBLANK($A16)), (_xlfn.XLOOKUP($A16,Index!$B$2:$B$995,Index!$C$2:$C$995,"Not Found")),"")</f>
        <v>T</v>
      </c>
      <c r="D16" s="1" t="str">
        <f t="array" ref="D16">IF(NOT(ISBLANK(A16)), (_xlfn.XLOOKUP($A16,Index!$B$2:B$995,Index!$A$2:$A$995,"Not Found")),"")</f>
        <v>base1-91</v>
      </c>
      <c r="E16" s="3" t="str">
        <f t="array" ref="E16">IF(NOT(ISBLANK($A16)), (_xlfn.XLOOKUP($A16,Index!$B$2:$B$995,Index!$D$2:$D$995,"Not Found")),"")</f>
        <v>c</v>
      </c>
      <c r="F16" s="1" t="str">
        <f t="array" ref="F16">IF(NOT(ISBLANK($A16)), (_xlfn.XLOOKUP($A16,Index!$B$2:$B$995,Index!$E$2:$E$995,"Not Found")),"")</f>
        <v/>
      </c>
      <c r="G16" s="1" t="str">
        <f t="array" ref="G16">IF(NOT(ISBLANK(A16)), ((_xlfn.XLOOKUP(A16,Index!$B$2:$B$995,Index!$F$2:$F$995,"Not Found"))*B16),"")</f>
        <v>#VALUE!</v>
      </c>
      <c r="K16" s="15" t="str">
        <f t="shared" ref="K16:K20" si="8">K2</f>
        <v>E</v>
      </c>
      <c r="L16" s="1">
        <f t="shared" ref="L16:L19" si="9">IF(NOT(ISBLANK($K2)), SUMIFS($G$2:$G$32, $C$2:$C$32,$K2), "")</f>
        <v>4</v>
      </c>
    </row>
    <row r="17">
      <c r="A17" s="1" t="s">
        <v>430</v>
      </c>
      <c r="B17" s="1">
        <v>1.0</v>
      </c>
      <c r="C17" s="1" t="str">
        <f t="array" ref="C17">IF(NOT(ISBLANK($A17)), (_xlfn.XLOOKUP($A17,Index!$B$2:$B$995,Index!$C$2:$C$995,"Not Found")),"")</f>
        <v>T</v>
      </c>
      <c r="D17" s="1" t="str">
        <f t="array" ref="D17">IF(NOT(ISBLANK(A17)), (_xlfn.XLOOKUP($A17,Index!$B$2:B$995,Index!$A$2:$A$995,"Not Found")),"")</f>
        <v>base1-88</v>
      </c>
      <c r="E17" s="3" t="str">
        <f t="array" ref="E17">IF(NOT(ISBLANK($A17)), (_xlfn.XLOOKUP($A17,Index!$B$2:$B$995,Index!$D$2:$D$995,"Not Found")),"")</f>
        <v>u</v>
      </c>
      <c r="F17" s="1" t="str">
        <f t="array" ref="F17">IF(NOT(ISBLANK($A17)), (_xlfn.XLOOKUP($A17,Index!$B$2:$B$995,Index!$E$2:$E$995,"Not Found")),"")</f>
        <v/>
      </c>
      <c r="G17" s="1" t="str">
        <f t="array" ref="G17">IF(NOT(ISBLANK(A17)), ((_xlfn.XLOOKUP(A17,Index!$B$2:$B$995,Index!$F$2:$F$995,"Not Found"))*B17),"")</f>
        <v>#VALUE!</v>
      </c>
      <c r="K17" s="15" t="str">
        <f t="shared" si="8"/>
        <v>G</v>
      </c>
      <c r="L17" s="1">
        <f t="shared" si="9"/>
        <v>5.5</v>
      </c>
    </row>
    <row r="18">
      <c r="A18" s="1" t="s">
        <v>909</v>
      </c>
      <c r="B18" s="1">
        <v>1.0</v>
      </c>
      <c r="C18" s="1" t="str">
        <f t="array" ref="C18">IF(NOT(ISBLANK($A18)), (_xlfn.XLOOKUP($A18,Index!$B$2:$B$995,Index!$C$2:$C$995,"Not Found")),"")</f>
        <v>T</v>
      </c>
      <c r="D18" s="1" t="str">
        <f t="array" ref="D18">IF(NOT(ISBLANK(A18)), (_xlfn.XLOOKUP($A18,Index!$B$2:B$995,Index!$A$2:$A$995,"Not Found")),"")</f>
        <v>base5-79</v>
      </c>
      <c r="E18" s="3" t="str">
        <f t="array" ref="E18">IF(NOT(ISBLANK($A18)), (_xlfn.XLOOKUP($A18,Index!$B$2:$B$995,Index!$D$2:$D$995,"Not Found")),"")</f>
        <v>c</v>
      </c>
      <c r="F18" s="1" t="str">
        <f t="array" ref="F18">IF(NOT(ISBLANK($A18)), (_xlfn.XLOOKUP($A18,Index!$B$2:$B$995,Index!$E$2:$E$995,"Not Found")),"")</f>
        <v/>
      </c>
      <c r="G18" s="1" t="str">
        <f t="array" ref="G18">IF(NOT(ISBLANK(A18)), ((_xlfn.XLOOKUP(A18,Index!$B$2:$B$995,Index!$F$2:$F$995,"Not Found"))*B18),"")</f>
        <v>#VALUE!</v>
      </c>
      <c r="K18" s="15" t="str">
        <f t="shared" si="8"/>
        <v>C</v>
      </c>
      <c r="L18" s="1">
        <f t="shared" si="9"/>
        <v>1.5</v>
      </c>
    </row>
    <row r="19">
      <c r="A19" s="1" t="s">
        <v>1011</v>
      </c>
      <c r="B19" s="1">
        <v>1.0</v>
      </c>
      <c r="C19" s="1" t="str">
        <f t="array" ref="C19">IF(NOT(ISBLANK($A19)), (_xlfn.XLOOKUP($A19,Index!$B$2:$B$995,Index!$C$2:$C$995,"Not Found")),"")</f>
        <v>T</v>
      </c>
      <c r="D19" s="1" t="str">
        <f t="array" ref="D19">IF(NOT(ISBLANK(A19)), (_xlfn.XLOOKUP($A19,Index!$B$2:B$995,Index!$A$2:$A$995,"Not Found")),"")</f>
        <v>base5-74</v>
      </c>
      <c r="E19" s="3" t="str">
        <f t="array" ref="E19">IF(NOT(ISBLANK($A19)), (_xlfn.XLOOKUP($A19,Index!$B$2:$B$995,Index!$D$2:$D$995,"Not Found")),"")</f>
        <v>u</v>
      </c>
      <c r="F19" s="1" t="str">
        <f t="array" ref="F19">IF(NOT(ISBLANK($A19)), (_xlfn.XLOOKUP($A19,Index!$B$2:$B$995,Index!$E$2:$E$995,"Not Found")),"")</f>
        <v/>
      </c>
      <c r="G19" s="1" t="str">
        <f t="array" ref="G19">IF(NOT(ISBLANK(A19)), ((_xlfn.XLOOKUP(A19,Index!$B$2:$B$995,Index!$F$2:$F$995,"Not Found"))*B19),"")</f>
        <v>#VALUE!</v>
      </c>
      <c r="K19" s="15" t="str">
        <f t="shared" si="8"/>
        <v/>
      </c>
      <c r="L19" s="1" t="str">
        <f t="shared" si="9"/>
        <v/>
      </c>
    </row>
    <row r="20">
      <c r="A20" s="1" t="s">
        <v>381</v>
      </c>
      <c r="B20" s="1">
        <v>1.0</v>
      </c>
      <c r="C20" s="1" t="str">
        <f t="array" ref="C20">IF(NOT(ISBLANK($A20)), (_xlfn.XLOOKUP($A20,Index!$B$2:$B$995,Index!$C$2:$C$995,"Not Found")),"")</f>
        <v>T</v>
      </c>
      <c r="D20" s="1" t="str">
        <f t="array" ref="D20">IF(NOT(ISBLANK(A20)), (_xlfn.XLOOKUP($A20,Index!$B$2:B$995,Index!$A$2:$A$995,"Not Found")),"")</f>
        <v>base1-73</v>
      </c>
      <c r="E20" s="3" t="str">
        <f t="array" ref="E20">IF(NOT(ISBLANK($A20)), (_xlfn.XLOOKUP($A20,Index!$B$2:$B$995,Index!$D$2:$D$995,"Not Found")),"")</f>
        <v>r</v>
      </c>
      <c r="F20" s="1" t="str">
        <f t="array" ref="F20">IF(NOT(ISBLANK($A20)), (_xlfn.XLOOKUP($A20,Index!$B$2:$B$995,Index!$E$2:$E$995,"Not Found")),"")</f>
        <v/>
      </c>
      <c r="G20" s="1" t="str">
        <f t="array" ref="G20">IF(NOT(ISBLANK(A20)), ((_xlfn.XLOOKUP(A20,Index!$B$2:$B$995,Index!$F$2:$F$995,"Not Found"))*B20),"")</f>
        <v>#VALUE!</v>
      </c>
      <c r="K20" s="15" t="str">
        <f t="shared" si="8"/>
        <v/>
      </c>
    </row>
    <row r="21">
      <c r="A21" s="1" t="s">
        <v>1017</v>
      </c>
      <c r="B21" s="1">
        <v>1.0</v>
      </c>
      <c r="C21" s="1" t="str">
        <f t="array" ref="C21">IF(NOT(ISBLANK($A21)), (_xlfn.XLOOKUP($A21,Index!$B$2:$B$995,Index!$C$2:$C$995,"Not Found")),"")</f>
        <v>T</v>
      </c>
      <c r="D21" s="1" t="str">
        <f t="array" ref="D21">IF(NOT(ISBLANK(A21)), (_xlfn.XLOOKUP($A21,Index!$B$2:B$995,Index!$A$2:$A$995,"Not Found")),"")</f>
        <v>base5-76</v>
      </c>
      <c r="E21" s="3" t="str">
        <f t="array" ref="E21">IF(NOT(ISBLANK($A21)), (_xlfn.XLOOKUP($A21,Index!$B$2:$B$995,Index!$D$2:$D$995,"Not Found")),"")</f>
        <v>u</v>
      </c>
      <c r="F21" s="1" t="str">
        <f t="array" ref="F21">IF(NOT(ISBLANK($A21)), (_xlfn.XLOOKUP($A21,Index!$B$2:$B$995,Index!$E$2:$E$995,"Not Found")),"")</f>
        <v/>
      </c>
      <c r="G21" s="1" t="str">
        <f t="array" ref="G21">IF(NOT(ISBLANK(A21)), ((_xlfn.XLOOKUP(A21,Index!$B$2:$B$995,Index!$F$2:$F$995,"Not Found"))*B21),"")</f>
        <v>#VALUE!</v>
      </c>
      <c r="K21" s="1" t="s">
        <v>860</v>
      </c>
      <c r="L21" s="15">
        <f>SUM(L15:L19)</f>
        <v>11</v>
      </c>
    </row>
    <row r="22">
      <c r="A22" s="1" t="s">
        <v>455</v>
      </c>
      <c r="B22" s="1">
        <v>1.0</v>
      </c>
      <c r="C22" s="1" t="str">
        <f t="array" ref="C22">IF(NOT(ISBLANK($A22)), (_xlfn.XLOOKUP($A22,Index!$B$2:$B$995,Index!$C$2:$C$995,"Not Found")),"")</f>
        <v>T</v>
      </c>
      <c r="D22" s="1" t="str">
        <f t="array" ref="D22">IF(NOT(ISBLANK(A22)), (_xlfn.XLOOKUP($A22,Index!$B$2:B$995,Index!$A$2:$A$995,"Not Found")),"")</f>
        <v>base1-94</v>
      </c>
      <c r="E22" s="3" t="str">
        <f t="array" ref="E22">IF(NOT(ISBLANK($A22)), (_xlfn.XLOOKUP($A22,Index!$B$2:$B$995,Index!$D$2:$D$995,"Not Found")),"")</f>
        <v>c</v>
      </c>
      <c r="F22" s="1" t="str">
        <f t="array" ref="F22">IF(NOT(ISBLANK($A22)), (_xlfn.XLOOKUP($A22,Index!$B$2:$B$995,Index!$E$2:$E$995,"Not Found")),"")</f>
        <v/>
      </c>
      <c r="G22" s="1" t="str">
        <f t="array" ref="G22">IF(NOT(ISBLANK(A22)), ((_xlfn.XLOOKUP(A22,Index!$B$2:$B$995,Index!$F$2:$F$995,"Not Found"))*B22),"")</f>
        <v>#VALUE!</v>
      </c>
    </row>
    <row r="23">
      <c r="A23" s="1" t="s">
        <v>1034</v>
      </c>
      <c r="B23" s="1">
        <v>1.0</v>
      </c>
      <c r="C23" s="1" t="str">
        <f t="array" ref="C23">IF(NOT(ISBLANK($A23)), (_xlfn.XLOOKUP($A23,Index!$B$2:$B$995,Index!$C$2:$C$995,"Not Found")),"")</f>
        <v>Energy</v>
      </c>
      <c r="D23" s="1" t="str">
        <f t="array" ref="D23">IF(NOT(ISBLANK(A23)), (_xlfn.XLOOKUP($A23,Index!$B$2:B$995,Index!$A$2:$A$995,"Not Found")),"")</f>
        <v>base5-82</v>
      </c>
      <c r="E23" s="3" t="str">
        <f t="array" ref="E23">IF(NOT(ISBLANK($A23)), (_xlfn.XLOOKUP($A23,Index!$B$2:$B$995,Index!$D$2:$D$995,"Not Found")),"")</f>
        <v/>
      </c>
      <c r="F23" s="1" t="str">
        <f t="array" ref="F23">IF(NOT(ISBLANK($A23)), (_xlfn.XLOOKUP($A23,Index!$B$2:$B$995,Index!$E$2:$E$995,"Not Found")),"")</f>
        <v/>
      </c>
      <c r="G23" s="1">
        <f t="array" ref="G23">IF(NOT(ISBLANK(A23)), ((_xlfn.XLOOKUP(A23,Index!$B$2:$B$995,Index!$F$2:$F$995,"Not Found"))*B23),"")</f>
        <v>0</v>
      </c>
    </row>
    <row r="24">
      <c r="A24" s="1" t="s">
        <v>413</v>
      </c>
      <c r="B24" s="1">
        <v>1.0</v>
      </c>
      <c r="C24" s="1" t="str">
        <f t="array" ref="C24">IF(NOT(ISBLANK($A24)), (_xlfn.XLOOKUP($A24,Index!$B$2:$B$995,Index!$C$2:$C$995,"Not Found")),"")</f>
        <v>T</v>
      </c>
      <c r="D24" s="1" t="str">
        <f t="array" ref="D24">IF(NOT(ISBLANK(A24)), (_xlfn.XLOOKUP($A24,Index!$B$2:B$995,Index!$A$2:$A$995,"Not Found")),"")</f>
        <v>base1-82</v>
      </c>
      <c r="E24" s="3" t="str">
        <f t="array" ref="E24">IF(NOT(ISBLANK($A24)), (_xlfn.XLOOKUP($A24,Index!$B$2:$B$995,Index!$D$2:$D$995,"Not Found")),"")</f>
        <v>u</v>
      </c>
      <c r="F24" s="1" t="str">
        <f t="array" ref="F24">IF(NOT(ISBLANK($A24)), (_xlfn.XLOOKUP($A24,Index!$B$2:$B$995,Index!$E$2:$E$995,"Not Found")),"")</f>
        <v/>
      </c>
      <c r="G24" s="1" t="str">
        <f t="array" ref="G24">IF(NOT(ISBLANK(A24)), ((_xlfn.XLOOKUP(A24,Index!$B$2:$B$995,Index!$F$2:$F$995,"Not Found"))*B24),"")</f>
        <v>#VALUE!</v>
      </c>
      <c r="K24" s="1" t="s">
        <v>935</v>
      </c>
      <c r="L24" s="1" t="s">
        <v>75</v>
      </c>
    </row>
    <row r="25">
      <c r="C25" s="1" t="str">
        <f t="array" ref="C25">IF(NOT(ISBLANK($A25)), (_xlfn.XLOOKUP($A25,Index!$B$2:$B$995,Index!$C$2:$C$995,"Not Found")),"")</f>
        <v/>
      </c>
      <c r="D25" s="1" t="str">
        <f t="array" ref="D25">IF(NOT(ISBLANK(A25)), (_xlfn.XLOOKUP($A25,Index!$B$2:B$995,Index!$A$2:$A$995,"Not Found")),"")</f>
        <v/>
      </c>
      <c r="E25" s="3"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3"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3"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3"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3"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3"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3"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3"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3"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3"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3"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3"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3"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3"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3"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3"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3"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3"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3"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3"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3"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3"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3"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3"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3"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3"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3"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3"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3"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3"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3"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3"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3"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3"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3"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3"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3"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3"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3"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3"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3"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3"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3"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3"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3"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3"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3"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3"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3"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3"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3"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3"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3"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11"/>
    </row>
    <row r="79">
      <c r="E79" s="11"/>
    </row>
    <row r="80">
      <c r="E80" s="11"/>
    </row>
    <row r="81">
      <c r="E81" s="11"/>
    </row>
    <row r="82">
      <c r="E82" s="11"/>
    </row>
    <row r="83">
      <c r="E83" s="11"/>
    </row>
    <row r="84">
      <c r="E84" s="11"/>
    </row>
    <row r="85">
      <c r="E85" s="11"/>
    </row>
    <row r="86">
      <c r="E86" s="11"/>
    </row>
    <row r="87">
      <c r="E87" s="11"/>
    </row>
    <row r="88">
      <c r="E88" s="11"/>
    </row>
    <row r="89">
      <c r="E89" s="11"/>
    </row>
    <row r="90">
      <c r="E90" s="11"/>
    </row>
    <row r="91">
      <c r="E91" s="11"/>
    </row>
    <row r="92">
      <c r="E92" s="11"/>
    </row>
    <row r="93">
      <c r="E93" s="11"/>
    </row>
    <row r="94">
      <c r="E94" s="11"/>
    </row>
    <row r="95">
      <c r="E95" s="11"/>
    </row>
    <row r="96">
      <c r="E96" s="11"/>
    </row>
    <row r="97">
      <c r="E97" s="11"/>
    </row>
    <row r="98">
      <c r="E98" s="11"/>
    </row>
    <row r="99">
      <c r="E99" s="11"/>
    </row>
    <row r="100">
      <c r="E100" s="11"/>
    </row>
    <row r="101">
      <c r="E101" s="11"/>
    </row>
    <row r="102">
      <c r="E102" s="11"/>
    </row>
    <row r="103">
      <c r="E103" s="11"/>
    </row>
    <row r="104">
      <c r="E104" s="11"/>
    </row>
    <row r="105">
      <c r="E105" s="11"/>
    </row>
    <row r="106">
      <c r="E106" s="11"/>
    </row>
    <row r="107">
      <c r="E107" s="11"/>
    </row>
    <row r="108">
      <c r="E108" s="11"/>
    </row>
    <row r="109">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3" t="s">
        <v>5</v>
      </c>
      <c r="F1" s="1" t="s">
        <v>7</v>
      </c>
      <c r="G1" s="1" t="s">
        <v>11</v>
      </c>
      <c r="I1" s="1" t="s">
        <v>12</v>
      </c>
      <c r="K1" s="1" t="s">
        <v>3</v>
      </c>
      <c r="L1" s="1" t="s">
        <v>14</v>
      </c>
      <c r="M1" s="1" t="s">
        <v>17</v>
      </c>
      <c r="N1" s="1" t="s">
        <v>19</v>
      </c>
      <c r="O1" s="1" t="s">
        <v>21</v>
      </c>
      <c r="P1" s="1" t="s">
        <v>22</v>
      </c>
      <c r="Q1" s="1" t="s">
        <v>23</v>
      </c>
    </row>
    <row r="2">
      <c r="A2" s="1" t="s">
        <v>465</v>
      </c>
      <c r="B2" s="1">
        <v>16.0</v>
      </c>
      <c r="C2" s="1" t="str">
        <f t="array" ref="C2">IF(NOT(ISBLANK($A2)), (_xlfn.XLOOKUP($A2,Index!$B$2:$B$995,Index!$C$2:$C$995,"Not Found")),"")</f>
        <v>Energy</v>
      </c>
      <c r="D2" s="1" t="str">
        <f t="array" ref="D2">IF(NOT(ISBLANK(A2)), (_xlfn.XLOOKUP($A2,Index!$B$2:B$995,Index!$A$2:$A$995,"Not Found")),"")</f>
        <v>base1-98</v>
      </c>
      <c r="E2" s="3" t="str">
        <f t="array" ref="E2">IF(NOT(ISBLANK($A2)), (_xlfn.XLOOKUP($A2,Index!$B$2:$B$995,Index!$D$2:$D$995,"Not Found")),"")</f>
        <v/>
      </c>
      <c r="F2" s="1" t="str">
        <f t="array" ref="F2">IF(NOT(ISBLANK($A2)), (_xlfn.XLOOKUP($A2,Index!$B$2:$B$995,Index!$E$2:$E$995,"Not Found")),"")</f>
        <v/>
      </c>
      <c r="G2" s="1">
        <f t="array" ref="G2">IF(NOT(ISBLANK(A2)), ((_xlfn.XLOOKUP(A2,Index!$B$2:$B$995,Index!$F$2:$F$995,"Not Found"))*B2),"")</f>
        <v>0</v>
      </c>
      <c r="I2" s="15">
        <f>SUM(B2:B38)</f>
        <v>60</v>
      </c>
      <c r="K2" s="1" t="s">
        <v>80</v>
      </c>
      <c r="L2" s="15">
        <f t="shared" ref="L2:L6" si="1">IF(NOT(ISBLANK(K2)), SUM(M2:P2), "")</f>
        <v>13</v>
      </c>
      <c r="M2" s="1">
        <f t="shared" ref="M2:M5" si="2">IF(NOT(ISBLANK($K2)), SUMIFS($B$2:$B$32, $E$2:$E$32, "B", $C$2:$C$32,$K2), "")</f>
        <v>7</v>
      </c>
      <c r="N2" s="1">
        <f t="shared" ref="N2:N5" si="3">IF(NOT(ISBLANK($K2)),SUMIFS($B$2:$B$32,$E$2:$E$32, "1", $C$2:$C$32,$K2,$F$2:$F$32,"N"), "")</f>
        <v>2</v>
      </c>
      <c r="O2" s="1">
        <f t="shared" ref="O2:O5" si="4">IF(NOT(ISBLANK($K2)),SUMIFS($B$2:$B$32,$E$2:$E$32, "1", $C$2:$C$32,$K2,$F$2:$F$32,"Y"), "")</f>
        <v>3</v>
      </c>
      <c r="P2" s="1">
        <f t="shared" ref="P2:P5" si="5">IF(NOT(ISBLANK($K2)),SUMIFS($B$2:$B$32,$E$2:$E$32, "2", $C$2:$C$32,$K2), "")</f>
        <v>1</v>
      </c>
      <c r="Q2" s="1">
        <f t="shared" ref="Q2:Q5" si="6">IF(NOT(ISBLANK($K2)),SUMIFS($B$2:$B$32,$E$2:$E$32, "B", $C$2:$C$32,$K2,$F$2:$F$32,"N"), "")</f>
        <v>0</v>
      </c>
    </row>
    <row r="3">
      <c r="A3" s="1" t="s">
        <v>51</v>
      </c>
      <c r="B3" s="1">
        <v>10.0</v>
      </c>
      <c r="C3" s="1" t="str">
        <f t="array" ref="C3">IF(NOT(ISBLANK($A3)), (_xlfn.XLOOKUP($A3,Index!$B$2:$B$995,Index!$C$2:$C$995,"Not Found")),"")</f>
        <v>Energy</v>
      </c>
      <c r="D3" s="1" t="str">
        <f t="array" ref="D3">IF(NOT(ISBLANK(A3)), (_xlfn.XLOOKUP($A3,Index!$B$2:B$995,Index!$A$2:$A$995,"Not Found")),"")</f>
        <v>base1-101</v>
      </c>
      <c r="E3" s="3" t="str">
        <f t="array" ref="E3">IF(NOT(ISBLANK($A3)), (_xlfn.XLOOKUP($A3,Index!$B$2:$B$995,Index!$D$2:$D$995,"Not Found")),"")</f>
        <v/>
      </c>
      <c r="F3" s="1" t="str">
        <f t="array" ref="F3">IF(NOT(ISBLANK($A3)), (_xlfn.XLOOKUP($A3,Index!$B$2:$B$995,Index!$E$2:$E$995,"Not Found")),"")</f>
        <v/>
      </c>
      <c r="G3" s="1">
        <f t="array" ref="G3">IF(NOT(ISBLANK(A3)), ((_xlfn.XLOOKUP(A3,Index!$B$2:$B$995,Index!$F$2:$F$995,"Not Found"))*B3),"")</f>
        <v>0</v>
      </c>
      <c r="K3" s="1" t="s">
        <v>27</v>
      </c>
      <c r="L3" s="15">
        <f t="shared" si="1"/>
        <v>5</v>
      </c>
      <c r="M3" s="1">
        <f t="shared" si="2"/>
        <v>3</v>
      </c>
      <c r="N3" s="1">
        <f t="shared" si="3"/>
        <v>2</v>
      </c>
      <c r="O3" s="1">
        <f t="shared" si="4"/>
        <v>0</v>
      </c>
      <c r="P3" s="1">
        <f t="shared" si="5"/>
        <v>0</v>
      </c>
      <c r="Q3" s="1">
        <f t="shared" si="6"/>
        <v>0</v>
      </c>
    </row>
    <row r="4">
      <c r="A4" s="1" t="s">
        <v>939</v>
      </c>
      <c r="B4" s="1">
        <v>4.0</v>
      </c>
      <c r="C4" s="1" t="str">
        <f t="array" ref="C4">IF(NOT(ISBLANK($A4)), (_xlfn.XLOOKUP($A4,Index!$B$2:$B$995,Index!$C$2:$C$995,"Not Found")),"")</f>
        <v>R</v>
      </c>
      <c r="D4" s="1" t="str">
        <f t="array" ref="D4">IF(NOT(ISBLANK(A4)), (_xlfn.XLOOKUP($A4,Index!$B$2:B$995,Index!$A$2:$A$995,"Not Found")),"")</f>
        <v>base5-50</v>
      </c>
      <c r="E4" s="3" t="str">
        <f t="array" ref="E4">IF(NOT(ISBLANK($A4)), (_xlfn.XLOOKUP($A4,Index!$B$2:$B$995,Index!$D$2:$D$995,"Not Found")),"")</f>
        <v>b</v>
      </c>
      <c r="F4" s="1" t="str">
        <f t="array" ref="F4">IF(NOT(ISBLANK($A4)), (_xlfn.XLOOKUP($A4,Index!$B$2:$B$995,Index!$E$2:$E$995,"Not Found")),"")</f>
        <v>y</v>
      </c>
      <c r="G4" s="1">
        <f t="array" ref="G4">IF(NOT(ISBLANK(A4)), ((_xlfn.XLOOKUP(A4,Index!$B$2:$B$995,Index!$F$2:$F$995,"Not Found"))*B4),"")</f>
        <v>0</v>
      </c>
      <c r="K4" s="1" t="s">
        <v>96</v>
      </c>
      <c r="L4" s="15">
        <f t="shared" si="1"/>
        <v>4</v>
      </c>
      <c r="M4" s="1">
        <f t="shared" si="2"/>
        <v>3</v>
      </c>
      <c r="N4" s="1">
        <f t="shared" si="3"/>
        <v>1</v>
      </c>
      <c r="O4" s="1">
        <f t="shared" si="4"/>
        <v>0</v>
      </c>
      <c r="P4" s="1">
        <f t="shared" si="5"/>
        <v>0</v>
      </c>
      <c r="Q4" s="1">
        <f t="shared" si="6"/>
        <v>0</v>
      </c>
    </row>
    <row r="5">
      <c r="A5" s="1" t="s">
        <v>882</v>
      </c>
      <c r="B5" s="1">
        <v>3.0</v>
      </c>
      <c r="C5" s="1" t="str">
        <f t="array" ref="C5">IF(NOT(ISBLANK($A5)), (_xlfn.XLOOKUP($A5,Index!$B$2:$B$995,Index!$C$2:$C$995,"Not Found")),"")</f>
        <v>R</v>
      </c>
      <c r="D5" s="1" t="str">
        <f t="array" ref="D5">IF(NOT(ISBLANK(A5)), (_xlfn.XLOOKUP($A5,Index!$B$2:B$995,Index!$A$2:$A$995,"Not Found")),"")</f>
        <v>base5-32</v>
      </c>
      <c r="E5" s="3">
        <f t="array" ref="E5">IF(NOT(ISBLANK($A5)), (_xlfn.XLOOKUP($A5,Index!$B$2:$B$995,Index!$D$2:$D$995,"Not Found")),"")</f>
        <v>1</v>
      </c>
      <c r="F5" s="1" t="str">
        <f t="array" ref="F5">IF(NOT(ISBLANK($A5)), (_xlfn.XLOOKUP($A5,Index!$B$2:$B$995,Index!$E$2:$E$995,"Not Found")),"")</f>
        <v>y</v>
      </c>
      <c r="G5" s="1">
        <f t="array" ref="G5">IF(NOT(ISBLANK(A5)), ((_xlfn.XLOOKUP(A5,Index!$B$2:$B$995,Index!$F$2:$F$995,"Not Found"))*B5),"")</f>
        <v>1.5</v>
      </c>
      <c r="K5" s="1" t="s">
        <v>128</v>
      </c>
      <c r="L5" s="15">
        <f t="shared" si="1"/>
        <v>0</v>
      </c>
      <c r="M5" s="1">
        <f t="shared" si="2"/>
        <v>0</v>
      </c>
      <c r="N5" s="1">
        <f t="shared" si="3"/>
        <v>0</v>
      </c>
      <c r="O5" s="1">
        <f t="shared" si="4"/>
        <v>0</v>
      </c>
      <c r="P5" s="1">
        <f t="shared" si="5"/>
        <v>0</v>
      </c>
      <c r="Q5" s="1">
        <f t="shared" si="6"/>
        <v>0</v>
      </c>
    </row>
    <row r="6">
      <c r="A6" s="1" t="s">
        <v>91</v>
      </c>
      <c r="B6" s="1">
        <v>1.0</v>
      </c>
      <c r="C6" s="1" t="str">
        <f t="array" ref="C6">IF(NOT(ISBLANK($A6)), (_xlfn.XLOOKUP($A6,Index!$B$2:$B$995,Index!$C$2:$C$995,"Not Found")),"")</f>
        <v>R</v>
      </c>
      <c r="D6" s="1" t="str">
        <f t="array" ref="D6">IF(NOT(ISBLANK(A6)), (_xlfn.XLOOKUP($A6,Index!$B$2:B$995,Index!$A$2:$A$995,"Not Found")),"")</f>
        <v>base5-4</v>
      </c>
      <c r="E6" s="3">
        <f t="array" ref="E6">IF(NOT(ISBLANK($A6)), (_xlfn.XLOOKUP($A6,Index!$B$2:$B$995,Index!$D$2:$D$995,"Not Found")),"")</f>
        <v>2</v>
      </c>
      <c r="F6" s="1" t="str">
        <f t="array" ref="F6">IF(NOT(ISBLANK($A6)), (_xlfn.XLOOKUP($A6,Index!$B$2:$B$995,Index!$E$2:$E$995,"Not Found")),"")</f>
        <v/>
      </c>
      <c r="G6" s="1">
        <f t="array" ref="G6">IF(NOT(ISBLANK(A6)), ((_xlfn.XLOOKUP(A6,Index!$B$2:$B$995,Index!$F$2:$F$995,"Not Found"))*B6),"")</f>
        <v>3</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447</v>
      </c>
      <c r="B7" s="1">
        <v>3.0</v>
      </c>
      <c r="C7" s="1" t="str">
        <f t="array" ref="C7">IF(NOT(ISBLANK($A7)), (_xlfn.XLOOKUP($A7,Index!$B$2:$B$995,Index!$C$2:$C$995,"Not Found")),"")</f>
        <v>R</v>
      </c>
      <c r="D7" s="1" t="str">
        <f t="array" ref="D7">IF(NOT(ISBLANK(A7)), (_xlfn.XLOOKUP($A7,Index!$B$2:B$995,Index!$A$2:$A$995,"Not Found")),"")</f>
        <v>base5-64</v>
      </c>
      <c r="E7" s="3" t="str">
        <f t="array" ref="E7">IF(NOT(ISBLANK($A7)), (_xlfn.XLOOKUP($A7,Index!$B$2:$B$995,Index!$D$2:$D$995,"Not Found")),"")</f>
        <v>b</v>
      </c>
      <c r="F7" s="1" t="str">
        <f t="array" ref="F7">IF(NOT(ISBLANK($A7)), (_xlfn.XLOOKUP($A7,Index!$B$2:$B$995,Index!$E$2:$E$995,"Not Found")),"")</f>
        <v>y</v>
      </c>
      <c r="G7" s="1">
        <f t="array" ref="G7">IF(NOT(ISBLANK(A7)), ((_xlfn.XLOOKUP(A7,Index!$B$2:$B$995,Index!$F$2:$F$995,"Not Found"))*B7),"")</f>
        <v>0</v>
      </c>
      <c r="K7" s="1" t="s">
        <v>435</v>
      </c>
      <c r="L7" s="15">
        <f t="shared" ref="L7:Q7" si="7">SUM(L2:L6)</f>
        <v>22</v>
      </c>
      <c r="M7" s="15">
        <f t="shared" si="7"/>
        <v>13</v>
      </c>
      <c r="N7" s="15">
        <f t="shared" si="7"/>
        <v>5</v>
      </c>
      <c r="O7" s="15">
        <f t="shared" si="7"/>
        <v>3</v>
      </c>
      <c r="P7" s="15">
        <f t="shared" si="7"/>
        <v>1</v>
      </c>
      <c r="Q7" s="15">
        <f t="shared" si="7"/>
        <v>0</v>
      </c>
    </row>
    <row r="8">
      <c r="A8" s="1" t="s">
        <v>480</v>
      </c>
      <c r="B8" s="1">
        <v>2.0</v>
      </c>
      <c r="C8" s="1" t="str">
        <f t="array" ref="C8">IF(NOT(ISBLANK($A8)), (_xlfn.XLOOKUP($A8,Index!$B$2:$B$995,Index!$C$2:$C$995,"Not Found")),"")</f>
        <v>R</v>
      </c>
      <c r="D8" s="1" t="str">
        <f t="array" ref="D8">IF(NOT(ISBLANK(A8)), (_xlfn.XLOOKUP($A8,Index!$B$2:B$995,Index!$A$2:$A$995,"Not Found")),"")</f>
        <v>base5-44</v>
      </c>
      <c r="E8" s="3">
        <f t="array" ref="E8">IF(NOT(ISBLANK($A8)), (_xlfn.XLOOKUP($A8,Index!$B$2:$B$995,Index!$D$2:$D$995,"Not Found")),"")</f>
        <v>1</v>
      </c>
      <c r="F8" s="1" t="str">
        <f t="array" ref="F8">IF(NOT(ISBLANK($A8)), (_xlfn.XLOOKUP($A8,Index!$B$2:$B$995,Index!$E$2:$E$995,"Not Found")),"")</f>
        <v>n</v>
      </c>
      <c r="G8" s="1">
        <f t="array" ref="G8">IF(NOT(ISBLANK(A8)), ((_xlfn.XLOOKUP(A8,Index!$B$2:$B$995,Index!$F$2:$F$995,"Not Found"))*B8),"")</f>
        <v>3</v>
      </c>
    </row>
    <row r="9">
      <c r="A9" s="1" t="s">
        <v>951</v>
      </c>
      <c r="B9" s="1">
        <v>3.0</v>
      </c>
      <c r="C9" s="1" t="str">
        <f t="array" ref="C9">IF(NOT(ISBLANK($A9)), (_xlfn.XLOOKUP($A9,Index!$B$2:$B$995,Index!$C$2:$C$995,"Not Found")),"")</f>
        <v>P</v>
      </c>
      <c r="D9" s="1" t="str">
        <f t="array" ref="D9">IF(NOT(ISBLANK(A9)), (_xlfn.XLOOKUP($A9,Index!$B$2:B$995,Index!$A$2:$A$995,"Not Found")),"")</f>
        <v>base5-54</v>
      </c>
      <c r="E9" s="3" t="str">
        <f t="array" ref="E9">IF(NOT(ISBLANK($A9)), (_xlfn.XLOOKUP($A9,Index!$B$2:$B$995,Index!$D$2:$D$995,"Not Found")),"")</f>
        <v>b</v>
      </c>
      <c r="F9" s="1" t="str">
        <f t="array" ref="F9">IF(NOT(ISBLANK($A9)), (_xlfn.XLOOKUP($A9,Index!$B$2:$B$995,Index!$E$2:$E$995,"Not Found")),"")</f>
        <v>y</v>
      </c>
      <c r="G9" s="1">
        <f t="array" ref="G9">IF(NOT(ISBLANK(A9)), ((_xlfn.XLOOKUP(A9,Index!$B$2:$B$995,Index!$F$2:$F$995,"Not Found"))*B9),"")</f>
        <v>0</v>
      </c>
      <c r="M9" s="1" t="s">
        <v>508</v>
      </c>
      <c r="N9" s="1" t="s">
        <v>509</v>
      </c>
      <c r="O9" s="1" t="s">
        <v>510</v>
      </c>
    </row>
    <row r="10">
      <c r="A10" s="1" t="s">
        <v>869</v>
      </c>
      <c r="B10" s="1">
        <v>2.0</v>
      </c>
      <c r="C10" s="1" t="str">
        <f t="array" ref="C10">IF(NOT(ISBLANK($A10)), (_xlfn.XLOOKUP($A10,Index!$B$2:$B$995,Index!$C$2:$C$995,"Not Found")),"")</f>
        <v>P</v>
      </c>
      <c r="D10" s="1" t="str">
        <f t="array" ref="D10">IF(NOT(ISBLANK(A10)), (_xlfn.XLOOKUP($A10,Index!$B$2:B$995,Index!$A$2:$A$995,"Not Found")),"")</f>
        <v>base5-26</v>
      </c>
      <c r="E10" s="3">
        <f t="array" ref="E10">IF(NOT(ISBLANK($A10)), (_xlfn.XLOOKUP($A10,Index!$B$2:$B$995,Index!$D$2:$D$995,"Not Found")),"")</f>
        <v>1</v>
      </c>
      <c r="F10" s="1" t="str">
        <f t="array" ref="F10">IF(NOT(ISBLANK($A10)), (_xlfn.XLOOKUP($A10,Index!$B$2:$B$995,Index!$E$2:$E$995,"Not Found")),"")</f>
        <v>n</v>
      </c>
      <c r="G10" s="1">
        <f t="array" ref="G10">IF(NOT(ISBLANK(A10)), ((_xlfn.XLOOKUP(A10,Index!$B$2:$B$995,Index!$F$2:$F$995,"Not Found"))*B10),"")</f>
        <v>4</v>
      </c>
      <c r="K10" s="1" t="s">
        <v>533</v>
      </c>
      <c r="L10" s="15">
        <f>SUM(M10:P10)</f>
        <v>10</v>
      </c>
      <c r="M10" s="15">
        <f>IF(NOT(ISBLANK($K10)), SUMIFS($B$2:$B$32,$E$2:$E$32, "C", $C$2:$C$32,"T"), "")</f>
        <v>5</v>
      </c>
      <c r="N10" s="15">
        <f>IF(NOT(ISBLANK($K10)), SUMIFS($B$2:$B$32,$E$2:$E$32, "U", $C$2:$C$32,"T"), "")</f>
        <v>4</v>
      </c>
      <c r="O10" s="15">
        <f>IF(NOT(ISBLANK($K$2)), SUMIFS($B$2:$B$32,$E$2:$E$32, "R", $C$2:$C$32,"T"), "")</f>
        <v>1</v>
      </c>
    </row>
    <row r="11">
      <c r="A11" s="1" t="s">
        <v>983</v>
      </c>
      <c r="B11" s="1">
        <v>3.0</v>
      </c>
      <c r="C11" s="1" t="str">
        <f t="array" ref="C11">IF(NOT(ISBLANK($A11)), (_xlfn.XLOOKUP($A11,Index!$B$2:$B$995,Index!$C$2:$C$995,"Not Found")),"")</f>
        <v>W</v>
      </c>
      <c r="D11" s="1" t="str">
        <f t="array" ref="D11">IF(NOT(ISBLANK(A11)), (_xlfn.XLOOKUP($A11,Index!$B$2:B$995,Index!$A$2:$A$995,"Not Found")),"")</f>
        <v>base5-65</v>
      </c>
      <c r="E11" s="3" t="str">
        <f t="array" ref="E11">IF(NOT(ISBLANK($A11)), (_xlfn.XLOOKUP($A11,Index!$B$2:$B$995,Index!$D$2:$D$995,"Not Found")),"")</f>
        <v>b</v>
      </c>
      <c r="F11" s="1" t="str">
        <f t="array" ref="F11">IF(NOT(ISBLANK($A11)), (_xlfn.XLOOKUP($A11,Index!$B$2:$B$995,Index!$E$2:$E$995,"Not Found")),"")</f>
        <v>y</v>
      </c>
      <c r="G11" s="1">
        <f t="array" ref="G11">IF(NOT(ISBLANK(A11)), ((_xlfn.XLOOKUP(A11,Index!$B$2:$B$995,Index!$F$2:$F$995,"Not Found"))*B11),"")</f>
        <v>0</v>
      </c>
      <c r="K11" s="1" t="s">
        <v>47</v>
      </c>
      <c r="L11" s="1">
        <f>IF(NOT(ISBLANK($K$2)), SUMIFS($B$2:$B$32, $C$2:$C$32,"Energy"), "")</f>
        <v>28</v>
      </c>
    </row>
    <row r="12">
      <c r="A12" s="1" t="s">
        <v>896</v>
      </c>
      <c r="B12" s="1">
        <v>1.0</v>
      </c>
      <c r="C12" s="1" t="str">
        <f t="array" ref="C12">IF(NOT(ISBLANK($A12)), (_xlfn.XLOOKUP($A12,Index!$B$2:$B$995,Index!$C$2:$C$995,"Not Found")),"")</f>
        <v>W</v>
      </c>
      <c r="D12" s="1" t="str">
        <f t="array" ref="D12">IF(NOT(ISBLANK(A12)), (_xlfn.XLOOKUP($A12,Index!$B$2:B$995,Index!$A$2:$A$995,"Not Found")),"")</f>
        <v>base5-37</v>
      </c>
      <c r="E12" s="3">
        <f t="array" ref="E12">IF(NOT(ISBLANK($A12)), (_xlfn.XLOOKUP($A12,Index!$B$2:$B$995,Index!$D$2:$D$995,"Not Found")),"")</f>
        <v>1</v>
      </c>
      <c r="F12" s="1" t="str">
        <f t="array" ref="F12">IF(NOT(ISBLANK($A12)), (_xlfn.XLOOKUP($A12,Index!$B$2:$B$995,Index!$E$2:$E$995,"Not Found")),"")</f>
        <v>n</v>
      </c>
      <c r="G12" s="1">
        <f t="array" ref="G12">IF(NOT(ISBLANK(A12)), ((_xlfn.XLOOKUP(A12,Index!$B$2:$B$995,Index!$F$2:$F$995,"Not Found"))*B12),"")</f>
        <v>1.5</v>
      </c>
      <c r="K12" s="1" t="s">
        <v>617</v>
      </c>
      <c r="L12" s="15">
        <f>L7</f>
        <v>22</v>
      </c>
    </row>
    <row r="13">
      <c r="A13" s="1" t="s">
        <v>775</v>
      </c>
      <c r="B13" s="1">
        <v>2.0</v>
      </c>
      <c r="C13" s="1" t="str">
        <f t="array" ref="C13">IF(NOT(ISBLANK($A13)), (_xlfn.XLOOKUP($A13,Index!$B$2:$B$995,Index!$C$2:$C$995,"Not Found")),"")</f>
        <v>Energy</v>
      </c>
      <c r="D13" s="1" t="str">
        <f t="array" ref="D13">IF(NOT(ISBLANK(A13)), (_xlfn.XLOOKUP($A13,Index!$B$2:B$995,Index!$A$2:$A$995,"Not Found")),"")</f>
        <v>base5-80</v>
      </c>
      <c r="E13" s="3" t="str">
        <f t="array" ref="E13">IF(NOT(ISBLANK($A13)), (_xlfn.XLOOKUP($A13,Index!$B$2:$B$995,Index!$D$2:$D$995,"Not Found")),"")</f>
        <v/>
      </c>
      <c r="F13" s="1" t="str">
        <f t="array" ref="F13">IF(NOT(ISBLANK($A13)), (_xlfn.XLOOKUP($A13,Index!$B$2:$B$995,Index!$E$2:$E$995,"Not Found")),"")</f>
        <v/>
      </c>
      <c r="G13" s="1">
        <f t="array" ref="G13">IF(NOT(ISBLANK(A13)), ((_xlfn.XLOOKUP(A13,Index!$B$2:$B$995,Index!$F$2:$F$995,"Not Found"))*B13),"")</f>
        <v>0</v>
      </c>
    </row>
    <row r="14">
      <c r="A14" s="1" t="s">
        <v>444</v>
      </c>
      <c r="B14" s="1">
        <v>2.0</v>
      </c>
      <c r="C14" s="1" t="str">
        <f t="array" ref="C14">IF(NOT(ISBLANK($A14)), (_xlfn.XLOOKUP($A14,Index!$B$2:$B$995,Index!$C$2:$C$995,"Not Found")),"")</f>
        <v>T</v>
      </c>
      <c r="D14" s="1" t="str">
        <f t="array" ref="D14">IF(NOT(ISBLANK(A14)), (_xlfn.XLOOKUP($A14,Index!$B$2:B$995,Index!$A$2:$A$995,"Not Found")),"")</f>
        <v>base1-91</v>
      </c>
      <c r="E14" s="3" t="str">
        <f t="array" ref="E14">IF(NOT(ISBLANK($A14)), (_xlfn.XLOOKUP($A14,Index!$B$2:$B$995,Index!$D$2:$D$995,"Not Found")),"")</f>
        <v>c</v>
      </c>
      <c r="F14" s="1" t="str">
        <f t="array" ref="F14">IF(NOT(ISBLANK($A14)), (_xlfn.XLOOKUP($A14,Index!$B$2:$B$995,Index!$E$2:$E$995,"Not Found")),"")</f>
        <v/>
      </c>
      <c r="G14" s="1" t="str">
        <f t="array" ref="G14">IF(NOT(ISBLANK(A14)), ((_xlfn.XLOOKUP(A14,Index!$B$2:$B$995,Index!$F$2:$F$995,"Not Found"))*B14),"")</f>
        <v>#VALUE!</v>
      </c>
    </row>
    <row r="15">
      <c r="A15" s="1" t="s">
        <v>430</v>
      </c>
      <c r="B15" s="1">
        <v>1.0</v>
      </c>
      <c r="C15" s="1" t="str">
        <f t="array" ref="C15">IF(NOT(ISBLANK($A15)), (_xlfn.XLOOKUP($A15,Index!$B$2:$B$995,Index!$C$2:$C$995,"Not Found")),"")</f>
        <v>T</v>
      </c>
      <c r="D15" s="1" t="str">
        <f t="array" ref="D15">IF(NOT(ISBLANK(A15)), (_xlfn.XLOOKUP($A15,Index!$B$2:B$995,Index!$A$2:$A$995,"Not Found")),"")</f>
        <v>base1-88</v>
      </c>
      <c r="E15" s="3" t="str">
        <f t="array" ref="E15">IF(NOT(ISBLANK($A15)), (_xlfn.XLOOKUP($A15,Index!$B$2:$B$995,Index!$D$2:$D$995,"Not Found")),"")</f>
        <v>u</v>
      </c>
      <c r="F15" s="1" t="str">
        <f t="array" ref="F15">IF(NOT(ISBLANK($A15)), (_xlfn.XLOOKUP($A15,Index!$B$2:$B$995,Index!$E$2:$E$995,"Not Found")),"")</f>
        <v/>
      </c>
      <c r="G15" s="1" t="str">
        <f t="array" ref="G15">IF(NOT(ISBLANK(A15)), ((_xlfn.XLOOKUP(A15,Index!$B$2:$B$995,Index!$F$2:$F$995,"Not Found"))*B15),"")</f>
        <v>#VALUE!</v>
      </c>
      <c r="K15" s="1" t="s">
        <v>689</v>
      </c>
    </row>
    <row r="16">
      <c r="A16" s="1" t="s">
        <v>1014</v>
      </c>
      <c r="B16" s="1">
        <v>1.0</v>
      </c>
      <c r="C16" s="1" t="str">
        <f t="array" ref="C16">IF(NOT(ISBLANK($A16)), (_xlfn.XLOOKUP($A16,Index!$B$2:$B$995,Index!$C$2:$C$995,"Not Found")),"")</f>
        <v>T</v>
      </c>
      <c r="D16" s="1" t="str">
        <f t="array" ref="D16">IF(NOT(ISBLANK(A16)), (_xlfn.XLOOKUP($A16,Index!$B$2:B$995,Index!$A$2:$A$995,"Not Found")),"")</f>
        <v>base5-75</v>
      </c>
      <c r="E16" s="3" t="str">
        <f t="array" ref="E16">IF(NOT(ISBLANK($A16)), (_xlfn.XLOOKUP($A16,Index!$B$2:$B$995,Index!$D$2:$D$995,"Not Found")),"")</f>
        <v>u</v>
      </c>
      <c r="F16" s="1" t="str">
        <f t="array" ref="F16">IF(NOT(ISBLANK($A16)), (_xlfn.XLOOKUP($A16,Index!$B$2:$B$995,Index!$E$2:$E$995,"Not Found")),"")</f>
        <v/>
      </c>
      <c r="G16" s="1" t="str">
        <f t="array" ref="G16">IF(NOT(ISBLANK(A16)), ((_xlfn.XLOOKUP(A16,Index!$B$2:$B$995,Index!$F$2:$F$995,"Not Found"))*B16),"")</f>
        <v>#VALUE!</v>
      </c>
      <c r="K16" s="15" t="str">
        <f t="shared" ref="K16:K20" si="8">K2</f>
        <v>R</v>
      </c>
      <c r="L16" s="1">
        <f t="shared" ref="L16:L19" si="9">IF(NOT(ISBLANK($K2)), SUMIFS($G$2:$G$32, $C$2:$C$32,$K2), "")</f>
        <v>7.5</v>
      </c>
    </row>
    <row r="17">
      <c r="A17" s="1" t="s">
        <v>455</v>
      </c>
      <c r="B17" s="1">
        <v>1.0</v>
      </c>
      <c r="C17" s="1" t="str">
        <f t="array" ref="C17">IF(NOT(ISBLANK($A17)), (_xlfn.XLOOKUP($A17,Index!$B$2:$B$995,Index!$C$2:$C$995,"Not Found")),"")</f>
        <v>T</v>
      </c>
      <c r="D17" s="1" t="str">
        <f t="array" ref="D17">IF(NOT(ISBLANK(A17)), (_xlfn.XLOOKUP($A17,Index!$B$2:B$995,Index!$A$2:$A$995,"Not Found")),"")</f>
        <v>base1-94</v>
      </c>
      <c r="E17" s="3" t="str">
        <f t="array" ref="E17">IF(NOT(ISBLANK($A17)), (_xlfn.XLOOKUP($A17,Index!$B$2:$B$995,Index!$D$2:$D$995,"Not Found")),"")</f>
        <v>c</v>
      </c>
      <c r="F17" s="1" t="str">
        <f t="array" ref="F17">IF(NOT(ISBLANK($A17)), (_xlfn.XLOOKUP($A17,Index!$B$2:$B$995,Index!$E$2:$E$995,"Not Found")),"")</f>
        <v/>
      </c>
      <c r="G17" s="1" t="str">
        <f t="array" ref="G17">IF(NOT(ISBLANK(A17)), ((_xlfn.XLOOKUP(A17,Index!$B$2:$B$995,Index!$F$2:$F$995,"Not Found"))*B17),"")</f>
        <v>#VALUE!</v>
      </c>
      <c r="K17" s="15" t="str">
        <f t="shared" si="8"/>
        <v>P</v>
      </c>
      <c r="L17" s="1">
        <f t="shared" si="9"/>
        <v>4</v>
      </c>
    </row>
    <row r="18">
      <c r="A18" s="1" t="s">
        <v>387</v>
      </c>
      <c r="B18" s="1">
        <v>1.0</v>
      </c>
      <c r="C18" s="1" t="str">
        <f t="array" ref="C18">IF(NOT(ISBLANK($A18)), (_xlfn.XLOOKUP($A18,Index!$B$2:$B$995,Index!$C$2:$C$995,"Not Found")),"")</f>
        <v>T</v>
      </c>
      <c r="D18" s="1" t="str">
        <f t="array" ref="D18">IF(NOT(ISBLANK(A18)), (_xlfn.XLOOKUP($A18,Index!$B$2:B$995,Index!$A$2:$A$995,"Not Found")),"")</f>
        <v>base1-75</v>
      </c>
      <c r="E18" s="3" t="str">
        <f t="array" ref="E18">IF(NOT(ISBLANK($A18)), (_xlfn.XLOOKUP($A18,Index!$B$2:$B$995,Index!$D$2:$D$995,"Not Found")),"")</f>
        <v>r</v>
      </c>
      <c r="F18" s="1" t="str">
        <f t="array" ref="F18">IF(NOT(ISBLANK($A18)), (_xlfn.XLOOKUP($A18,Index!$B$2:$B$995,Index!$E$2:$E$995,"Not Found")),"")</f>
        <v/>
      </c>
      <c r="G18" s="1" t="str">
        <f t="array" ref="G18">IF(NOT(ISBLANK(A18)), ((_xlfn.XLOOKUP(A18,Index!$B$2:$B$995,Index!$F$2:$F$995,"Not Found"))*B18),"")</f>
        <v>#VALUE!</v>
      </c>
      <c r="K18" s="15" t="str">
        <f t="shared" si="8"/>
        <v>W</v>
      </c>
      <c r="L18" s="1">
        <f t="shared" si="9"/>
        <v>1.5</v>
      </c>
    </row>
    <row r="19">
      <c r="A19" s="1" t="s">
        <v>909</v>
      </c>
      <c r="B19" s="1">
        <v>1.0</v>
      </c>
      <c r="C19" s="1" t="str">
        <f t="array" ref="C19">IF(NOT(ISBLANK($A19)), (_xlfn.XLOOKUP($A19,Index!$B$2:$B$995,Index!$C$2:$C$995,"Not Found")),"")</f>
        <v>T</v>
      </c>
      <c r="D19" s="1" t="str">
        <f t="array" ref="D19">IF(NOT(ISBLANK(A19)), (_xlfn.XLOOKUP($A19,Index!$B$2:B$995,Index!$A$2:$A$995,"Not Found")),"")</f>
        <v>base5-79</v>
      </c>
      <c r="E19" s="3" t="str">
        <f t="array" ref="E19">IF(NOT(ISBLANK($A19)), (_xlfn.XLOOKUP($A19,Index!$B$2:$B$995,Index!$D$2:$D$995,"Not Found")),"")</f>
        <v>c</v>
      </c>
      <c r="F19" s="1" t="str">
        <f t="array" ref="F19">IF(NOT(ISBLANK($A19)), (_xlfn.XLOOKUP($A19,Index!$B$2:$B$995,Index!$E$2:$E$995,"Not Found")),"")</f>
        <v/>
      </c>
      <c r="G19" s="1" t="str">
        <f t="array" ref="G19">IF(NOT(ISBLANK(A19)), ((_xlfn.XLOOKUP(A19,Index!$B$2:$B$995,Index!$F$2:$F$995,"Not Found"))*B19),"")</f>
        <v>#VALUE!</v>
      </c>
      <c r="K19" s="15" t="str">
        <f t="shared" si="8"/>
        <v>C</v>
      </c>
      <c r="L19" s="1">
        <f t="shared" si="9"/>
        <v>0</v>
      </c>
    </row>
    <row r="20">
      <c r="A20" s="1" t="s">
        <v>796</v>
      </c>
      <c r="B20" s="1">
        <v>1.0</v>
      </c>
      <c r="C20" s="1" t="str">
        <f t="array" ref="C20">IF(NOT(ISBLANK($A20)), (_xlfn.XLOOKUP($A20,Index!$B$2:$B$995,Index!$C$2:$C$995,"Not Found")),"")</f>
        <v>T</v>
      </c>
      <c r="D20" s="1" t="str">
        <f t="array" ref="D20">IF(NOT(ISBLANK(A20)), (_xlfn.XLOOKUP($A20,Index!$B$2:B$995,Index!$A$2:$A$995,"Not Found")),"")</f>
        <v>base3-59</v>
      </c>
      <c r="E20" s="3"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15" t="str">
        <f t="shared" si="8"/>
        <v/>
      </c>
    </row>
    <row r="21">
      <c r="A21" s="1" t="s">
        <v>1017</v>
      </c>
      <c r="B21" s="1">
        <v>1.0</v>
      </c>
      <c r="C21" s="1" t="str">
        <f t="array" ref="C21">IF(NOT(ISBLANK($A21)), (_xlfn.XLOOKUP($A21,Index!$B$2:$B$995,Index!$C$2:$C$995,"Not Found")),"")</f>
        <v>T</v>
      </c>
      <c r="D21" s="1" t="str">
        <f t="array" ref="D21">IF(NOT(ISBLANK(A21)), (_xlfn.XLOOKUP($A21,Index!$B$2:B$995,Index!$A$2:$A$995,"Not Found")),"")</f>
        <v>base5-76</v>
      </c>
      <c r="E21" s="3" t="str">
        <f t="array" ref="E21">IF(NOT(ISBLANK($A21)), (_xlfn.XLOOKUP($A21,Index!$B$2:$B$995,Index!$D$2:$D$995,"Not Found")),"")</f>
        <v>u</v>
      </c>
      <c r="F21" s="1" t="str">
        <f t="array" ref="F21">IF(NOT(ISBLANK($A21)), (_xlfn.XLOOKUP($A21,Index!$B$2:$B$995,Index!$E$2:$E$995,"Not Found")),"")</f>
        <v/>
      </c>
      <c r="G21" s="1" t="str">
        <f t="array" ref="G21">IF(NOT(ISBLANK(A21)), ((_xlfn.XLOOKUP(A21,Index!$B$2:$B$995,Index!$F$2:$F$995,"Not Found"))*B21),"")</f>
        <v>#VALUE!</v>
      </c>
      <c r="K21" s="1" t="s">
        <v>860</v>
      </c>
      <c r="L21" s="15">
        <f>SUM(L15:L19)</f>
        <v>13</v>
      </c>
    </row>
    <row r="22">
      <c r="A22" s="1" t="s">
        <v>406</v>
      </c>
      <c r="B22" s="1">
        <v>1.0</v>
      </c>
      <c r="C22" s="1" t="str">
        <f t="array" ref="C22">IF(NOT(ISBLANK($A22)), (_xlfn.XLOOKUP($A22,Index!$B$2:$B$995,Index!$C$2:$C$995,"Not Found")),"")</f>
        <v>T</v>
      </c>
      <c r="D22" s="1" t="str">
        <f t="array" ref="D22">IF(NOT(ISBLANK(A22)), (_xlfn.XLOOKUP($A22,Index!$B$2:B$995,Index!$A$2:$A$995,"Not Found")),"")</f>
        <v>base1-80</v>
      </c>
      <c r="E22" s="3" t="str">
        <f t="array" ref="E22">IF(NOT(ISBLANK($A22)), (_xlfn.XLOOKUP($A22,Index!$B$2:$B$995,Index!$D$2:$D$995,"Not Found")),"")</f>
        <v>u</v>
      </c>
      <c r="F22" s="1" t="str">
        <f t="array" ref="F22">IF(NOT(ISBLANK($A22)), (_xlfn.XLOOKUP($A22,Index!$B$2:$B$995,Index!$E$2:$E$995,"Not Found")),"")</f>
        <v/>
      </c>
      <c r="G22" s="1" t="str">
        <f t="array" ref="G22">IF(NOT(ISBLANK(A22)), ((_xlfn.XLOOKUP(A22,Index!$B$2:$B$995,Index!$F$2:$F$995,"Not Found"))*B22),"")</f>
        <v>#VALUE!</v>
      </c>
    </row>
    <row r="23">
      <c r="C23" s="1" t="str">
        <f t="array" ref="C23">IF(NOT(ISBLANK($A23)), (_xlfn.XLOOKUP($A23,Index!$B$2:$B$995,Index!$C$2:$C$995,"Not Found")),"")</f>
        <v/>
      </c>
      <c r="D23" s="1" t="str">
        <f t="array" ref="D23">IF(NOT(ISBLANK(A23)), (_xlfn.XLOOKUP($A23,Index!$B$2:B$995,Index!$A$2:$A$995,"Not Found")),"")</f>
        <v/>
      </c>
      <c r="E23" s="3"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3"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935</v>
      </c>
      <c r="L24" s="1" t="s">
        <v>91</v>
      </c>
    </row>
    <row r="25">
      <c r="C25" s="1" t="str">
        <f t="array" ref="C25">IF(NOT(ISBLANK($A25)), (_xlfn.XLOOKUP($A25,Index!$B$2:$B$995,Index!$C$2:$C$995,"Not Found")),"")</f>
        <v/>
      </c>
      <c r="D25" s="1" t="str">
        <f t="array" ref="D25">IF(NOT(ISBLANK(A25)), (_xlfn.XLOOKUP($A25,Index!$B$2:B$995,Index!$A$2:$A$995,"Not Found")),"")</f>
        <v/>
      </c>
      <c r="E25" s="3"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3"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3"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3"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3"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3"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3"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3"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3"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3"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3"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3"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3"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3"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3"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3"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3"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3"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3"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3"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3"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3"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3"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3"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3"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3"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3"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3"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3"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3"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3"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3"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3"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3"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3"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3"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3"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3"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3"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3"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3"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3"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3"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3"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3"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3"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3"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3"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3"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3"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3"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3"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3"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11"/>
    </row>
    <row r="79">
      <c r="E79" s="11"/>
    </row>
    <row r="80">
      <c r="E80" s="11"/>
    </row>
    <row r="81">
      <c r="E81" s="11"/>
    </row>
    <row r="82">
      <c r="E82" s="11"/>
    </row>
    <row r="83">
      <c r="E83" s="11"/>
    </row>
    <row r="84">
      <c r="E84" s="11"/>
    </row>
    <row r="85">
      <c r="E85" s="11"/>
    </row>
    <row r="86">
      <c r="E86" s="11"/>
    </row>
    <row r="87">
      <c r="E87" s="11"/>
    </row>
    <row r="88">
      <c r="E88" s="11"/>
    </row>
    <row r="89">
      <c r="E89" s="11"/>
    </row>
    <row r="90">
      <c r="E90" s="11"/>
    </row>
    <row r="91">
      <c r="E91" s="11"/>
    </row>
    <row r="92">
      <c r="E92" s="11"/>
    </row>
    <row r="93">
      <c r="E93" s="11"/>
    </row>
    <row r="94">
      <c r="E94" s="11"/>
    </row>
    <row r="95">
      <c r="E95" s="11"/>
    </row>
    <row r="96">
      <c r="E96" s="11"/>
    </row>
    <row r="97">
      <c r="E97" s="11"/>
    </row>
    <row r="98">
      <c r="E98" s="11"/>
    </row>
    <row r="99">
      <c r="E99" s="11"/>
    </row>
    <row r="100">
      <c r="E100" s="11"/>
    </row>
    <row r="101">
      <c r="E101" s="11"/>
    </row>
    <row r="102">
      <c r="E102" s="11"/>
    </row>
    <row r="103">
      <c r="E103" s="11"/>
    </row>
    <row r="104">
      <c r="E104" s="11"/>
    </row>
    <row r="105">
      <c r="E105" s="11"/>
    </row>
    <row r="106">
      <c r="E106" s="11"/>
    </row>
    <row r="107">
      <c r="E107" s="11"/>
    </row>
    <row r="108">
      <c r="E108" s="11"/>
    </row>
    <row r="109">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sheetData>
  <conditionalFormatting sqref="G1:G1000">
    <cfRule type="cellIs" dxfId="1" priority="1" operator="equal">
      <formula>0</formula>
    </cfRule>
  </conditionalFormatting>
  <conditionalFormatting sqref="L1:Q5">
    <cfRule type="cellIs" dxfId="2" priority="2" operator="equal">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3" t="s">
        <v>5</v>
      </c>
      <c r="F1" s="1" t="s">
        <v>7</v>
      </c>
      <c r="G1" s="1" t="s">
        <v>11</v>
      </c>
      <c r="I1" s="1" t="s">
        <v>12</v>
      </c>
      <c r="K1" s="1" t="s">
        <v>3</v>
      </c>
      <c r="L1" s="1" t="s">
        <v>14</v>
      </c>
      <c r="M1" s="1" t="s">
        <v>17</v>
      </c>
      <c r="N1" s="1" t="s">
        <v>19</v>
      </c>
      <c r="O1" s="1" t="s">
        <v>21</v>
      </c>
      <c r="P1" s="1" t="s">
        <v>22</v>
      </c>
      <c r="Q1" s="1" t="s">
        <v>23</v>
      </c>
    </row>
    <row r="2">
      <c r="A2" s="1" t="s">
        <v>934</v>
      </c>
      <c r="B2" s="1">
        <v>4.0</v>
      </c>
      <c r="C2" s="1" t="str">
        <f t="array" ref="C2">IF(NOT(ISBLANK($A2)), (_xlfn.XLOOKUP($A2,Index!$B$2:$B$995,Index!$C$2:$C$995,"Not Found")),"")</f>
        <v>P</v>
      </c>
      <c r="D2" s="1" t="str">
        <f t="array" ref="D2">IF(NOT(ISBLANK(A2)), (_xlfn.XLOOKUP($A2,Index!$B$2:B$995,Index!$A$2:$A$995,"Not Found")),"")</f>
        <v>base5-49</v>
      </c>
      <c r="E2" s="3" t="str">
        <f t="array" ref="E2">IF(NOT(ISBLANK($A2)), (_xlfn.XLOOKUP($A2,Index!$B$2:$B$995,Index!$D$2:$D$995,"Not Found")),"")</f>
        <v>b</v>
      </c>
      <c r="F2" s="1" t="str">
        <f t="array" ref="F2">IF(NOT(ISBLANK($A2)), (_xlfn.XLOOKUP($A2,Index!$B$2:$B$995,Index!$E$2:$E$995,"Not Found")),"")</f>
        <v>y</v>
      </c>
      <c r="G2" s="1">
        <f t="array" ref="G2">IF(NOT(ISBLANK(A2)), ((_xlfn.XLOOKUP(A2,Index!$B$2:$B$995,Index!$F$2:$F$995,"Not Found"))*B2),"")</f>
        <v>0</v>
      </c>
      <c r="I2" s="15">
        <f>SUM(B2:B38)</f>
        <v>60</v>
      </c>
      <c r="K2" s="1" t="s">
        <v>27</v>
      </c>
      <c r="L2" s="15">
        <f t="shared" ref="L2:L6" si="1">IF(NOT(ISBLANK(K2)), SUM(M2:P2), "")</f>
        <v>12</v>
      </c>
      <c r="M2" s="1">
        <f t="shared" ref="M2:M5" si="2">IF(NOT(ISBLANK($K2)), SUMIFS($B$2:$B$32, $E$2:$E$32, "B", $C$2:$C$32,$K2), "")</f>
        <v>7</v>
      </c>
      <c r="N2" s="1">
        <f t="shared" ref="N2:N5" si="3">IF(NOT(ISBLANK($K2)),SUMIFS($B$2:$B$32,$E$2:$E$32, "1", $C$2:$C$32,$K2,$F$2:$F$32,"N"), "")</f>
        <v>1</v>
      </c>
      <c r="O2" s="1">
        <f t="shared" ref="O2:O5" si="4">IF(NOT(ISBLANK($K2)),SUMIFS($B$2:$B$32,$E$2:$E$32, "1", $C$2:$C$32,$K2,$F$2:$F$32,"Y"), "")</f>
        <v>3</v>
      </c>
      <c r="P2" s="1">
        <f t="shared" ref="P2:P5" si="5">IF(NOT(ISBLANK($K2)),SUMIFS($B$2:$B$32,$E$2:$E$32, "2", $C$2:$C$32,$K2), "")</f>
        <v>1</v>
      </c>
      <c r="Q2" s="1">
        <f t="shared" ref="Q2:Q5" si="6">IF(NOT(ISBLANK($K2)),SUMIFS($B$2:$B$32,$E$2:$E$32, "B", $C$2:$C$32,$K2,$F$2:$F$32,"N"), "")</f>
        <v>1</v>
      </c>
    </row>
    <row r="3">
      <c r="A3" s="1" t="s">
        <v>902</v>
      </c>
      <c r="B3" s="1">
        <v>3.0</v>
      </c>
      <c r="C3" s="1" t="str">
        <f t="array" ref="C3">IF(NOT(ISBLANK($A3)), (_xlfn.XLOOKUP($A3,Index!$B$2:$B$995,Index!$C$2:$C$995,"Not Found")),"")</f>
        <v>P</v>
      </c>
      <c r="D3" s="1" t="str">
        <f t="array" ref="D3">IF(NOT(ISBLANK(A3)), (_xlfn.XLOOKUP($A3,Index!$B$2:B$995,Index!$A$2:$A$995,"Not Found")),"")</f>
        <v>base5-39</v>
      </c>
      <c r="E3" s="3">
        <f t="array" ref="E3">IF(NOT(ISBLANK($A3)), (_xlfn.XLOOKUP($A3,Index!$B$2:$B$995,Index!$D$2:$D$995,"Not Found")),"")</f>
        <v>1</v>
      </c>
      <c r="F3" s="1" t="str">
        <f t="array" ref="F3">IF(NOT(ISBLANK($A3)), (_xlfn.XLOOKUP($A3,Index!$B$2:$B$995,Index!$E$2:$E$995,"Not Found")),"")</f>
        <v>y</v>
      </c>
      <c r="G3" s="1">
        <f t="array" ref="G3">IF(NOT(ISBLANK(A3)), ((_xlfn.XLOOKUP(A3,Index!$B$2:$B$995,Index!$F$2:$F$995,"Not Found"))*B3),"")</f>
        <v>1.5</v>
      </c>
      <c r="K3" s="1" t="s">
        <v>128</v>
      </c>
      <c r="L3" s="15">
        <f t="shared" si="1"/>
        <v>8</v>
      </c>
      <c r="M3" s="1">
        <f t="shared" si="2"/>
        <v>6</v>
      </c>
      <c r="N3" s="1">
        <f t="shared" si="3"/>
        <v>2</v>
      </c>
      <c r="O3" s="1">
        <f t="shared" si="4"/>
        <v>0</v>
      </c>
      <c r="P3" s="1">
        <f t="shared" si="5"/>
        <v>0</v>
      </c>
      <c r="Q3" s="1">
        <f t="shared" si="6"/>
        <v>1</v>
      </c>
    </row>
    <row r="4">
      <c r="A4" s="1" t="s">
        <v>103</v>
      </c>
      <c r="B4" s="1">
        <v>1.0</v>
      </c>
      <c r="C4" s="1" t="str">
        <f t="array" ref="C4">IF(NOT(ISBLANK($A4)), (_xlfn.XLOOKUP($A4,Index!$B$2:$B$995,Index!$C$2:$C$995,"Not Found")),"")</f>
        <v>P</v>
      </c>
      <c r="D4" s="1" t="str">
        <f t="array" ref="D4">IF(NOT(ISBLANK(A4)), (_xlfn.XLOOKUP($A4,Index!$B$2:B$995,Index!$A$2:$A$995,"Not Found")),"")</f>
        <v>base5-1</v>
      </c>
      <c r="E4" s="3">
        <f t="array" ref="E4">IF(NOT(ISBLANK($A4)), (_xlfn.XLOOKUP($A4,Index!$B$2:$B$995,Index!$D$2:$D$995,"Not Found")),"")</f>
        <v>2</v>
      </c>
      <c r="F4" s="1" t="str">
        <f t="array" ref="F4">IF(NOT(ISBLANK($A4)), (_xlfn.XLOOKUP($A4,Index!$B$2:$B$995,Index!$E$2:$E$995,"Not Found")),"")</f>
        <v/>
      </c>
      <c r="G4" s="1">
        <f t="array" ref="G4">IF(NOT(ISBLANK(A4)), ((_xlfn.XLOOKUP(A4,Index!$B$2:$B$995,Index!$F$2:$F$995,"Not Found"))*B4),"")</f>
        <v>3</v>
      </c>
      <c r="K4" s="1" t="s">
        <v>96</v>
      </c>
      <c r="L4" s="15">
        <f t="shared" si="1"/>
        <v>5</v>
      </c>
      <c r="M4" s="1">
        <f t="shared" si="2"/>
        <v>3</v>
      </c>
      <c r="N4" s="1">
        <f t="shared" si="3"/>
        <v>2</v>
      </c>
      <c r="O4" s="1">
        <f t="shared" si="4"/>
        <v>0</v>
      </c>
      <c r="P4" s="1">
        <f t="shared" si="5"/>
        <v>0</v>
      </c>
      <c r="Q4" s="1">
        <f t="shared" si="6"/>
        <v>0</v>
      </c>
    </row>
    <row r="5">
      <c r="A5" s="1" t="s">
        <v>989</v>
      </c>
      <c r="B5" s="1">
        <v>2.0</v>
      </c>
      <c r="C5" s="1" t="str">
        <f t="array" ref="C5">IF(NOT(ISBLANK($A5)), (_xlfn.XLOOKUP($A5,Index!$B$2:$B$995,Index!$C$2:$C$995,"Not Found")),"")</f>
        <v>P</v>
      </c>
      <c r="D5" s="1" t="str">
        <f t="array" ref="D5">IF(NOT(ISBLANK(A5)), (_xlfn.XLOOKUP($A5,Index!$B$2:B$995,Index!$A$2:$A$995,"Not Found")),"")</f>
        <v>base5-67</v>
      </c>
      <c r="E5" s="3" t="str">
        <f t="array" ref="E5">IF(NOT(ISBLANK($A5)), (_xlfn.XLOOKUP($A5,Index!$B$2:$B$995,Index!$D$2:$D$995,"Not Found")),"")</f>
        <v>b</v>
      </c>
      <c r="F5" s="1" t="str">
        <f t="array" ref="F5">IF(NOT(ISBLANK($A5)), (_xlfn.XLOOKUP($A5,Index!$B$2:$B$995,Index!$E$2:$E$995,"Not Found")),"")</f>
        <v>y</v>
      </c>
      <c r="G5" s="1">
        <f t="array" ref="G5">IF(NOT(ISBLANK(A5)), ((_xlfn.XLOOKUP(A5,Index!$B$2:$B$995,Index!$F$2:$F$995,"Not Found"))*B5),"")</f>
        <v>0</v>
      </c>
      <c r="L5" s="15" t="str">
        <f t="shared" si="1"/>
        <v/>
      </c>
      <c r="M5" s="1" t="str">
        <f t="shared" si="2"/>
        <v/>
      </c>
      <c r="N5" s="1" t="str">
        <f t="shared" si="3"/>
        <v/>
      </c>
      <c r="O5" s="1" t="str">
        <f t="shared" si="4"/>
        <v/>
      </c>
      <c r="P5" s="1" t="str">
        <f t="shared" si="5"/>
        <v/>
      </c>
      <c r="Q5" s="1" t="str">
        <f t="shared" si="6"/>
        <v/>
      </c>
    </row>
    <row r="6">
      <c r="A6" s="1" t="s">
        <v>875</v>
      </c>
      <c r="B6" s="1">
        <v>1.0</v>
      </c>
      <c r="C6" s="1" t="str">
        <f t="array" ref="C6">IF(NOT(ISBLANK($A6)), (_xlfn.XLOOKUP($A6,Index!$B$2:$B$995,Index!$C$2:$C$995,"Not Found")),"")</f>
        <v>P</v>
      </c>
      <c r="D6" s="1" t="str">
        <f t="array" ref="D6">IF(NOT(ISBLANK(A6)), (_xlfn.XLOOKUP($A6,Index!$B$2:B$995,Index!$A$2:$A$995,"Not Found")),"")</f>
        <v>base5-29</v>
      </c>
      <c r="E6" s="3">
        <f t="array" ref="E6">IF(NOT(ISBLANK($A6)), (_xlfn.XLOOKUP($A6,Index!$B$2:$B$995,Index!$D$2:$D$995,"Not Found")),"")</f>
        <v>1</v>
      </c>
      <c r="F6" s="1" t="str">
        <f t="array" ref="F6">IF(NOT(ISBLANK($A6)), (_xlfn.XLOOKUP($A6,Index!$B$2:$B$995,Index!$E$2:$E$995,"Not Found")),"")</f>
        <v>n</v>
      </c>
      <c r="G6" s="1">
        <f t="array" ref="G6">IF(NOT(ISBLANK(A6)), ((_xlfn.XLOOKUP(A6,Index!$B$2:$B$995,Index!$F$2:$F$995,"Not Found"))*B6),"")</f>
        <v>1</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983</v>
      </c>
      <c r="B7" s="1">
        <v>3.0</v>
      </c>
      <c r="C7" s="1" t="str">
        <f t="array" ref="C7">IF(NOT(ISBLANK($A7)), (_xlfn.XLOOKUP($A7,Index!$B$2:$B$995,Index!$C$2:$C$995,"Not Found")),"")</f>
        <v>W</v>
      </c>
      <c r="D7" s="1" t="str">
        <f t="array" ref="D7">IF(NOT(ISBLANK(A7)), (_xlfn.XLOOKUP($A7,Index!$B$2:B$995,Index!$A$2:$A$995,"Not Found")),"")</f>
        <v>base5-65</v>
      </c>
      <c r="E7" s="3" t="str">
        <f t="array" ref="E7">IF(NOT(ISBLANK($A7)), (_xlfn.XLOOKUP($A7,Index!$B$2:$B$995,Index!$D$2:$D$995,"Not Found")),"")</f>
        <v>b</v>
      </c>
      <c r="F7" s="1" t="str">
        <f t="array" ref="F7">IF(NOT(ISBLANK($A7)), (_xlfn.XLOOKUP($A7,Index!$B$2:$B$995,Index!$E$2:$E$995,"Not Found")),"")</f>
        <v>y</v>
      </c>
      <c r="G7" s="1">
        <f t="array" ref="G7">IF(NOT(ISBLANK(A7)), ((_xlfn.XLOOKUP(A7,Index!$B$2:$B$995,Index!$F$2:$F$995,"Not Found"))*B7),"")</f>
        <v>0</v>
      </c>
      <c r="K7" s="1" t="s">
        <v>435</v>
      </c>
      <c r="L7" s="15">
        <f t="shared" ref="L7:Q7" si="7">SUM(L2:L6)</f>
        <v>25</v>
      </c>
      <c r="M7" s="15">
        <f t="shared" si="7"/>
        <v>16</v>
      </c>
      <c r="N7" s="15">
        <f t="shared" si="7"/>
        <v>5</v>
      </c>
      <c r="O7" s="15">
        <f t="shared" si="7"/>
        <v>3</v>
      </c>
      <c r="P7" s="15">
        <f t="shared" si="7"/>
        <v>1</v>
      </c>
      <c r="Q7" s="15">
        <f t="shared" si="7"/>
        <v>2</v>
      </c>
    </row>
    <row r="8">
      <c r="A8" s="1" t="s">
        <v>896</v>
      </c>
      <c r="B8" s="1">
        <v>2.0</v>
      </c>
      <c r="C8" s="1" t="str">
        <f t="array" ref="C8">IF(NOT(ISBLANK($A8)), (_xlfn.XLOOKUP($A8,Index!$B$2:$B$995,Index!$C$2:$C$995,"Not Found")),"")</f>
        <v>W</v>
      </c>
      <c r="D8" s="1" t="str">
        <f t="array" ref="D8">IF(NOT(ISBLANK(A8)), (_xlfn.XLOOKUP($A8,Index!$B$2:B$995,Index!$A$2:$A$995,"Not Found")),"")</f>
        <v>base5-37</v>
      </c>
      <c r="E8" s="3">
        <f t="array" ref="E8">IF(NOT(ISBLANK($A8)), (_xlfn.XLOOKUP($A8,Index!$B$2:$B$995,Index!$D$2:$D$995,"Not Found")),"")</f>
        <v>1</v>
      </c>
      <c r="F8" s="1" t="str">
        <f t="array" ref="F8">IF(NOT(ISBLANK($A8)), (_xlfn.XLOOKUP($A8,Index!$B$2:$B$995,Index!$E$2:$E$995,"Not Found")),"")</f>
        <v>n</v>
      </c>
      <c r="G8" s="1">
        <f t="array" ref="G8">IF(NOT(ISBLANK(A8)), ((_xlfn.XLOOKUP(A8,Index!$B$2:$B$995,Index!$F$2:$F$995,"Not Found"))*B8),"")</f>
        <v>3</v>
      </c>
    </row>
    <row r="9">
      <c r="A9" s="1" t="s">
        <v>986</v>
      </c>
      <c r="B9" s="1">
        <v>3.0</v>
      </c>
      <c r="C9" s="1" t="str">
        <f t="array" ref="C9">IF(NOT(ISBLANK($A9)), (_xlfn.XLOOKUP($A9,Index!$B$2:$B$995,Index!$C$2:$C$995,"Not Found")),"")</f>
        <v>C</v>
      </c>
      <c r="D9" s="1" t="str">
        <f t="array" ref="D9">IF(NOT(ISBLANK(A9)), (_xlfn.XLOOKUP($A9,Index!$B$2:B$995,Index!$A$2:$A$995,"Not Found")),"")</f>
        <v>base5-66</v>
      </c>
      <c r="E9" s="3" t="str">
        <f t="array" ref="E9">IF(NOT(ISBLANK($A9)), (_xlfn.XLOOKUP($A9,Index!$B$2:$B$995,Index!$D$2:$D$995,"Not Found")),"")</f>
        <v>b</v>
      </c>
      <c r="F9" s="1" t="str">
        <f t="array" ref="F9">IF(NOT(ISBLANK($A9)), (_xlfn.XLOOKUP($A9,Index!$B$2:$B$995,Index!$E$2:$E$995,"Not Found")),"")</f>
        <v>y</v>
      </c>
      <c r="G9" s="1">
        <f t="array" ref="G9">IF(NOT(ISBLANK(A9)), ((_xlfn.XLOOKUP(A9,Index!$B$2:$B$995,Index!$F$2:$F$995,"Not Found"))*B9),"")</f>
        <v>0</v>
      </c>
      <c r="M9" s="1" t="s">
        <v>508</v>
      </c>
      <c r="N9" s="1" t="s">
        <v>509</v>
      </c>
      <c r="O9" s="1" t="s">
        <v>510</v>
      </c>
    </row>
    <row r="10">
      <c r="A10" s="1" t="s">
        <v>942</v>
      </c>
      <c r="B10" s="1">
        <v>1.0</v>
      </c>
      <c r="C10" s="1" t="str">
        <f t="array" ref="C10">IF(NOT(ISBLANK($A10)), (_xlfn.XLOOKUP($A10,Index!$B$2:$B$995,Index!$C$2:$C$995,"Not Found")),"")</f>
        <v>C</v>
      </c>
      <c r="D10" s="1" t="str">
        <f t="array" ref="D10">IF(NOT(ISBLANK(A10)), (_xlfn.XLOOKUP($A10,Index!$B$2:B$995,Index!$A$2:$A$995,"Not Found")),"")</f>
        <v>base5-51</v>
      </c>
      <c r="E10" s="3">
        <f t="array" ref="E10">IF(NOT(ISBLANK($A10)), (_xlfn.XLOOKUP($A10,Index!$B$2:$B$995,Index!$D$2:$D$995,"Not Found")),"")</f>
        <v>1</v>
      </c>
      <c r="F10" s="1" t="str">
        <f t="array" ref="F10">IF(NOT(ISBLANK($A10)), (_xlfn.XLOOKUP($A10,Index!$B$2:$B$995,Index!$E$2:$E$995,"Not Found")),"")</f>
        <v>n</v>
      </c>
      <c r="G10" s="1">
        <f t="array" ref="G10">IF(NOT(ISBLANK(A10)), ((_xlfn.XLOOKUP(A10,Index!$B$2:$B$995,Index!$F$2:$F$995,"Not Found"))*B10),"")</f>
        <v>1.5</v>
      </c>
      <c r="K10" s="1" t="s">
        <v>533</v>
      </c>
      <c r="L10" s="15">
        <f>SUM(M10:P10)</f>
        <v>10</v>
      </c>
      <c r="M10" s="15">
        <f>IF(NOT(ISBLANK($K10)), SUMIFS($B$2:$B$32,$E$2:$E$32, "C", $C$2:$C$32,"T"), "")</f>
        <v>6</v>
      </c>
      <c r="N10" s="15">
        <f>IF(NOT(ISBLANK($K10)), SUMIFS($B$2:$B$32,$E$2:$E$32, "U", $C$2:$C$32,"T"), "")</f>
        <v>3</v>
      </c>
      <c r="O10" s="15">
        <f>IF(NOT(ISBLANK($K$2)), SUMIFS($B$2:$B$32,$E$2:$E$32, "R", $C$2:$C$32,"T"), "")</f>
        <v>1</v>
      </c>
    </row>
    <row r="11">
      <c r="A11" s="1" t="s">
        <v>975</v>
      </c>
      <c r="B11" s="1">
        <v>2.0</v>
      </c>
      <c r="C11" s="1" t="str">
        <f t="array" ref="C11">IF(NOT(ISBLANK($A11)), (_xlfn.XLOOKUP($A11,Index!$B$2:$B$995,Index!$C$2:$C$995,"Not Found")),"")</f>
        <v>C</v>
      </c>
      <c r="D11" s="1" t="str">
        <f t="array" ref="D11">IF(NOT(ISBLANK(A11)), (_xlfn.XLOOKUP($A11,Index!$B$2:B$995,Index!$A$2:$A$995,"Not Found")),"")</f>
        <v>base5-62</v>
      </c>
      <c r="E11" s="3" t="str">
        <f t="array" ref="E11">IF(NOT(ISBLANK($A11)), (_xlfn.XLOOKUP($A11,Index!$B$2:$B$995,Index!$D$2:$D$995,"Not Found")),"")</f>
        <v>b</v>
      </c>
      <c r="F11" s="1" t="str">
        <f t="array" ref="F11">IF(NOT(ISBLANK($A11)), (_xlfn.XLOOKUP($A11,Index!$B$2:$B$995,Index!$E$2:$E$995,"Not Found")),"")</f>
        <v>y</v>
      </c>
      <c r="G11" s="1">
        <f t="array" ref="G11">IF(NOT(ISBLANK(A11)), ((_xlfn.XLOOKUP(A11,Index!$B$2:$B$995,Index!$F$2:$F$995,"Not Found"))*B11),"")</f>
        <v>0</v>
      </c>
      <c r="K11" s="1" t="s">
        <v>47</v>
      </c>
      <c r="L11" s="1">
        <f>IF(NOT(ISBLANK($K$2)), SUMIFS($B$2:$B$32, $C$2:$C$32,"Energy"), "")</f>
        <v>25</v>
      </c>
    </row>
    <row r="12">
      <c r="A12" s="1" t="s">
        <v>915</v>
      </c>
      <c r="B12" s="1">
        <v>1.0</v>
      </c>
      <c r="C12" s="1" t="str">
        <f t="array" ref="C12">IF(NOT(ISBLANK($A12)), (_xlfn.XLOOKUP($A12,Index!$B$2:$B$995,Index!$C$2:$C$995,"Not Found")),"")</f>
        <v>C</v>
      </c>
      <c r="D12" s="1" t="str">
        <f t="array" ref="D12">IF(NOT(ISBLANK(A12)), (_xlfn.XLOOKUP($A12,Index!$B$2:B$995,Index!$A$2:$A$995,"Not Found")),"")</f>
        <v>base5-42</v>
      </c>
      <c r="E12" s="3">
        <f t="array" ref="E12">IF(NOT(ISBLANK($A12)), (_xlfn.XLOOKUP($A12,Index!$B$2:$B$995,Index!$D$2:$D$995,"Not Found")),"")</f>
        <v>1</v>
      </c>
      <c r="F12" s="1" t="str">
        <f t="array" ref="F12">IF(NOT(ISBLANK($A12)), (_xlfn.XLOOKUP($A12,Index!$B$2:$B$995,Index!$E$2:$E$995,"Not Found")),"")</f>
        <v>n</v>
      </c>
      <c r="G12" s="1">
        <f t="array" ref="G12">IF(NOT(ISBLANK(A12)), ((_xlfn.XLOOKUP(A12,Index!$B$2:$B$995,Index!$F$2:$F$995,"Not Found"))*B12),"")</f>
        <v>0.5</v>
      </c>
      <c r="K12" s="1" t="s">
        <v>617</v>
      </c>
      <c r="L12" s="15">
        <f>L7</f>
        <v>25</v>
      </c>
    </row>
    <row r="13">
      <c r="A13" s="1" t="s">
        <v>461</v>
      </c>
      <c r="B13" s="1">
        <v>1.0</v>
      </c>
      <c r="C13" s="1" t="str">
        <f t="array" ref="C13">IF(NOT(ISBLANK($A13)), (_xlfn.XLOOKUP($A13,Index!$B$2:$B$995,Index!$C$2:$C$995,"Not Found")),"")</f>
        <v>Energy</v>
      </c>
      <c r="D13" s="1" t="str">
        <f t="array" ref="D13">IF(NOT(ISBLANK(A13)), (_xlfn.XLOOKUP($A13,Index!$B$2:B$995,Index!$A$2:$A$995,"Not Found")),"")</f>
        <v>base1-96</v>
      </c>
      <c r="E13" s="3" t="str">
        <f t="array" ref="E13">IF(NOT(ISBLANK($A13)), (_xlfn.XLOOKUP($A13,Index!$B$2:$B$995,Index!$D$2:$D$995,"Not Found")),"")</f>
        <v/>
      </c>
      <c r="F13" s="1" t="str">
        <f t="array" ref="F13">IF(NOT(ISBLANK($A13)), (_xlfn.XLOOKUP($A13,Index!$B$2:$B$995,Index!$E$2:$E$995,"Not Found")),"")</f>
        <v/>
      </c>
      <c r="G13" s="1">
        <f t="array" ref="G13">IF(NOT(ISBLANK(A13)), ((_xlfn.XLOOKUP(A13,Index!$B$2:$B$995,Index!$F$2:$F$995,"Not Found"))*B13),"")</f>
        <v>0</v>
      </c>
    </row>
    <row r="14">
      <c r="A14" s="1" t="s">
        <v>1034</v>
      </c>
      <c r="B14" s="1">
        <v>1.0</v>
      </c>
      <c r="C14" s="1" t="str">
        <f t="array" ref="C14">IF(NOT(ISBLANK($A14)), (_xlfn.XLOOKUP($A14,Index!$B$2:$B$995,Index!$C$2:$C$995,"Not Found")),"")</f>
        <v>Energy</v>
      </c>
      <c r="D14" s="1" t="str">
        <f t="array" ref="D14">IF(NOT(ISBLANK(A14)), (_xlfn.XLOOKUP($A14,Index!$B$2:B$995,Index!$A$2:$A$995,"Not Found")),"")</f>
        <v>base5-82</v>
      </c>
      <c r="E14" s="3" t="str">
        <f t="array" ref="E14">IF(NOT(ISBLANK($A14)), (_xlfn.XLOOKUP($A14,Index!$B$2:$B$995,Index!$D$2:$D$995,"Not Found")),"")</f>
        <v/>
      </c>
      <c r="F14" s="1" t="str">
        <f t="array" ref="F14">IF(NOT(ISBLANK($A14)), (_xlfn.XLOOKUP($A14,Index!$B$2:$B$995,Index!$E$2:$E$995,"Not Found")),"")</f>
        <v/>
      </c>
      <c r="G14" s="1">
        <f t="array" ref="G14">IF(NOT(ISBLANK(A14)), ((_xlfn.XLOOKUP(A14,Index!$B$2:$B$995,Index!$F$2:$F$995,"Not Found"))*B14),"")</f>
        <v>0</v>
      </c>
    </row>
    <row r="15">
      <c r="A15" s="1" t="s">
        <v>1032</v>
      </c>
      <c r="B15" s="1">
        <v>1.0</v>
      </c>
      <c r="C15" s="1" t="str">
        <f t="array" ref="C15">IF(NOT(ISBLANK($A15)), (_xlfn.XLOOKUP($A15,Index!$B$2:$B$995,Index!$C$2:$C$995,"Not Found")),"")</f>
        <v>Energy</v>
      </c>
      <c r="D15" s="1" t="str">
        <f t="array" ref="D15">IF(NOT(ISBLANK(A15)), (_xlfn.XLOOKUP($A15,Index!$B$2:B$995,Index!$A$2:$A$995,"Not Found")),"")</f>
        <v>base5-81</v>
      </c>
      <c r="E15" s="3" t="str">
        <f t="array" ref="E15">IF(NOT(ISBLANK($A15)), (_xlfn.XLOOKUP($A15,Index!$B$2:$B$995,Index!$D$2:$D$995,"Not Found")),"")</f>
        <v/>
      </c>
      <c r="F15" s="1" t="str">
        <f t="array" ref="F15">IF(NOT(ISBLANK($A15)), (_xlfn.XLOOKUP($A15,Index!$B$2:$B$995,Index!$E$2:$E$995,"Not Found")),"")</f>
        <v/>
      </c>
      <c r="G15" s="1">
        <f t="array" ref="G15">IF(NOT(ISBLANK(A15)), ((_xlfn.XLOOKUP(A15,Index!$B$2:$B$995,Index!$F$2:$F$995,"Not Found"))*B15),"")</f>
        <v>0</v>
      </c>
      <c r="K15" s="1" t="s">
        <v>689</v>
      </c>
    </row>
    <row r="16">
      <c r="A16" s="1" t="s">
        <v>51</v>
      </c>
      <c r="B16" s="1">
        <v>22.0</v>
      </c>
      <c r="C16" s="1" t="str">
        <f t="array" ref="C16">IF(NOT(ISBLANK($A16)), (_xlfn.XLOOKUP($A16,Index!$B$2:$B$995,Index!$C$2:$C$995,"Not Found")),"")</f>
        <v>Energy</v>
      </c>
      <c r="D16" s="1" t="str">
        <f t="array" ref="D16">IF(NOT(ISBLANK(A16)), (_xlfn.XLOOKUP($A16,Index!$B$2:B$995,Index!$A$2:$A$995,"Not Found")),"")</f>
        <v>base1-101</v>
      </c>
      <c r="E16" s="3" t="str">
        <f t="array" ref="E16">IF(NOT(ISBLANK($A16)), (_xlfn.XLOOKUP($A16,Index!$B$2:$B$995,Index!$D$2:$D$995,"Not Found")),"")</f>
        <v/>
      </c>
      <c r="F16" s="1" t="str">
        <f t="array" ref="F16">IF(NOT(ISBLANK($A16)), (_xlfn.XLOOKUP($A16,Index!$B$2:$B$995,Index!$E$2:$E$995,"Not Found")),"")</f>
        <v/>
      </c>
      <c r="G16" s="1">
        <f t="array" ref="G16">IF(NOT(ISBLANK(A16)), ((_xlfn.XLOOKUP(A16,Index!$B$2:$B$995,Index!$F$2:$F$995,"Not Found"))*B16),"")</f>
        <v>0</v>
      </c>
      <c r="K16" s="15" t="str">
        <f t="shared" ref="K16:K20" si="8">K2</f>
        <v>P</v>
      </c>
      <c r="L16" s="1">
        <f t="shared" ref="L16:L19" si="9">IF(NOT(ISBLANK($K2)), SUMIFS($G$2:$G$32, $C$2:$C$32,$K2), "")</f>
        <v>6</v>
      </c>
    </row>
    <row r="17">
      <c r="A17" s="1" t="s">
        <v>37</v>
      </c>
      <c r="B17" s="1">
        <v>1.0</v>
      </c>
      <c r="C17" s="1" t="str">
        <f t="array" ref="C17">IF(NOT(ISBLANK($A17)), (_xlfn.XLOOKUP($A17,Index!$B$2:$B$995,Index!$C$2:$C$995,"Not Found")),"")</f>
        <v>P</v>
      </c>
      <c r="D17" s="1" t="str">
        <f t="array" ref="D17">IF(NOT(ISBLANK(A17)), (_xlfn.XLOOKUP($A17,Index!$B$2:B$995,Index!$A$2:$A$995,"Not Found")),"")</f>
        <v>base1-10</v>
      </c>
      <c r="E17" s="3" t="str">
        <f t="array" ref="E17">IF(NOT(ISBLANK($A17)), (_xlfn.XLOOKUP($A17,Index!$B$2:$B$995,Index!$D$2:$D$995,"Not Found")),"")</f>
        <v>b</v>
      </c>
      <c r="F17" s="1" t="str">
        <f t="array" ref="F17">IF(NOT(ISBLANK($A17)), (_xlfn.XLOOKUP($A17,Index!$B$2:$B$995,Index!$E$2:$E$995,"Not Found")),"")</f>
        <v>n</v>
      </c>
      <c r="G17" s="1">
        <f t="array" ref="G17">IF(NOT(ISBLANK(A17)), ((_xlfn.XLOOKUP(A17,Index!$B$2:$B$995,Index!$F$2:$F$995,"Not Found"))*B17),"")</f>
        <v>0.5</v>
      </c>
      <c r="K17" s="15" t="str">
        <f t="shared" si="8"/>
        <v>C</v>
      </c>
      <c r="L17" s="1">
        <f t="shared" si="9"/>
        <v>2</v>
      </c>
    </row>
    <row r="18">
      <c r="A18" s="1" t="s">
        <v>931</v>
      </c>
      <c r="B18" s="1">
        <v>1.0</v>
      </c>
      <c r="C18" s="1" t="str">
        <f t="array" ref="C18">IF(NOT(ISBLANK($A18)), (_xlfn.XLOOKUP($A18,Index!$B$2:$B$995,Index!$C$2:$C$995,"Not Found")),"")</f>
        <v>C</v>
      </c>
      <c r="D18" s="1" t="str">
        <f t="array" ref="D18">IF(NOT(ISBLANK(A18)), (_xlfn.XLOOKUP($A18,Index!$B$2:B$995,Index!$A$2:$A$995,"Not Found")),"")</f>
        <v>base5-48</v>
      </c>
      <c r="E18" s="3" t="str">
        <f t="array" ref="E18">IF(NOT(ISBLANK($A18)), (_xlfn.XLOOKUP($A18,Index!$B$2:$B$995,Index!$D$2:$D$995,"Not Found")),"")</f>
        <v>b</v>
      </c>
      <c r="F18" s="1" t="str">
        <f t="array" ref="F18">IF(NOT(ISBLANK($A18)), (_xlfn.XLOOKUP($A18,Index!$B$2:$B$995,Index!$E$2:$E$995,"Not Found")),"")</f>
        <v>n</v>
      </c>
      <c r="G18" s="1">
        <f t="array" ref="G18">IF(NOT(ISBLANK(A18)), ((_xlfn.XLOOKUP(A18,Index!$B$2:$B$995,Index!$F$2:$F$995,"Not Found"))*B18),"")</f>
        <v>0</v>
      </c>
      <c r="K18" s="15" t="str">
        <f t="shared" si="8"/>
        <v>W</v>
      </c>
      <c r="L18" s="1">
        <f t="shared" si="9"/>
        <v>3</v>
      </c>
    </row>
    <row r="19">
      <c r="A19" s="1" t="s">
        <v>909</v>
      </c>
      <c r="B19" s="1">
        <v>1.0</v>
      </c>
      <c r="C19" s="1" t="str">
        <f t="array" ref="C19">IF(NOT(ISBLANK($A19)), (_xlfn.XLOOKUP($A19,Index!$B$2:$B$995,Index!$C$2:$C$995,"Not Found")),"")</f>
        <v>T</v>
      </c>
      <c r="D19" s="1" t="str">
        <f t="array" ref="D19">IF(NOT(ISBLANK(A19)), (_xlfn.XLOOKUP($A19,Index!$B$2:B$995,Index!$A$2:$A$995,"Not Found")),"")</f>
        <v>base5-79</v>
      </c>
      <c r="E19" s="3" t="str">
        <f t="array" ref="E19">IF(NOT(ISBLANK($A19)), (_xlfn.XLOOKUP($A19,Index!$B$2:$B$995,Index!$D$2:$D$995,"Not Found")),"")</f>
        <v>c</v>
      </c>
      <c r="F19" s="1" t="str">
        <f t="array" ref="F19">IF(NOT(ISBLANK($A19)), (_xlfn.XLOOKUP($A19,Index!$B$2:$B$995,Index!$E$2:$E$995,"Not Found")),"")</f>
        <v/>
      </c>
      <c r="G19" s="1" t="str">
        <f t="array" ref="G19">IF(NOT(ISBLANK(A19)), ((_xlfn.XLOOKUP(A19,Index!$B$2:$B$995,Index!$F$2:$F$995,"Not Found"))*B19),"")</f>
        <v>#VALUE!</v>
      </c>
      <c r="K19" s="15" t="str">
        <f t="shared" si="8"/>
        <v/>
      </c>
      <c r="L19" s="1" t="str">
        <f t="shared" si="9"/>
        <v/>
      </c>
    </row>
    <row r="20">
      <c r="A20" s="1" t="s">
        <v>444</v>
      </c>
      <c r="B20" s="1">
        <v>2.0</v>
      </c>
      <c r="C20" s="1" t="str">
        <f t="array" ref="C20">IF(NOT(ISBLANK($A20)), (_xlfn.XLOOKUP($A20,Index!$B$2:$B$995,Index!$C$2:$C$995,"Not Found")),"")</f>
        <v>T</v>
      </c>
      <c r="D20" s="1" t="str">
        <f t="array" ref="D20">IF(NOT(ISBLANK(A20)), (_xlfn.XLOOKUP($A20,Index!$B$2:B$995,Index!$A$2:$A$995,"Not Found")),"")</f>
        <v>base1-91</v>
      </c>
      <c r="E20" s="3"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15" t="str">
        <f t="shared" si="8"/>
        <v/>
      </c>
    </row>
    <row r="21">
      <c r="A21" s="1" t="s">
        <v>430</v>
      </c>
      <c r="B21" s="1">
        <v>1.0</v>
      </c>
      <c r="C21" s="1" t="str">
        <f t="array" ref="C21">IF(NOT(ISBLANK($A21)), (_xlfn.XLOOKUP($A21,Index!$B$2:$B$995,Index!$C$2:$C$995,"Not Found")),"")</f>
        <v>T</v>
      </c>
      <c r="D21" s="1" t="str">
        <f t="array" ref="D21">IF(NOT(ISBLANK(A21)), (_xlfn.XLOOKUP($A21,Index!$B$2:B$995,Index!$A$2:$A$995,"Not Found")),"")</f>
        <v>base1-88</v>
      </c>
      <c r="E21" s="3" t="str">
        <f t="array" ref="E21">IF(NOT(ISBLANK($A21)), (_xlfn.XLOOKUP($A21,Index!$B$2:$B$995,Index!$D$2:$D$995,"Not Found")),"")</f>
        <v>u</v>
      </c>
      <c r="F21" s="1" t="str">
        <f t="array" ref="F21">IF(NOT(ISBLANK($A21)), (_xlfn.XLOOKUP($A21,Index!$B$2:$B$995,Index!$E$2:$E$995,"Not Found")),"")</f>
        <v/>
      </c>
      <c r="G21" s="1" t="str">
        <f t="array" ref="G21">IF(NOT(ISBLANK(A21)), ((_xlfn.XLOOKUP(A21,Index!$B$2:$B$995,Index!$F$2:$F$995,"Not Found"))*B21),"")</f>
        <v>#VALUE!</v>
      </c>
      <c r="K21" s="1" t="s">
        <v>860</v>
      </c>
      <c r="L21" s="15">
        <f>SUM(L15:L19)</f>
        <v>11</v>
      </c>
    </row>
    <row r="22">
      <c r="A22" s="1" t="s">
        <v>452</v>
      </c>
      <c r="B22" s="1">
        <v>1.0</v>
      </c>
      <c r="C22" s="1" t="str">
        <f t="array" ref="C22">IF(NOT(ISBLANK($A22)), (_xlfn.XLOOKUP($A22,Index!$B$2:$B$995,Index!$C$2:$C$995,"Not Found")),"")</f>
        <v>T</v>
      </c>
      <c r="D22" s="1" t="str">
        <f t="array" ref="D22">IF(NOT(ISBLANK(A22)), (_xlfn.XLOOKUP($A22,Index!$B$2:B$995,Index!$A$2:$A$995,"Not Found")),"")</f>
        <v>base1-93</v>
      </c>
      <c r="E22" s="3" t="str">
        <f t="array" ref="E22">IF(NOT(ISBLANK($A22)), (_xlfn.XLOOKUP($A22,Index!$B$2:$B$995,Index!$D$2:$D$995,"Not Found")),"")</f>
        <v>c</v>
      </c>
      <c r="F22" s="1" t="str">
        <f t="array" ref="F22">IF(NOT(ISBLANK($A22)), (_xlfn.XLOOKUP($A22,Index!$B$2:$B$995,Index!$E$2:$E$995,"Not Found")),"")</f>
        <v/>
      </c>
      <c r="G22" s="1" t="str">
        <f t="array" ref="G22">IF(NOT(ISBLANK(A22)), ((_xlfn.XLOOKUP(A22,Index!$B$2:$B$995,Index!$F$2:$F$995,"Not Found"))*B22),"")</f>
        <v>#VALUE!</v>
      </c>
    </row>
    <row r="23">
      <c r="A23" s="1" t="s">
        <v>455</v>
      </c>
      <c r="B23" s="1">
        <v>1.0</v>
      </c>
      <c r="C23" s="1" t="str">
        <f t="array" ref="C23">IF(NOT(ISBLANK($A23)), (_xlfn.XLOOKUP($A23,Index!$B$2:$B$995,Index!$C$2:$C$995,"Not Found")),"")</f>
        <v>T</v>
      </c>
      <c r="D23" s="1" t="str">
        <f t="array" ref="D23">IF(NOT(ISBLANK(A23)), (_xlfn.XLOOKUP($A23,Index!$B$2:B$995,Index!$A$2:$A$995,"Not Found")),"")</f>
        <v>base1-94</v>
      </c>
      <c r="E23" s="3" t="str">
        <f t="array" ref="E23">IF(NOT(ISBLANK($A23)), (_xlfn.XLOOKUP($A23,Index!$B$2:$B$995,Index!$D$2:$D$995,"Not Found")),"")</f>
        <v>c</v>
      </c>
      <c r="F23" s="1" t="str">
        <f t="array" ref="F23">IF(NOT(ISBLANK($A23)), (_xlfn.XLOOKUP($A23,Index!$B$2:$B$995,Index!$E$2:$E$995,"Not Found")),"")</f>
        <v/>
      </c>
      <c r="G23" s="1" t="str">
        <f t="array" ref="G23">IF(NOT(ISBLANK(A23)), ((_xlfn.XLOOKUP(A23,Index!$B$2:$B$995,Index!$F$2:$F$995,"Not Found"))*B23),"")</f>
        <v>#VALUE!</v>
      </c>
    </row>
    <row r="24">
      <c r="A24" s="1" t="s">
        <v>385</v>
      </c>
      <c r="B24" s="1">
        <v>1.0</v>
      </c>
      <c r="C24" s="1" t="str">
        <f t="array" ref="C24">IF(NOT(ISBLANK($A24)), (_xlfn.XLOOKUP($A24,Index!$B$2:$B$995,Index!$C$2:$C$995,"Not Found")),"")</f>
        <v>T</v>
      </c>
      <c r="D24" s="1" t="str">
        <f t="array" ref="D24">IF(NOT(ISBLANK(A24)), (_xlfn.XLOOKUP($A24,Index!$B$2:B$995,Index!$A$2:$A$995,"Not Found")),"")</f>
        <v>base1-74</v>
      </c>
      <c r="E24" s="3" t="str">
        <f t="array" ref="E24">IF(NOT(ISBLANK($A24)), (_xlfn.XLOOKUP($A24,Index!$B$2:$B$995,Index!$D$2:$D$995,"Not Found")),"")</f>
        <v>r</v>
      </c>
      <c r="F24" s="1" t="str">
        <f t="array" ref="F24">IF(NOT(ISBLANK($A24)), (_xlfn.XLOOKUP($A24,Index!$B$2:$B$995,Index!$E$2:$E$995,"Not Found")),"")</f>
        <v/>
      </c>
      <c r="G24" s="1" t="str">
        <f t="array" ref="G24">IF(NOT(ISBLANK(A24)), ((_xlfn.XLOOKUP(A24,Index!$B$2:$B$995,Index!$F$2:$F$995,"Not Found"))*B24),"")</f>
        <v>#VALUE!</v>
      </c>
      <c r="K24" s="1" t="s">
        <v>935</v>
      </c>
      <c r="L24" s="1" t="s">
        <v>103</v>
      </c>
    </row>
    <row r="25">
      <c r="A25" s="1" t="s">
        <v>420</v>
      </c>
      <c r="B25" s="1">
        <v>1.0</v>
      </c>
      <c r="C25" s="1" t="str">
        <f t="array" ref="C25">IF(NOT(ISBLANK($A25)), (_xlfn.XLOOKUP($A25,Index!$B$2:$B$995,Index!$C$2:$C$995,"Not Found")),"")</f>
        <v>T</v>
      </c>
      <c r="D25" s="1" t="str">
        <f t="array" ref="D25">IF(NOT(ISBLANK(A25)), (_xlfn.XLOOKUP($A25,Index!$B$2:B$995,Index!$A$2:$A$995,"Not Found")),"")</f>
        <v>base1-84</v>
      </c>
      <c r="E25" s="3" t="str">
        <f t="array" ref="E25">IF(NOT(ISBLANK($A25)), (_xlfn.XLOOKUP($A25,Index!$B$2:$B$995,Index!$D$2:$D$995,"Not Found")),"")</f>
        <v>u</v>
      </c>
      <c r="F25" s="1" t="str">
        <f t="array" ref="F25">IF(NOT(ISBLANK($A25)), (_xlfn.XLOOKUP($A25,Index!$B$2:$B$995,Index!$E$2:$E$995,"Not Found")),"")</f>
        <v/>
      </c>
      <c r="G25" s="1" t="str">
        <f t="array" ref="G25">IF(NOT(ISBLANK(A25)), ((_xlfn.XLOOKUP(A25,Index!$B$2:$B$995,Index!$F$2:$F$995,"Not Found"))*B25),"")</f>
        <v>#VALUE!</v>
      </c>
    </row>
    <row r="26">
      <c r="A26" s="1" t="s">
        <v>406</v>
      </c>
      <c r="B26" s="1">
        <v>1.0</v>
      </c>
      <c r="C26" s="1" t="str">
        <f t="array" ref="C26">IF(NOT(ISBLANK($A26)), (_xlfn.XLOOKUP($A26,Index!$B$2:$B$995,Index!$C$2:$C$995,"Not Found")),"")</f>
        <v>T</v>
      </c>
      <c r="D26" s="1" t="str">
        <f t="array" ref="D26">IF(NOT(ISBLANK(A26)), (_xlfn.XLOOKUP($A26,Index!$B$2:B$995,Index!$A$2:$A$995,"Not Found")),"")</f>
        <v>base1-80</v>
      </c>
      <c r="E26" s="3" t="str">
        <f t="array" ref="E26">IF(NOT(ISBLANK($A26)), (_xlfn.XLOOKUP($A26,Index!$B$2:$B$995,Index!$D$2:$D$995,"Not Found")),"")</f>
        <v>u</v>
      </c>
      <c r="F26" s="1" t="str">
        <f t="array" ref="F26">IF(NOT(ISBLANK($A26)), (_xlfn.XLOOKUP($A26,Index!$B$2:$B$995,Index!$E$2:$E$995,"Not Found")),"")</f>
        <v/>
      </c>
      <c r="G26" s="1" t="str">
        <f t="array" ref="G26">IF(NOT(ISBLANK(A26)), ((_xlfn.XLOOKUP(A26,Index!$B$2:$B$995,Index!$F$2:$F$995,"Not Found"))*B26),"")</f>
        <v>#VALUE!</v>
      </c>
    </row>
    <row r="27">
      <c r="A27" s="1" t="s">
        <v>1023</v>
      </c>
      <c r="B27" s="1">
        <v>1.0</v>
      </c>
      <c r="C27" s="1" t="str">
        <f t="array" ref="C27">IF(NOT(ISBLANK($A27)), (_xlfn.XLOOKUP($A27,Index!$B$2:$B$995,Index!$C$2:$C$995,"Not Found")),"")</f>
        <v>T</v>
      </c>
      <c r="D27" s="1" t="str">
        <f t="array" ref="D27">IF(NOT(ISBLANK(A27)), (_xlfn.XLOOKUP($A27,Index!$B$2:B$995,Index!$A$2:$A$995,"Not Found")),"")</f>
        <v>base5-78</v>
      </c>
      <c r="E27" s="3" t="str">
        <f t="array" ref="E27">IF(NOT(ISBLANK($A27)), (_xlfn.XLOOKUP($A27,Index!$B$2:$B$995,Index!$D$2:$D$995,"Not Found")),"")</f>
        <v>c</v>
      </c>
      <c r="F27" s="1" t="str">
        <f t="array" ref="F27">IF(NOT(ISBLANK($A27)), (_xlfn.XLOOKUP($A27,Index!$B$2:$B$995,Index!$E$2:$E$995,"Not Found")),"")</f>
        <v/>
      </c>
      <c r="G27" s="1" t="str">
        <f t="array" ref="G27">IF(NOT(ISBLANK(A27)), ((_xlfn.XLOOKUP(A27,Index!$B$2:$B$995,Index!$F$2:$F$995,"Not Found"))*B27),"")</f>
        <v>#VALUE!</v>
      </c>
    </row>
    <row r="28">
      <c r="C28" s="1" t="str">
        <f t="array" ref="C28">IF(NOT(ISBLANK($A28)), (_xlfn.XLOOKUP($A28,Index!$B$2:$B$995,Index!$C$2:$C$995,"Not Found")),"")</f>
        <v/>
      </c>
      <c r="D28" s="1" t="str">
        <f t="array" ref="D28">IF(NOT(ISBLANK(A28)), (_xlfn.XLOOKUP($A28,Index!$B$2:B$995,Index!$A$2:$A$995,"Not Found")),"")</f>
        <v/>
      </c>
      <c r="E28" s="3"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3"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3"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3"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3"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3"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3"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3"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3"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3"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3"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3"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3"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3"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3"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3"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3"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3"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3"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3"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3"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3"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3"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3"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3"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3"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3"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3"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3"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3"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3"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3"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3"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3"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3"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3"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3"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3"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3"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3"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3"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3"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3"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3"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3"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3"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3"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3"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3"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3"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11"/>
    </row>
    <row r="79">
      <c r="E79" s="11"/>
    </row>
    <row r="80">
      <c r="E80" s="11"/>
    </row>
    <row r="81">
      <c r="E81" s="11"/>
    </row>
    <row r="82">
      <c r="E82" s="11"/>
    </row>
    <row r="83">
      <c r="E83" s="11"/>
    </row>
    <row r="84">
      <c r="E84" s="11"/>
    </row>
    <row r="85">
      <c r="E85" s="11"/>
    </row>
    <row r="86">
      <c r="E86" s="11"/>
    </row>
    <row r="87">
      <c r="E87" s="11"/>
    </row>
    <row r="88">
      <c r="E88" s="11"/>
    </row>
    <row r="89">
      <c r="E89" s="11"/>
    </row>
    <row r="90">
      <c r="E90" s="11"/>
    </row>
    <row r="91">
      <c r="E91" s="11"/>
    </row>
    <row r="92">
      <c r="E92" s="11"/>
    </row>
    <row r="93">
      <c r="E93" s="11"/>
    </row>
    <row r="94">
      <c r="E94" s="11"/>
    </row>
    <row r="95">
      <c r="E95" s="11"/>
    </row>
    <row r="96">
      <c r="E96" s="11"/>
    </row>
    <row r="97">
      <c r="E97" s="11"/>
    </row>
    <row r="98">
      <c r="E98" s="11"/>
    </row>
    <row r="99">
      <c r="E99" s="11"/>
    </row>
    <row r="100">
      <c r="E100" s="11"/>
    </row>
    <row r="101">
      <c r="E101" s="11"/>
    </row>
    <row r="102">
      <c r="E102" s="11"/>
    </row>
    <row r="103">
      <c r="E103" s="11"/>
    </row>
    <row r="104">
      <c r="E104" s="11"/>
    </row>
    <row r="105">
      <c r="E105" s="11"/>
    </row>
    <row r="106">
      <c r="E106" s="11"/>
    </row>
    <row r="107">
      <c r="E107" s="11"/>
    </row>
    <row r="108">
      <c r="E108" s="11"/>
    </row>
    <row r="109">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3" t="s">
        <v>5</v>
      </c>
      <c r="F1" s="1" t="s">
        <v>7</v>
      </c>
      <c r="G1" s="1" t="s">
        <v>11</v>
      </c>
      <c r="I1" s="1" t="s">
        <v>12</v>
      </c>
      <c r="K1" s="1" t="s">
        <v>3</v>
      </c>
      <c r="L1" s="1" t="s">
        <v>14</v>
      </c>
      <c r="M1" s="1" t="s">
        <v>17</v>
      </c>
      <c r="N1" s="1" t="s">
        <v>19</v>
      </c>
      <c r="O1" s="1" t="s">
        <v>21</v>
      </c>
      <c r="P1" s="1" t="s">
        <v>22</v>
      </c>
      <c r="Q1" s="1" t="s">
        <v>23</v>
      </c>
    </row>
    <row r="2">
      <c r="A2" s="1" t="s">
        <v>467</v>
      </c>
      <c r="B2" s="1">
        <v>21.0</v>
      </c>
      <c r="C2" s="1" t="str">
        <f t="array" ref="C2">IF(NOT(ISBLANK($A2)), (_xlfn.XLOOKUP($A2,Index!$B$2:$B$995,Index!$C$2:$C$995,"Not Found")),"")</f>
        <v>Energy</v>
      </c>
      <c r="D2" s="1" t="str">
        <f t="array" ref="D2">IF(NOT(ISBLANK(A2)), (_xlfn.XLOOKUP($A2,Index!$B$2:B$995,Index!$A$2:$A$995,"Not Found")),"")</f>
        <v>base1-99</v>
      </c>
      <c r="E2" s="3" t="str">
        <f t="array" ref="E2">IF(NOT(ISBLANK($A2)), (_xlfn.XLOOKUP($A2,Index!$B$2:$B$995,Index!$D$2:$D$995,"Not Found")),"")</f>
        <v/>
      </c>
      <c r="F2" s="1" t="str">
        <f t="array" ref="F2">IF(NOT(ISBLANK($A2)), (_xlfn.XLOOKUP($A2,Index!$B$2:$B$995,Index!$E$2:$E$995,"Not Found")),"")</f>
        <v/>
      </c>
      <c r="G2" s="1">
        <f t="array" ref="G2">IF(NOT(ISBLANK(A2)), ((_xlfn.XLOOKUP(A2,Index!$B$2:$B$995,Index!$F$2:$F$995,"Not Found"))*B2),"")</f>
        <v>0</v>
      </c>
      <c r="I2" s="15">
        <f>SUM(B2:B38)</f>
        <v>60</v>
      </c>
      <c r="K2" s="1" t="s">
        <v>59</v>
      </c>
      <c r="L2" s="15">
        <f t="shared" ref="L2:L6" si="1">IF(NOT(ISBLANK(K2)), SUM(M2:P2), "")</f>
        <v>21</v>
      </c>
      <c r="M2" s="1">
        <f t="shared" ref="M2:M5" si="2">IF(NOT(ISBLANK($K2)), SUMIFS($B$2:$B$32, $E$2:$E$32, "B", $C$2:$C$32,$K2), "")</f>
        <v>12</v>
      </c>
      <c r="N2" s="1">
        <f t="shared" ref="N2:N5" si="3">IF(NOT(ISBLANK($K2)),SUMIFS($B$2:$B$32,$E$2:$E$32, "1", $C$2:$C$32,$K2,$F$2:$F$32,"N"), "")</f>
        <v>4</v>
      </c>
      <c r="O2" s="1">
        <f t="shared" ref="O2:O5" si="4">IF(NOT(ISBLANK($K2)),SUMIFS($B$2:$B$32,$E$2:$E$32, "1", $C$2:$C$32,$K2,$F$2:$F$32,"Y"), "")</f>
        <v>3</v>
      </c>
      <c r="P2" s="1">
        <f t="shared" ref="P2:P5" si="5">IF(NOT(ISBLANK($K2)),SUMIFS($B$2:$B$32,$E$2:$E$32, "2", $C$2:$C$32,$K2), "")</f>
        <v>2</v>
      </c>
      <c r="Q2" s="1">
        <f t="shared" ref="Q2:Q5" si="6">IF(NOT(ISBLANK($K2)),SUMIFS($B$2:$B$32,$E$2:$E$32, "B", $C$2:$C$32,$K2,$F$2:$F$32,"N"), "")</f>
        <v>2</v>
      </c>
    </row>
    <row r="3">
      <c r="A3" s="1" t="s">
        <v>978</v>
      </c>
      <c r="B3" s="1">
        <v>4.0</v>
      </c>
      <c r="C3" s="1" t="str">
        <f t="array" ref="C3">IF(NOT(ISBLANK($A3)), (_xlfn.XLOOKUP($A3,Index!$B$2:$B$995,Index!$C$2:$C$995,"Not Found")),"")</f>
        <v>G</v>
      </c>
      <c r="D3" s="1" t="str">
        <f t="array" ref="D3">IF(NOT(ISBLANK(A3)), (_xlfn.XLOOKUP($A3,Index!$B$2:B$995,Index!$A$2:$A$995,"Not Found")),"")</f>
        <v>base5-63</v>
      </c>
      <c r="E3" s="3" t="str">
        <f t="array" ref="E3">IF(NOT(ISBLANK($A3)), (_xlfn.XLOOKUP($A3,Index!$B$2:$B$995,Index!$D$2:$D$995,"Not Found")),"")</f>
        <v>b</v>
      </c>
      <c r="F3" s="1" t="str">
        <f t="array" ref="F3">IF(NOT(ISBLANK($A3)), (_xlfn.XLOOKUP($A3,Index!$B$2:$B$995,Index!$E$2:$E$995,"Not Found")),"")</f>
        <v>y</v>
      </c>
      <c r="G3" s="1">
        <f t="array" ref="G3">IF(NOT(ISBLANK(A3)), ((_xlfn.XLOOKUP(A3,Index!$B$2:$B$995,Index!$F$2:$F$995,"Not Found"))*B3),"")</f>
        <v>0</v>
      </c>
      <c r="K3" s="1" t="s">
        <v>128</v>
      </c>
      <c r="L3" s="15">
        <f t="shared" si="1"/>
        <v>0</v>
      </c>
      <c r="M3" s="1">
        <f t="shared" si="2"/>
        <v>0</v>
      </c>
      <c r="N3" s="1">
        <f t="shared" si="3"/>
        <v>0</v>
      </c>
      <c r="O3" s="1">
        <f t="shared" si="4"/>
        <v>0</v>
      </c>
      <c r="P3" s="1">
        <f t="shared" si="5"/>
        <v>0</v>
      </c>
      <c r="Q3" s="1">
        <f t="shared" si="6"/>
        <v>0</v>
      </c>
    </row>
    <row r="4">
      <c r="A4" s="1" t="s">
        <v>893</v>
      </c>
      <c r="B4" s="1">
        <v>3.0</v>
      </c>
      <c r="C4" s="1" t="str">
        <f t="array" ref="C4">IF(NOT(ISBLANK($A4)), (_xlfn.XLOOKUP($A4,Index!$B$2:$B$995,Index!$C$2:$C$995,"Not Found")),"")</f>
        <v>G</v>
      </c>
      <c r="D4" s="1" t="str">
        <f t="array" ref="D4">IF(NOT(ISBLANK(A4)), (_xlfn.XLOOKUP($A4,Index!$B$2:B$995,Index!$A$2:$A$995,"Not Found")),"")</f>
        <v>base5-36</v>
      </c>
      <c r="E4" s="3">
        <f t="array" ref="E4">IF(NOT(ISBLANK($A4)), (_xlfn.XLOOKUP($A4,Index!$B$2:$B$995,Index!$D$2:$D$995,"Not Found")),"")</f>
        <v>1</v>
      </c>
      <c r="F4" s="1" t="str">
        <f t="array" ref="F4">IF(NOT(ISBLANK($A4)), (_xlfn.XLOOKUP($A4,Index!$B$2:$B$995,Index!$E$2:$E$995,"Not Found")),"")</f>
        <v>y</v>
      </c>
      <c r="G4" s="1">
        <f t="array" ref="G4">IF(NOT(ISBLANK(A4)), ((_xlfn.XLOOKUP(A4,Index!$B$2:$B$995,Index!$F$2:$F$995,"Not Found"))*B4),"")</f>
        <v>0</v>
      </c>
      <c r="L4" s="15" t="str">
        <f t="shared" si="1"/>
        <v/>
      </c>
      <c r="M4" s="1" t="str">
        <f t="shared" si="2"/>
        <v/>
      </c>
      <c r="N4" s="1" t="str">
        <f t="shared" si="3"/>
        <v/>
      </c>
      <c r="O4" s="1" t="str">
        <f t="shared" si="4"/>
        <v/>
      </c>
      <c r="P4" s="1" t="str">
        <f t="shared" si="5"/>
        <v/>
      </c>
      <c r="Q4" s="1" t="str">
        <f t="shared" si="6"/>
        <v/>
      </c>
    </row>
    <row r="5">
      <c r="A5" s="1" t="s">
        <v>120</v>
      </c>
      <c r="B5" s="1">
        <v>2.0</v>
      </c>
      <c r="C5" s="1" t="str">
        <f t="array" ref="C5">IF(NOT(ISBLANK($A5)), (_xlfn.XLOOKUP($A5,Index!$B$2:$B$995,Index!$C$2:$C$995,"Not Found")),"")</f>
        <v>G</v>
      </c>
      <c r="D5" s="1" t="str">
        <f t="array" ref="D5">IF(NOT(ISBLANK(A5)), (_xlfn.XLOOKUP($A5,Index!$B$2:B$995,Index!$A$2:$A$995,"Not Found")),"")</f>
        <v>base5-13</v>
      </c>
      <c r="E5" s="3">
        <f t="array" ref="E5">IF(NOT(ISBLANK($A5)), (_xlfn.XLOOKUP($A5,Index!$B$2:$B$995,Index!$D$2:$D$995,"Not Found")),"")</f>
        <v>2</v>
      </c>
      <c r="F5" s="1" t="str">
        <f t="array" ref="F5">IF(NOT(ISBLANK($A5)), (_xlfn.XLOOKUP($A5,Index!$B$2:$B$995,Index!$E$2:$E$995,"Not Found")),"")</f>
        <v/>
      </c>
      <c r="G5" s="1">
        <f t="array" ref="G5">IF(NOT(ISBLANK(A5)), ((_xlfn.XLOOKUP(A5,Index!$B$2:$B$995,Index!$F$2:$F$995,"Not Found"))*B5),"")</f>
        <v>4</v>
      </c>
      <c r="L5" s="15" t="str">
        <f t="shared" si="1"/>
        <v/>
      </c>
      <c r="M5" s="1" t="str">
        <f t="shared" si="2"/>
        <v/>
      </c>
      <c r="N5" s="1" t="str">
        <f t="shared" si="3"/>
        <v/>
      </c>
      <c r="O5" s="1" t="str">
        <f t="shared" si="4"/>
        <v/>
      </c>
      <c r="P5" s="1" t="str">
        <f t="shared" si="5"/>
        <v/>
      </c>
      <c r="Q5" s="1" t="str">
        <f t="shared" si="6"/>
        <v/>
      </c>
    </row>
    <row r="6">
      <c r="A6" s="1" t="s">
        <v>959</v>
      </c>
      <c r="B6" s="1">
        <v>3.0</v>
      </c>
      <c r="C6" s="1" t="str">
        <f t="array" ref="C6">IF(NOT(ISBLANK($A6)), (_xlfn.XLOOKUP($A6,Index!$B$2:$B$995,Index!$C$2:$C$995,"Not Found")),"")</f>
        <v>G</v>
      </c>
      <c r="D6" s="1" t="str">
        <f t="array" ref="D6">IF(NOT(ISBLANK(A6)), (_xlfn.XLOOKUP($A6,Index!$B$2:B$995,Index!$A$2:$A$995,"Not Found")),"")</f>
        <v>base5-57</v>
      </c>
      <c r="E6" s="3" t="str">
        <f t="array" ref="E6">IF(NOT(ISBLANK($A6)), (_xlfn.XLOOKUP($A6,Index!$B$2:$B$995,Index!$D$2:$D$995,"Not Found")),"")</f>
        <v>b</v>
      </c>
      <c r="F6" s="1" t="str">
        <f t="array" ref="F6">IF(NOT(ISBLANK($A6)), (_xlfn.XLOOKUP($A6,Index!$B$2:$B$995,Index!$E$2:$E$995,"Not Found")),"")</f>
        <v>y</v>
      </c>
      <c r="G6" s="1">
        <f t="array" ref="G6">IF(NOT(ISBLANK(A6)), ((_xlfn.XLOOKUP(A6,Index!$B$2:$B$995,Index!$F$2:$F$995,"Not Found"))*B6),"")</f>
        <v>0</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911</v>
      </c>
      <c r="B7" s="1">
        <v>2.0</v>
      </c>
      <c r="C7" s="1" t="str">
        <f t="array" ref="C7">IF(NOT(ISBLANK($A7)), (_xlfn.XLOOKUP($A7,Index!$B$2:$B$995,Index!$C$2:$C$995,"Not Found")),"")</f>
        <v>G</v>
      </c>
      <c r="D7" s="1" t="str">
        <f t="array" ref="D7">IF(NOT(ISBLANK(A7)), (_xlfn.XLOOKUP($A7,Index!$B$2:B$995,Index!$A$2:$A$995,"Not Found")),"")</f>
        <v>base5-41</v>
      </c>
      <c r="E7" s="3">
        <f t="array" ref="E7">IF(NOT(ISBLANK($A7)), (_xlfn.XLOOKUP($A7,Index!$B$2:$B$995,Index!$D$2:$D$995,"Not Found")),"")</f>
        <v>1</v>
      </c>
      <c r="F7" s="1" t="str">
        <f t="array" ref="F7">IF(NOT(ISBLANK($A7)), (_xlfn.XLOOKUP($A7,Index!$B$2:$B$995,Index!$E$2:$E$995,"Not Found")),"")</f>
        <v>n</v>
      </c>
      <c r="G7" s="1">
        <f t="array" ref="G7">IF(NOT(ISBLANK(A7)), ((_xlfn.XLOOKUP(A7,Index!$B$2:$B$995,Index!$F$2:$F$995,"Not Found"))*B7),"")</f>
        <v>3</v>
      </c>
      <c r="K7" s="1" t="s">
        <v>435</v>
      </c>
      <c r="L7" s="15">
        <f t="shared" ref="L7:Q7" si="7">SUM(L2:L6)</f>
        <v>21</v>
      </c>
      <c r="M7" s="15">
        <f t="shared" si="7"/>
        <v>12</v>
      </c>
      <c r="N7" s="15">
        <f t="shared" si="7"/>
        <v>4</v>
      </c>
      <c r="O7" s="15">
        <f t="shared" si="7"/>
        <v>3</v>
      </c>
      <c r="P7" s="15">
        <f t="shared" si="7"/>
        <v>2</v>
      </c>
      <c r="Q7" s="15">
        <f t="shared" si="7"/>
        <v>2</v>
      </c>
    </row>
    <row r="8">
      <c r="A8" s="1" t="s">
        <v>962</v>
      </c>
      <c r="B8" s="1">
        <v>3.0</v>
      </c>
      <c r="C8" s="1" t="str">
        <f t="array" ref="C8">IF(NOT(ISBLANK($A8)), (_xlfn.XLOOKUP($A8,Index!$B$2:$B$995,Index!$C$2:$C$995,"Not Found")),"")</f>
        <v>G</v>
      </c>
      <c r="D8" s="1" t="str">
        <f t="array" ref="D8">IF(NOT(ISBLANK(A8)), (_xlfn.XLOOKUP($A8,Index!$B$2:B$995,Index!$A$2:$A$995,"Not Found")),"")</f>
        <v>base5-58</v>
      </c>
      <c r="E8" s="3" t="str">
        <f t="array" ref="E8">IF(NOT(ISBLANK($A8)), (_xlfn.XLOOKUP($A8,Index!$B$2:$B$995,Index!$D$2:$D$995,"Not Found")),"")</f>
        <v>b</v>
      </c>
      <c r="F8" s="1" t="str">
        <f t="array" ref="F8">IF(NOT(ISBLANK($A8)), (_xlfn.XLOOKUP($A8,Index!$B$2:$B$995,Index!$E$2:$E$995,"Not Found")),"")</f>
        <v>y</v>
      </c>
      <c r="G8" s="1">
        <f t="array" ref="G8">IF(NOT(ISBLANK(A8)), ((_xlfn.XLOOKUP(A8,Index!$B$2:$B$995,Index!$F$2:$F$995,"Not Found"))*B8),"")</f>
        <v>0</v>
      </c>
    </row>
    <row r="9">
      <c r="A9" s="1" t="s">
        <v>880</v>
      </c>
      <c r="B9" s="1">
        <v>1.0</v>
      </c>
      <c r="C9" s="1" t="str">
        <f t="array" ref="C9">IF(NOT(ISBLANK($A9)), (_xlfn.XLOOKUP($A9,Index!$B$2:$B$995,Index!$C$2:$C$995,"Not Found")),"")</f>
        <v>G</v>
      </c>
      <c r="D9" s="1" t="str">
        <f t="array" ref="D9">IF(NOT(ISBLANK(A9)), (_xlfn.XLOOKUP($A9,Index!$B$2:B$995,Index!$A$2:$A$995,"Not Found")),"")</f>
        <v>base5-31</v>
      </c>
      <c r="E9" s="3">
        <f t="array" ref="E9">IF(NOT(ISBLANK($A9)), (_xlfn.XLOOKUP($A9,Index!$B$2:$B$995,Index!$D$2:$D$995,"Not Found")),"")</f>
        <v>1</v>
      </c>
      <c r="F9" s="1" t="str">
        <f t="array" ref="F9">IF(NOT(ISBLANK($A9)), (_xlfn.XLOOKUP($A9,Index!$B$2:$B$995,Index!$E$2:$E$995,"Not Found")),"")</f>
        <v>n</v>
      </c>
      <c r="G9" s="1">
        <f t="array" ref="G9">IF(NOT(ISBLANK(A9)), ((_xlfn.XLOOKUP(A9,Index!$B$2:$B$995,Index!$F$2:$F$995,"Not Found"))*B9),"")</f>
        <v>2</v>
      </c>
      <c r="M9" s="1" t="s">
        <v>508</v>
      </c>
      <c r="N9" s="1" t="s">
        <v>509</v>
      </c>
      <c r="O9" s="1" t="s">
        <v>510</v>
      </c>
    </row>
    <row r="10">
      <c r="A10" s="1" t="s">
        <v>831</v>
      </c>
      <c r="B10" s="1">
        <v>1.0</v>
      </c>
      <c r="C10" s="1" t="str">
        <f t="array" ref="C10">IF(NOT(ISBLANK($A10)), (_xlfn.XLOOKUP($A10,Index!$B$2:$B$995,Index!$C$2:$C$995,"Not Found")),"")</f>
        <v>G</v>
      </c>
      <c r="D10" s="1" t="str">
        <f t="array" ref="D10">IF(NOT(ISBLANK(A10)), (_xlfn.XLOOKUP($A10,Index!$B$2:B$995,Index!$A$2:$A$995,"Not Found")),"")</f>
        <v>base5-14</v>
      </c>
      <c r="E10" s="3">
        <f t="array" ref="E10">IF(NOT(ISBLANK($A10)), (_xlfn.XLOOKUP($A10,Index!$B$2:$B$995,Index!$D$2:$D$995,"Not Found")),"")</f>
        <v>1</v>
      </c>
      <c r="F10" s="1" t="str">
        <f t="array" ref="F10">IF(NOT(ISBLANK($A10)), (_xlfn.XLOOKUP($A10,Index!$B$2:$B$995,Index!$E$2:$E$995,"Not Found")),"")</f>
        <v>n</v>
      </c>
      <c r="G10" s="1">
        <f t="array" ref="G10">IF(NOT(ISBLANK(A10)), ((_xlfn.XLOOKUP(A10,Index!$B$2:$B$995,Index!$F$2:$F$995,"Not Found"))*B10),"")</f>
        <v>2</v>
      </c>
      <c r="K10" s="1" t="s">
        <v>533</v>
      </c>
      <c r="L10" s="15">
        <f>SUM(M10:P10)</f>
        <v>15</v>
      </c>
      <c r="M10" s="15">
        <f>IF(NOT(ISBLANK($K10)), SUMIFS($B$2:$B$32,$E$2:$E$32, "C", $C$2:$C$32,"T"), "")</f>
        <v>8</v>
      </c>
      <c r="N10" s="15">
        <f>IF(NOT(ISBLANK($K10)), SUMIFS($B$2:$B$32,$E$2:$E$32, "U", $C$2:$C$32,"T"), "")</f>
        <v>6</v>
      </c>
      <c r="O10" s="15">
        <f>IF(NOT(ISBLANK($K$2)), SUMIFS($B$2:$B$32,$E$2:$E$32, "R", $C$2:$C$32,"T"), "")</f>
        <v>1</v>
      </c>
    </row>
    <row r="11">
      <c r="A11" s="1" t="s">
        <v>519</v>
      </c>
      <c r="B11" s="1">
        <v>1.0</v>
      </c>
      <c r="C11" s="1" t="str">
        <f t="array" ref="C11">IF(NOT(ISBLANK($A11)), (_xlfn.XLOOKUP($A11,Index!$B$2:$B$995,Index!$C$2:$C$995,"Not Found")),"")</f>
        <v>G</v>
      </c>
      <c r="D11" s="1" t="str">
        <f t="array" ref="D11">IF(NOT(ISBLANK(A11)), (_xlfn.XLOOKUP($A11,Index!$B$2:B$995,Index!$A$2:$A$995,"Not Found")),"")</f>
        <v>base2-25</v>
      </c>
      <c r="E11" s="3" t="str">
        <f t="array" ref="E11">IF(NOT(ISBLANK($A11)), (_xlfn.XLOOKUP($A11,Index!$B$2:$B$995,Index!$D$2:$D$995,"Not Found")),"")</f>
        <v>b</v>
      </c>
      <c r="F11" s="1" t="str">
        <f t="array" ref="F11">IF(NOT(ISBLANK($A11)), (_xlfn.XLOOKUP($A11,Index!$B$2:$B$995,Index!$E$2:$E$995,"Not Found")),"")</f>
        <v>n</v>
      </c>
      <c r="G11" s="1">
        <f t="array" ref="G11">IF(NOT(ISBLANK(A11)), ((_xlfn.XLOOKUP(A11,Index!$B$2:$B$995,Index!$F$2:$F$995,"Not Found"))*B11),"")</f>
        <v>1</v>
      </c>
      <c r="K11" s="1" t="s">
        <v>47</v>
      </c>
      <c r="L11" s="1">
        <f>IF(NOT(ISBLANK($K$2)), SUMIFS($B$2:$B$32, $C$2:$C$32,"Energy"), "")</f>
        <v>24</v>
      </c>
    </row>
    <row r="12">
      <c r="A12" s="1" t="s">
        <v>649</v>
      </c>
      <c r="B12" s="1">
        <v>1.0</v>
      </c>
      <c r="C12" s="1" t="str">
        <f t="array" ref="C12">IF(NOT(ISBLANK($A12)), (_xlfn.XLOOKUP($A12,Index!$B$2:$B$995,Index!$C$2:$C$995,"Not Found")),"")</f>
        <v>G</v>
      </c>
      <c r="D12" s="1" t="str">
        <f t="array" ref="D12">IF(NOT(ISBLANK(A12)), (_xlfn.XLOOKUP($A12,Index!$B$2:B$995,Index!$A$2:$A$995,"Not Found")),"")</f>
        <v>base2-9</v>
      </c>
      <c r="E12" s="3" t="str">
        <f t="array" ref="E12">IF(NOT(ISBLANK($A12)), (_xlfn.XLOOKUP($A12,Index!$B$2:$B$995,Index!$D$2:$D$995,"Not Found")),"")</f>
        <v>b</v>
      </c>
      <c r="F12" s="1" t="str">
        <f t="array" ref="F12">IF(NOT(ISBLANK($A12)), (_xlfn.XLOOKUP($A12,Index!$B$2:$B$995,Index!$E$2:$E$995,"Not Found")),"")</f>
        <v>n</v>
      </c>
      <c r="G12" s="1">
        <f t="array" ref="G12">IF(NOT(ISBLANK(A12)), ((_xlfn.XLOOKUP(A12,Index!$B$2:$B$995,Index!$F$2:$F$995,"Not Found"))*B12),"")</f>
        <v>1</v>
      </c>
      <c r="K12" s="1" t="s">
        <v>617</v>
      </c>
      <c r="L12" s="15">
        <f>L7</f>
        <v>21</v>
      </c>
    </row>
    <row r="13">
      <c r="A13" s="1" t="s">
        <v>909</v>
      </c>
      <c r="B13" s="1">
        <v>2.0</v>
      </c>
      <c r="C13" s="1" t="str">
        <f t="array" ref="C13">IF(NOT(ISBLANK($A13)), (_xlfn.XLOOKUP($A13,Index!$B$2:$B$995,Index!$C$2:$C$995,"Not Found")),"")</f>
        <v>T</v>
      </c>
      <c r="D13" s="1" t="str">
        <f t="array" ref="D13">IF(NOT(ISBLANK(A13)), (_xlfn.XLOOKUP($A13,Index!$B$2:B$995,Index!$A$2:$A$995,"Not Found")),"")</f>
        <v>base5-79</v>
      </c>
      <c r="E13" s="3" t="str">
        <f t="array" ref="E13">IF(NOT(ISBLANK($A13)), (_xlfn.XLOOKUP($A13,Index!$B$2:$B$995,Index!$D$2:$D$995,"Not Found")),"")</f>
        <v>c</v>
      </c>
      <c r="F13" s="1" t="str">
        <f t="array" ref="F13">IF(NOT(ISBLANK($A13)), (_xlfn.XLOOKUP($A13,Index!$B$2:$B$995,Index!$E$2:$E$995,"Not Found")),"")</f>
        <v/>
      </c>
      <c r="G13" s="1" t="str">
        <f t="array" ref="G13">IF(NOT(ISBLANK(A13)), ((_xlfn.XLOOKUP(A13,Index!$B$2:$B$995,Index!$F$2:$F$995,"Not Found"))*B13),"")</f>
        <v>#VALUE!</v>
      </c>
    </row>
    <row r="14">
      <c r="A14" s="1" t="s">
        <v>444</v>
      </c>
      <c r="B14" s="1">
        <v>3.0</v>
      </c>
      <c r="C14" s="1" t="str">
        <f t="array" ref="C14">IF(NOT(ISBLANK($A14)), (_xlfn.XLOOKUP($A14,Index!$B$2:$B$995,Index!$C$2:$C$995,"Not Found")),"")</f>
        <v>T</v>
      </c>
      <c r="D14" s="1" t="str">
        <f t="array" ref="D14">IF(NOT(ISBLANK(A14)), (_xlfn.XLOOKUP($A14,Index!$B$2:B$995,Index!$A$2:$A$995,"Not Found")),"")</f>
        <v>base1-91</v>
      </c>
      <c r="E14" s="3" t="str">
        <f t="array" ref="E14">IF(NOT(ISBLANK($A14)), (_xlfn.XLOOKUP($A14,Index!$B$2:$B$995,Index!$D$2:$D$995,"Not Found")),"")</f>
        <v>c</v>
      </c>
      <c r="F14" s="1" t="str">
        <f t="array" ref="F14">IF(NOT(ISBLANK($A14)), (_xlfn.XLOOKUP($A14,Index!$B$2:$B$995,Index!$E$2:$E$995,"Not Found")),"")</f>
        <v/>
      </c>
      <c r="G14" s="1" t="str">
        <f t="array" ref="G14">IF(NOT(ISBLANK(A14)), ((_xlfn.XLOOKUP(A14,Index!$B$2:$B$995,Index!$F$2:$F$995,"Not Found"))*B14),"")</f>
        <v>#VALUE!</v>
      </c>
    </row>
    <row r="15">
      <c r="A15" s="1" t="s">
        <v>430</v>
      </c>
      <c r="B15" s="1">
        <v>2.0</v>
      </c>
      <c r="C15" s="1" t="str">
        <f t="array" ref="C15">IF(NOT(ISBLANK($A15)), (_xlfn.XLOOKUP($A15,Index!$B$2:$B$995,Index!$C$2:$C$995,"Not Found")),"")</f>
        <v>T</v>
      </c>
      <c r="D15" s="1" t="str">
        <f t="array" ref="D15">IF(NOT(ISBLANK(A15)), (_xlfn.XLOOKUP($A15,Index!$B$2:B$995,Index!$A$2:$A$995,"Not Found")),"")</f>
        <v>base1-88</v>
      </c>
      <c r="E15" s="3" t="str">
        <f t="array" ref="E15">IF(NOT(ISBLANK($A15)), (_xlfn.XLOOKUP($A15,Index!$B$2:$B$995,Index!$D$2:$D$995,"Not Found")),"")</f>
        <v>u</v>
      </c>
      <c r="F15" s="1" t="str">
        <f t="array" ref="F15">IF(NOT(ISBLANK($A15)), (_xlfn.XLOOKUP($A15,Index!$B$2:$B$995,Index!$E$2:$E$995,"Not Found")),"")</f>
        <v/>
      </c>
      <c r="G15" s="1" t="str">
        <f t="array" ref="G15">IF(NOT(ISBLANK(A15)), ((_xlfn.XLOOKUP(A15,Index!$B$2:$B$995,Index!$F$2:$F$995,"Not Found"))*B15),"")</f>
        <v>#VALUE!</v>
      </c>
      <c r="K15" s="1" t="s">
        <v>689</v>
      </c>
    </row>
    <row r="16">
      <c r="A16" s="1" t="s">
        <v>394</v>
      </c>
      <c r="B16" s="1">
        <v>1.0</v>
      </c>
      <c r="C16" s="1" t="str">
        <f t="array" ref="C16">IF(NOT(ISBLANK($A16)), (_xlfn.XLOOKUP($A16,Index!$B$2:$B$995,Index!$C$2:$C$995,"Not Found")),"")</f>
        <v>T</v>
      </c>
      <c r="D16" s="1" t="str">
        <f t="array" ref="D16">IF(NOT(ISBLANK(A16)), (_xlfn.XLOOKUP($A16,Index!$B$2:B$995,Index!$A$2:$A$995,"Not Found")),"")</f>
        <v>base1-77</v>
      </c>
      <c r="E16" s="3" t="str">
        <f t="array" ref="E16">IF(NOT(ISBLANK($A16)), (_xlfn.XLOOKUP($A16,Index!$B$2:$B$995,Index!$D$2:$D$995,"Not Found")),"")</f>
        <v>r</v>
      </c>
      <c r="F16" s="1" t="str">
        <f t="array" ref="F16">IF(NOT(ISBLANK($A16)), (_xlfn.XLOOKUP($A16,Index!$B$2:$B$995,Index!$E$2:$E$995,"Not Found")),"")</f>
        <v/>
      </c>
      <c r="G16" s="1" t="str">
        <f t="array" ref="G16">IF(NOT(ISBLANK(A16)), ((_xlfn.XLOOKUP(A16,Index!$B$2:$B$995,Index!$F$2:$F$995,"Not Found"))*B16),"")</f>
        <v>#VALUE!</v>
      </c>
      <c r="K16" s="15" t="str">
        <f t="shared" ref="K16:K20" si="8">K2</f>
        <v>G</v>
      </c>
      <c r="L16" s="1">
        <f t="shared" ref="L16:L19" si="9">IF(NOT(ISBLANK($K2)), SUMIFS($G$2:$G$32, $C$2:$C$32,$K2), "")</f>
        <v>13</v>
      </c>
    </row>
    <row r="17">
      <c r="A17" s="1" t="s">
        <v>406</v>
      </c>
      <c r="B17" s="1">
        <v>2.0</v>
      </c>
      <c r="C17" s="1" t="str">
        <f t="array" ref="C17">IF(NOT(ISBLANK($A17)), (_xlfn.XLOOKUP($A17,Index!$B$2:$B$995,Index!$C$2:$C$995,"Not Found")),"")</f>
        <v>T</v>
      </c>
      <c r="D17" s="1" t="str">
        <f t="array" ref="D17">IF(NOT(ISBLANK(A17)), (_xlfn.XLOOKUP($A17,Index!$B$2:B$995,Index!$A$2:$A$995,"Not Found")),"")</f>
        <v>base1-80</v>
      </c>
      <c r="E17" s="3" t="str">
        <f t="array" ref="E17">IF(NOT(ISBLANK($A17)), (_xlfn.XLOOKUP($A17,Index!$B$2:$B$995,Index!$D$2:$D$995,"Not Found")),"")</f>
        <v>u</v>
      </c>
      <c r="F17" s="1" t="str">
        <f t="array" ref="F17">IF(NOT(ISBLANK($A17)), (_xlfn.XLOOKUP($A17,Index!$B$2:$B$995,Index!$E$2:$E$995,"Not Found")),"")</f>
        <v/>
      </c>
      <c r="G17" s="1" t="str">
        <f t="array" ref="G17">IF(NOT(ISBLANK(A17)), ((_xlfn.XLOOKUP(A17,Index!$B$2:$B$995,Index!$F$2:$F$995,"Not Found"))*B17),"")</f>
        <v>#VALUE!</v>
      </c>
      <c r="K17" s="15" t="str">
        <f t="shared" si="8"/>
        <v>C</v>
      </c>
      <c r="L17" s="1">
        <f t="shared" si="9"/>
        <v>0</v>
      </c>
    </row>
    <row r="18">
      <c r="A18" s="1" t="s">
        <v>455</v>
      </c>
      <c r="B18" s="1">
        <v>2.0</v>
      </c>
      <c r="C18" s="1" t="str">
        <f t="array" ref="C18">IF(NOT(ISBLANK($A18)), (_xlfn.XLOOKUP($A18,Index!$B$2:$B$995,Index!$C$2:$C$995,"Not Found")),"")</f>
        <v>T</v>
      </c>
      <c r="D18" s="1" t="str">
        <f t="array" ref="D18">IF(NOT(ISBLANK(A18)), (_xlfn.XLOOKUP($A18,Index!$B$2:B$995,Index!$A$2:$A$995,"Not Found")),"")</f>
        <v>base1-94</v>
      </c>
      <c r="E18" s="3" t="str">
        <f t="array" ref="E18">IF(NOT(ISBLANK($A18)), (_xlfn.XLOOKUP($A18,Index!$B$2:$B$995,Index!$D$2:$D$995,"Not Found")),"")</f>
        <v>c</v>
      </c>
      <c r="F18" s="1" t="str">
        <f t="array" ref="F18">IF(NOT(ISBLANK($A18)), (_xlfn.XLOOKUP($A18,Index!$B$2:$B$995,Index!$E$2:$E$995,"Not Found")),"")</f>
        <v/>
      </c>
      <c r="G18" s="1" t="str">
        <f t="array" ref="G18">IF(NOT(ISBLANK(A18)), ((_xlfn.XLOOKUP(A18,Index!$B$2:$B$995,Index!$F$2:$F$995,"Not Found"))*B18),"")</f>
        <v>#VALUE!</v>
      </c>
      <c r="K18" s="15" t="str">
        <f t="shared" si="8"/>
        <v/>
      </c>
      <c r="L18" s="1" t="str">
        <f t="shared" si="9"/>
        <v/>
      </c>
    </row>
    <row r="19">
      <c r="A19" s="1" t="s">
        <v>1034</v>
      </c>
      <c r="B19" s="1">
        <v>2.0</v>
      </c>
      <c r="C19" s="1" t="str">
        <f t="array" ref="C19">IF(NOT(ISBLANK($A19)), (_xlfn.XLOOKUP($A19,Index!$B$2:$B$995,Index!$C$2:$C$995,"Not Found")),"")</f>
        <v>Energy</v>
      </c>
      <c r="D19" s="1" t="str">
        <f t="array" ref="D19">IF(NOT(ISBLANK(A19)), (_xlfn.XLOOKUP($A19,Index!$B$2:B$995,Index!$A$2:$A$995,"Not Found")),"")</f>
        <v>base5-82</v>
      </c>
      <c r="E19" s="3" t="str">
        <f t="array" ref="E19">IF(NOT(ISBLANK($A19)), (_xlfn.XLOOKUP($A19,Index!$B$2:$B$995,Index!$D$2:$D$995,"Not Found")),"")</f>
        <v/>
      </c>
      <c r="F19" s="1" t="str">
        <f t="array" ref="F19">IF(NOT(ISBLANK($A19)), (_xlfn.XLOOKUP($A19,Index!$B$2:$B$995,Index!$E$2:$E$995,"Not Found")),"")</f>
        <v/>
      </c>
      <c r="G19" s="1">
        <f t="array" ref="G19">IF(NOT(ISBLANK(A19)), ((_xlfn.XLOOKUP(A19,Index!$B$2:$B$995,Index!$F$2:$F$995,"Not Found"))*B19),"")</f>
        <v>0</v>
      </c>
      <c r="K19" s="15" t="str">
        <f t="shared" si="8"/>
        <v/>
      </c>
      <c r="L19" s="1" t="str">
        <f t="shared" si="9"/>
        <v/>
      </c>
    </row>
    <row r="20">
      <c r="A20" s="1" t="s">
        <v>413</v>
      </c>
      <c r="B20" s="1">
        <v>1.0</v>
      </c>
      <c r="C20" s="1" t="str">
        <f t="array" ref="C20">IF(NOT(ISBLANK($A20)), (_xlfn.XLOOKUP($A20,Index!$B$2:$B$995,Index!$C$2:$C$995,"Not Found")),"")</f>
        <v>T</v>
      </c>
      <c r="D20" s="1" t="str">
        <f t="array" ref="D20">IF(NOT(ISBLANK(A20)), (_xlfn.XLOOKUP($A20,Index!$B$2:B$995,Index!$A$2:$A$995,"Not Found")),"")</f>
        <v>base1-82</v>
      </c>
      <c r="E20" s="3" t="str">
        <f t="array" ref="E20">IF(NOT(ISBLANK($A20)), (_xlfn.XLOOKUP($A20,Index!$B$2:$B$995,Index!$D$2:$D$995,"Not Found")),"")</f>
        <v>u</v>
      </c>
      <c r="F20" s="1" t="str">
        <f t="array" ref="F20">IF(NOT(ISBLANK($A20)), (_xlfn.XLOOKUP($A20,Index!$B$2:$B$995,Index!$E$2:$E$995,"Not Found")),"")</f>
        <v/>
      </c>
      <c r="G20" s="1" t="str">
        <f t="array" ref="G20">IF(NOT(ISBLANK(A20)), ((_xlfn.XLOOKUP(A20,Index!$B$2:$B$995,Index!$F$2:$F$995,"Not Found"))*B20),"")</f>
        <v>#VALUE!</v>
      </c>
      <c r="K20" s="15" t="str">
        <f t="shared" si="8"/>
        <v/>
      </c>
    </row>
    <row r="21">
      <c r="A21" s="1" t="s">
        <v>449</v>
      </c>
      <c r="B21" s="1">
        <v>1.0</v>
      </c>
      <c r="C21" s="1" t="str">
        <f t="array" ref="C21">IF(NOT(ISBLANK($A21)), (_xlfn.XLOOKUP($A21,Index!$B$2:$B$995,Index!$C$2:$C$995,"Not Found")),"")</f>
        <v>T</v>
      </c>
      <c r="D21" s="1" t="str">
        <f t="array" ref="D21">IF(NOT(ISBLANK(A21)), (_xlfn.XLOOKUP($A21,Index!$B$2:B$995,Index!$A$2:$A$995,"Not Found")),"")</f>
        <v>base1-92</v>
      </c>
      <c r="E21" s="3" t="str">
        <f t="array" ref="E21">IF(NOT(ISBLANK($A21)), (_xlfn.XLOOKUP($A21,Index!$B$2:$B$995,Index!$D$2:$D$995,"Not Found")),"")</f>
        <v>c</v>
      </c>
      <c r="F21" s="1" t="str">
        <f t="array" ref="F21">IF(NOT(ISBLANK($A21)), (_xlfn.XLOOKUP($A21,Index!$B$2:$B$995,Index!$E$2:$E$995,"Not Found")),"")</f>
        <v/>
      </c>
      <c r="G21" s="1" t="str">
        <f t="array" ref="G21">IF(NOT(ISBLANK(A21)), ((_xlfn.XLOOKUP(A21,Index!$B$2:$B$995,Index!$F$2:$F$995,"Not Found"))*B21),"")</f>
        <v>#VALUE!</v>
      </c>
      <c r="K21" s="1" t="s">
        <v>860</v>
      </c>
      <c r="L21" s="15">
        <f>SUM(L15:L19)</f>
        <v>13</v>
      </c>
    </row>
    <row r="22">
      <c r="A22" s="1" t="s">
        <v>1032</v>
      </c>
      <c r="B22" s="1">
        <v>1.0</v>
      </c>
      <c r="C22" s="1" t="str">
        <f t="array" ref="C22">IF(NOT(ISBLANK($A22)), (_xlfn.XLOOKUP($A22,Index!$B$2:$B$995,Index!$C$2:$C$995,"Not Found")),"")</f>
        <v>Energy</v>
      </c>
      <c r="D22" s="1" t="str">
        <f t="array" ref="D22">IF(NOT(ISBLANK(A22)), (_xlfn.XLOOKUP($A22,Index!$B$2:B$995,Index!$A$2:$A$995,"Not Found")),"")</f>
        <v>base5-81</v>
      </c>
      <c r="E22" s="3" t="str">
        <f t="array" ref="E22">IF(NOT(ISBLANK($A22)), (_xlfn.XLOOKUP($A22,Index!$B$2:$B$995,Index!$D$2:$D$995,"Not Found")),"")</f>
        <v/>
      </c>
      <c r="F22" s="1" t="str">
        <f t="array" ref="F22">IF(NOT(ISBLANK($A22)), (_xlfn.XLOOKUP($A22,Index!$B$2:$B$995,Index!$E$2:$E$995,"Not Found")),"")</f>
        <v/>
      </c>
      <c r="G22" s="1">
        <f t="array" ref="G22">IF(NOT(ISBLANK(A22)), ((_xlfn.XLOOKUP(A22,Index!$B$2:$B$995,Index!$F$2:$F$995,"Not Found"))*B22),"")</f>
        <v>0</v>
      </c>
    </row>
    <row r="23">
      <c r="A23" s="1" t="s">
        <v>1020</v>
      </c>
      <c r="B23" s="1">
        <v>1.0</v>
      </c>
      <c r="C23" s="1" t="str">
        <f t="array" ref="C23">IF(NOT(ISBLANK($A23)), (_xlfn.XLOOKUP($A23,Index!$B$2:$B$995,Index!$C$2:$C$995,"Not Found")),"")</f>
        <v>T</v>
      </c>
      <c r="D23" s="1" t="str">
        <f t="array" ref="D23">IF(NOT(ISBLANK(A23)), (_xlfn.XLOOKUP($A23,Index!$B$2:B$995,Index!$A$2:$A$995,"Not Found")),"")</f>
        <v>base5-77</v>
      </c>
      <c r="E23" s="3" t="str">
        <f t="array" ref="E23">IF(NOT(ISBLANK($A23)), (_xlfn.XLOOKUP($A23,Index!$B$2:$B$995,Index!$D$2:$D$995,"Not Found")),"")</f>
        <v>u</v>
      </c>
      <c r="F23" s="1" t="str">
        <f t="array" ref="F23">IF(NOT(ISBLANK($A23)), (_xlfn.XLOOKUP($A23,Index!$B$2:$B$995,Index!$E$2:$E$995,"Not Found")),"")</f>
        <v/>
      </c>
      <c r="G23" s="1" t="str">
        <f t="array" ref="G23">IF(NOT(ISBLANK(A23)), ((_xlfn.XLOOKUP(A23,Index!$B$2:$B$995,Index!$F$2:$F$995,"Not Found"))*B23),"")</f>
        <v>#VALUE!</v>
      </c>
    </row>
    <row r="24">
      <c r="C24" s="1" t="str">
        <f t="array" ref="C24">IF(NOT(ISBLANK($A24)), (_xlfn.XLOOKUP($A24,Index!$B$2:$B$995,Index!$C$2:$C$995,"Not Found")),"")</f>
        <v/>
      </c>
      <c r="D24" s="1" t="str">
        <f t="array" ref="D24">IF(NOT(ISBLANK(A24)), (_xlfn.XLOOKUP($A24,Index!$B$2:B$995,Index!$A$2:$A$995,"Not Found")),"")</f>
        <v/>
      </c>
      <c r="E24" s="3"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935</v>
      </c>
      <c r="L24" s="1" t="s">
        <v>120</v>
      </c>
    </row>
    <row r="25">
      <c r="C25" s="1" t="str">
        <f t="array" ref="C25">IF(NOT(ISBLANK($A25)), (_xlfn.XLOOKUP($A25,Index!$B$2:$B$995,Index!$C$2:$C$995,"Not Found")),"")</f>
        <v/>
      </c>
      <c r="D25" s="1" t="str">
        <f t="array" ref="D25">IF(NOT(ISBLANK(A25)), (_xlfn.XLOOKUP($A25,Index!$B$2:B$995,Index!$A$2:$A$995,"Not Found")),"")</f>
        <v/>
      </c>
      <c r="E25" s="3"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3"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3"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3"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3"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3"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3"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3"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3"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3"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3"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3"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3"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3"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3"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3"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3"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3"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3"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3"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3"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3"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3"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3"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3"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3"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3"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3"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3"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3"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3"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3"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3"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3"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3"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3"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3"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3"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3"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3"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3"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3"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3"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3"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3"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3"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3"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3"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3"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3"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3"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3"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3"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11"/>
    </row>
    <row r="79">
      <c r="E79" s="11"/>
    </row>
    <row r="80">
      <c r="E80" s="11"/>
    </row>
    <row r="81">
      <c r="E81" s="11"/>
    </row>
    <row r="82">
      <c r="E82" s="11"/>
    </row>
    <row r="83">
      <c r="E83" s="11"/>
    </row>
    <row r="84">
      <c r="E84" s="11"/>
    </row>
    <row r="85">
      <c r="E85" s="11"/>
    </row>
    <row r="86">
      <c r="E86" s="11"/>
    </row>
    <row r="87">
      <c r="E87" s="11"/>
    </row>
    <row r="88">
      <c r="E88" s="11"/>
    </row>
    <row r="89">
      <c r="E89" s="11"/>
    </row>
    <row r="90">
      <c r="E90" s="11"/>
    </row>
    <row r="91">
      <c r="E91" s="11"/>
    </row>
    <row r="92">
      <c r="E92" s="11"/>
    </row>
    <row r="93">
      <c r="E93" s="11"/>
    </row>
    <row r="94">
      <c r="E94" s="11"/>
    </row>
    <row r="95">
      <c r="E95" s="11"/>
    </row>
    <row r="96">
      <c r="E96" s="11"/>
    </row>
    <row r="97">
      <c r="E97" s="11"/>
    </row>
    <row r="98">
      <c r="E98" s="11"/>
    </row>
    <row r="99">
      <c r="E99" s="11"/>
    </row>
    <row r="100">
      <c r="E100" s="11"/>
    </row>
    <row r="101">
      <c r="E101" s="11"/>
    </row>
    <row r="102">
      <c r="E102" s="11"/>
    </row>
    <row r="103">
      <c r="E103" s="11"/>
    </row>
    <row r="104">
      <c r="E104" s="11"/>
    </row>
    <row r="105">
      <c r="E105" s="11"/>
    </row>
    <row r="106">
      <c r="E106" s="11"/>
    </row>
    <row r="107">
      <c r="E107" s="11"/>
    </row>
    <row r="108">
      <c r="E108" s="11"/>
    </row>
    <row r="109">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3" t="s">
        <v>5</v>
      </c>
      <c r="F1" s="1" t="s">
        <v>7</v>
      </c>
      <c r="G1" s="1" t="s">
        <v>11</v>
      </c>
      <c r="I1" s="1" t="s">
        <v>12</v>
      </c>
      <c r="K1" s="1" t="s">
        <v>3</v>
      </c>
      <c r="L1" s="1" t="s">
        <v>14</v>
      </c>
      <c r="M1" s="1" t="s">
        <v>17</v>
      </c>
      <c r="N1" s="1" t="s">
        <v>19</v>
      </c>
      <c r="O1" s="1" t="s">
        <v>21</v>
      </c>
      <c r="P1" s="1" t="s">
        <v>22</v>
      </c>
      <c r="Q1" s="1" t="s">
        <v>23</v>
      </c>
    </row>
    <row r="2">
      <c r="A2" s="1" t="s">
        <v>965</v>
      </c>
      <c r="B2" s="1">
        <v>4.0</v>
      </c>
      <c r="C2" s="1" t="str">
        <f t="array" ref="C2">IF(NOT(ISBLANK($A2)), (_xlfn.XLOOKUP($A2,Index!$B$2:$B$995,Index!$C$2:$C$995,"Not Found")),"")</f>
        <v>F</v>
      </c>
      <c r="D2" s="1" t="str">
        <f t="array" ref="D2">IF(NOT(ISBLANK(A2)), (_xlfn.XLOOKUP($A2,Index!$B$2:B$995,Index!$A$2:$A$995,"Not Found")),"")</f>
        <v>base5-59</v>
      </c>
      <c r="E2" s="3" t="str">
        <f t="array" ref="E2">IF(NOT(ISBLANK($A2)), (_xlfn.XLOOKUP($A2,Index!$B$2:$B$995,Index!$D$2:$D$995,"Not Found")),"")</f>
        <v>b</v>
      </c>
      <c r="F2" s="1" t="str">
        <f t="array" ref="F2">IF(NOT(ISBLANK($A2)), (_xlfn.XLOOKUP($A2,Index!$B$2:$B$995,Index!$E$2:$E$995,"Not Found")),"")</f>
        <v>y</v>
      </c>
      <c r="G2" s="1">
        <f t="array" ref="G2">IF(NOT(ISBLANK(A2)), ((_xlfn.XLOOKUP(A2,Index!$B$2:$B$995,Index!$F$2:$F$995,"Not Found"))*B2),"")</f>
        <v>0</v>
      </c>
      <c r="I2" s="15">
        <f>SUM(B2:B38)</f>
        <v>60</v>
      </c>
      <c r="K2" s="1" t="s">
        <v>71</v>
      </c>
      <c r="L2" s="15">
        <f t="shared" ref="L2:L6" si="1">IF(NOT(ISBLANK(K2)), SUM(M2:P2), "")</f>
        <v>21</v>
      </c>
      <c r="M2" s="1">
        <f t="shared" ref="M2:M5" si="2">IF(NOT(ISBLANK($K2)), SUMIFS($B$2:$B$32, $E$2:$E$32, "B", $C$2:$C$32,$K2), "")</f>
        <v>12</v>
      </c>
      <c r="N2" s="1">
        <f t="shared" ref="N2:N5" si="3">IF(NOT(ISBLANK($K2)),SUMIFS($B$2:$B$32,$E$2:$E$32, "1", $C$2:$C$32,$K2,$F$2:$F$32,"N"), "")</f>
        <v>4</v>
      </c>
      <c r="O2" s="1">
        <f t="shared" ref="O2:O5" si="4">IF(NOT(ISBLANK($K2)),SUMIFS($B$2:$B$32,$E$2:$E$32, "1", $C$2:$C$32,$K2,$F$2:$F$32,"Y"), "")</f>
        <v>3</v>
      </c>
      <c r="P2" s="1">
        <f t="shared" ref="P2:P5" si="5">IF(NOT(ISBLANK($K2)),SUMIFS($B$2:$B$32,$E$2:$E$32, "2", $C$2:$C$32,$K2), "")</f>
        <v>2</v>
      </c>
      <c r="Q2" s="1">
        <f t="shared" ref="Q2:Q5" si="6">IF(NOT(ISBLANK($K2)),SUMIFS($B$2:$B$32,$E$2:$E$32, "B", $C$2:$C$32,$K2,$F$2:$F$32,"N"), "")</f>
        <v>2</v>
      </c>
    </row>
    <row r="3">
      <c r="A3" s="1" t="s">
        <v>906</v>
      </c>
      <c r="B3" s="1">
        <v>3.0</v>
      </c>
      <c r="C3" s="1" t="str">
        <f t="array" ref="C3">IF(NOT(ISBLANK($A3)), (_xlfn.XLOOKUP($A3,Index!$B$2:$B$995,Index!$C$2:$C$995,"Not Found")),"")</f>
        <v>F</v>
      </c>
      <c r="D3" s="1" t="str">
        <f t="array" ref="D3">IF(NOT(ISBLANK(A3)), (_xlfn.XLOOKUP($A3,Index!$B$2:B$995,Index!$A$2:$A$995,"Not Found")),"")</f>
        <v>base5-40</v>
      </c>
      <c r="E3" s="3">
        <f t="array" ref="E3">IF(NOT(ISBLANK($A3)), (_xlfn.XLOOKUP($A3,Index!$B$2:$B$995,Index!$D$2:$D$995,"Not Found")),"")</f>
        <v>1</v>
      </c>
      <c r="F3" s="1" t="str">
        <f t="array" ref="F3">IF(NOT(ISBLANK($A3)), (_xlfn.XLOOKUP($A3,Index!$B$2:$B$995,Index!$E$2:$E$995,"Not Found")),"")</f>
        <v>y</v>
      </c>
      <c r="G3" s="1">
        <f t="array" ref="G3">IF(NOT(ISBLANK(A3)), ((_xlfn.XLOOKUP(A3,Index!$B$2:$B$995,Index!$F$2:$F$995,"Not Found"))*B3),"")</f>
        <v>1.5</v>
      </c>
      <c r="K3" s="1" t="s">
        <v>128</v>
      </c>
      <c r="L3" s="15">
        <f t="shared" si="1"/>
        <v>1</v>
      </c>
      <c r="M3" s="1">
        <f t="shared" si="2"/>
        <v>1</v>
      </c>
      <c r="N3" s="1">
        <f t="shared" si="3"/>
        <v>0</v>
      </c>
      <c r="O3" s="1">
        <f t="shared" si="4"/>
        <v>0</v>
      </c>
      <c r="P3" s="1">
        <f t="shared" si="5"/>
        <v>0</v>
      </c>
      <c r="Q3" s="1">
        <f t="shared" si="6"/>
        <v>1</v>
      </c>
    </row>
    <row r="4">
      <c r="A4" s="1" t="s">
        <v>131</v>
      </c>
      <c r="B4" s="1">
        <v>2.0</v>
      </c>
      <c r="C4" s="1" t="str">
        <f t="array" ref="C4">IF(NOT(ISBLANK($A4)), (_xlfn.XLOOKUP($A4,Index!$B$2:$B$995,Index!$C$2:$C$995,"Not Found")),"")</f>
        <v>F</v>
      </c>
      <c r="D4" s="1" t="str">
        <f t="array" ref="D4">IF(NOT(ISBLANK(A4)), (_xlfn.XLOOKUP($A4,Index!$B$2:B$995,Index!$A$2:$A$995,"Not Found")),"")</f>
        <v>base5-10</v>
      </c>
      <c r="E4" s="3">
        <f t="array" ref="E4">IF(NOT(ISBLANK($A4)), (_xlfn.XLOOKUP($A4,Index!$B$2:$B$995,Index!$D$2:$D$995,"Not Found")),"")</f>
        <v>2</v>
      </c>
      <c r="F4" s="1" t="str">
        <f t="array" ref="F4">IF(NOT(ISBLANK($A4)), (_xlfn.XLOOKUP($A4,Index!$B$2:$B$995,Index!$E$2:$E$995,"Not Found")),"")</f>
        <v/>
      </c>
      <c r="G4" s="1">
        <f t="array" ref="G4">IF(NOT(ISBLANK(A4)), ((_xlfn.XLOOKUP(A4,Index!$B$2:$B$995,Index!$F$2:$F$995,"Not Found"))*B4),"")</f>
        <v>4</v>
      </c>
      <c r="L4" s="15" t="str">
        <f t="shared" si="1"/>
        <v/>
      </c>
      <c r="M4" s="1" t="str">
        <f t="shared" si="2"/>
        <v/>
      </c>
      <c r="N4" s="1" t="str">
        <f t="shared" si="3"/>
        <v/>
      </c>
      <c r="O4" s="1" t="str">
        <f t="shared" si="4"/>
        <v/>
      </c>
      <c r="P4" s="1" t="str">
        <f t="shared" si="5"/>
        <v/>
      </c>
      <c r="Q4" s="1" t="str">
        <f t="shared" si="6"/>
        <v/>
      </c>
    </row>
    <row r="5">
      <c r="A5" s="1" t="s">
        <v>972</v>
      </c>
      <c r="B5" s="1">
        <v>3.0</v>
      </c>
      <c r="C5" s="1" t="str">
        <f t="array" ref="C5">IF(NOT(ISBLANK($A5)), (_xlfn.XLOOKUP($A5,Index!$B$2:$B$995,Index!$C$2:$C$995,"Not Found")),"")</f>
        <v>F</v>
      </c>
      <c r="D5" s="1" t="str">
        <f t="array" ref="D5">IF(NOT(ISBLANK(A5)), (_xlfn.XLOOKUP($A5,Index!$B$2:B$995,Index!$A$2:$A$995,"Not Found")),"")</f>
        <v>base5-61</v>
      </c>
      <c r="E5" s="3" t="str">
        <f t="array" ref="E5">IF(NOT(ISBLANK($A5)), (_xlfn.XLOOKUP($A5,Index!$B$2:$B$995,Index!$D$2:$D$995,"Not Found")),"")</f>
        <v>b</v>
      </c>
      <c r="F5" s="1" t="str">
        <f t="array" ref="F5">IF(NOT(ISBLANK($A5)), (_xlfn.XLOOKUP($A5,Index!$B$2:$B$995,Index!$E$2:$E$995,"Not Found")),"")</f>
        <v>y</v>
      </c>
      <c r="G5" s="1">
        <f t="array" ref="G5">IF(NOT(ISBLANK(A5)), ((_xlfn.XLOOKUP(A5,Index!$B$2:$B$995,Index!$F$2:$F$995,"Not Found"))*B5),"")</f>
        <v>0</v>
      </c>
      <c r="L5" s="15" t="str">
        <f t="shared" si="1"/>
        <v/>
      </c>
      <c r="M5" s="1" t="str">
        <f t="shared" si="2"/>
        <v/>
      </c>
      <c r="N5" s="1" t="str">
        <f t="shared" si="3"/>
        <v/>
      </c>
      <c r="O5" s="1" t="str">
        <f t="shared" si="4"/>
        <v/>
      </c>
      <c r="P5" s="1" t="str">
        <f t="shared" si="5"/>
        <v/>
      </c>
      <c r="Q5" s="1" t="str">
        <f t="shared" si="6"/>
        <v/>
      </c>
    </row>
    <row r="6">
      <c r="A6" s="1" t="s">
        <v>918</v>
      </c>
      <c r="B6" s="1">
        <v>2.0</v>
      </c>
      <c r="C6" s="1" t="str">
        <f t="array" ref="C6">IF(NOT(ISBLANK($A6)), (_xlfn.XLOOKUP($A6,Index!$B$2:$B$995,Index!$C$2:$C$995,"Not Found")),"")</f>
        <v>F</v>
      </c>
      <c r="D6" s="1" t="str">
        <f t="array" ref="D6">IF(NOT(ISBLANK(A6)), (_xlfn.XLOOKUP($A6,Index!$B$2:B$995,Index!$A$2:$A$995,"Not Found")),"")</f>
        <v>base5-43</v>
      </c>
      <c r="E6" s="3">
        <f t="array" ref="E6">IF(NOT(ISBLANK($A6)), (_xlfn.XLOOKUP($A6,Index!$B$2:$B$995,Index!$D$2:$D$995,"Not Found")),"")</f>
        <v>1</v>
      </c>
      <c r="F6" s="1" t="str">
        <f t="array" ref="F6">IF(NOT(ISBLANK($A6)), (_xlfn.XLOOKUP($A6,Index!$B$2:$B$995,Index!$E$2:$E$995,"Not Found")),"")</f>
        <v>n</v>
      </c>
      <c r="G6" s="1">
        <f t="array" ref="G6">IF(NOT(ISBLANK(A6)), ((_xlfn.XLOOKUP(A6,Index!$B$2:$B$995,Index!$F$2:$F$995,"Not Found"))*B6),"")</f>
        <v>2</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945</v>
      </c>
      <c r="B7" s="1">
        <v>3.0</v>
      </c>
      <c r="C7" s="1" t="str">
        <f t="array" ref="C7">IF(NOT(ISBLANK($A7)), (_xlfn.XLOOKUP($A7,Index!$B$2:$B$995,Index!$C$2:$C$995,"Not Found")),"")</f>
        <v>F</v>
      </c>
      <c r="D7" s="1" t="str">
        <f t="array" ref="D7">IF(NOT(ISBLANK(A7)), (_xlfn.XLOOKUP($A7,Index!$B$2:B$995,Index!$A$2:$A$995,"Not Found")),"")</f>
        <v>base5-52</v>
      </c>
      <c r="E7" s="3" t="str">
        <f t="array" ref="E7">IF(NOT(ISBLANK($A7)), (_xlfn.XLOOKUP($A7,Index!$B$2:$B$995,Index!$D$2:$D$995,"Not Found")),"")</f>
        <v>b</v>
      </c>
      <c r="F7" s="1" t="str">
        <f t="array" ref="F7">IF(NOT(ISBLANK($A7)), (_xlfn.XLOOKUP($A7,Index!$B$2:$B$995,Index!$E$2:$E$995,"Not Found")),"")</f>
        <v>y</v>
      </c>
      <c r="G7" s="1">
        <f t="array" ref="G7">IF(NOT(ISBLANK(A7)), ((_xlfn.XLOOKUP(A7,Index!$B$2:$B$995,Index!$F$2:$F$995,"Not Found"))*B7),"")</f>
        <v>0</v>
      </c>
      <c r="K7" s="1" t="s">
        <v>435</v>
      </c>
      <c r="L7" s="15">
        <f t="shared" ref="L7:Q7" si="7">SUM(L2:L6)</f>
        <v>22</v>
      </c>
      <c r="M7" s="15">
        <f t="shared" si="7"/>
        <v>13</v>
      </c>
      <c r="N7" s="15">
        <f t="shared" si="7"/>
        <v>4</v>
      </c>
      <c r="O7" s="15">
        <f t="shared" si="7"/>
        <v>3</v>
      </c>
      <c r="P7" s="15">
        <f t="shared" si="7"/>
        <v>2</v>
      </c>
      <c r="Q7" s="15">
        <f t="shared" si="7"/>
        <v>3</v>
      </c>
    </row>
    <row r="8">
      <c r="A8" s="1" t="s">
        <v>968</v>
      </c>
      <c r="B8" s="1">
        <v>2.0</v>
      </c>
      <c r="C8" s="1" t="str">
        <f t="array" ref="C8">IF(NOT(ISBLANK($A8)), (_xlfn.XLOOKUP($A8,Index!$B$2:$B$995,Index!$C$2:$C$995,"Not Found")),"")</f>
        <v>F</v>
      </c>
      <c r="D8" s="1" t="str">
        <f t="array" ref="D8">IF(NOT(ISBLANK(A8)), (_xlfn.XLOOKUP($A8,Index!$B$2:B$995,Index!$A$2:$A$995,"Not Found")),"")</f>
        <v>base5-6</v>
      </c>
      <c r="E8" s="3">
        <f t="array" ref="E8">IF(NOT(ISBLANK($A8)), (_xlfn.XLOOKUP($A8,Index!$B$2:$B$995,Index!$D$2:$D$995,"Not Found")),"")</f>
        <v>1</v>
      </c>
      <c r="F8" s="1" t="str">
        <f t="array" ref="F8">IF(NOT(ISBLANK($A8)), (_xlfn.XLOOKUP($A8,Index!$B$2:$B$995,Index!$E$2:$E$995,"Not Found")),"")</f>
        <v>n</v>
      </c>
      <c r="G8" s="1">
        <f t="array" ref="G8">IF(NOT(ISBLANK(A8)), ((_xlfn.XLOOKUP(A8,Index!$B$2:$B$995,Index!$F$2:$F$995,"Not Found"))*B8),"")</f>
        <v>4</v>
      </c>
    </row>
    <row r="9">
      <c r="A9" s="1" t="s">
        <v>70</v>
      </c>
      <c r="B9" s="1">
        <v>2.0</v>
      </c>
      <c r="C9" s="1" t="str">
        <f t="array" ref="C9">IF(NOT(ISBLANK($A9)), (_xlfn.XLOOKUP($A9,Index!$B$2:$B$995,Index!$C$2:$C$995,"Not Found")),"")</f>
        <v>F</v>
      </c>
      <c r="D9" s="1" t="str">
        <f t="array" ref="D9">IF(NOT(ISBLANK(A9)), (_xlfn.XLOOKUP($A9,Index!$B$2:B$995,Index!$A$2:$A$995,"Not Found")),"")</f>
        <v>base3-7</v>
      </c>
      <c r="E9" s="3" t="str">
        <f t="array" ref="E9">IF(NOT(ISBLANK($A9)), (_xlfn.XLOOKUP($A9,Index!$B$2:$B$995,Index!$D$2:$D$995,"Not Found")),"")</f>
        <v>b</v>
      </c>
      <c r="F9" s="1" t="str">
        <f t="array" ref="F9">IF(NOT(ISBLANK($A9)), (_xlfn.XLOOKUP($A9,Index!$B$2:$B$995,Index!$E$2:$E$995,"Not Found")),"")</f>
        <v>n</v>
      </c>
      <c r="G9" s="1">
        <f t="array" ref="G9">IF(NOT(ISBLANK(A9)), ((_xlfn.XLOOKUP(A9,Index!$B$2:$B$995,Index!$F$2:$F$995,"Not Found"))*B9),"")</f>
        <v>2</v>
      </c>
      <c r="M9" s="1" t="s">
        <v>508</v>
      </c>
      <c r="N9" s="1" t="s">
        <v>509</v>
      </c>
      <c r="O9" s="1" t="s">
        <v>510</v>
      </c>
    </row>
    <row r="10">
      <c r="A10" s="1" t="s">
        <v>556</v>
      </c>
      <c r="B10" s="1">
        <v>1.0</v>
      </c>
      <c r="C10" s="1" t="str">
        <f t="array" ref="C10">IF(NOT(ISBLANK($A10)), (_xlfn.XLOOKUP($A10,Index!$B$2:$B$995,Index!$C$2:$C$995,"Not Found")),"")</f>
        <v>C</v>
      </c>
      <c r="D10" s="1" t="str">
        <f t="array" ref="D10">IF(NOT(ISBLANK(A10)), (_xlfn.XLOOKUP($A10,Index!$B$2:B$995,Index!$A$2:$A$995,"Not Found")),"")</f>
        <v>base2-38</v>
      </c>
      <c r="E10" s="3" t="str">
        <f t="array" ref="E10">IF(NOT(ISBLANK($A10)), (_xlfn.XLOOKUP($A10,Index!$B$2:$B$995,Index!$D$2:$D$995,"Not Found")),"")</f>
        <v>b</v>
      </c>
      <c r="F10" s="1" t="str">
        <f t="array" ref="F10">IF(NOT(ISBLANK($A10)), (_xlfn.XLOOKUP($A10,Index!$B$2:$B$995,Index!$E$2:$E$995,"Not Found")),"")</f>
        <v>n</v>
      </c>
      <c r="G10" s="1">
        <f t="array" ref="G10">IF(NOT(ISBLANK(A10)), ((_xlfn.XLOOKUP(A10,Index!$B$2:$B$995,Index!$F$2:$F$995,"Not Found"))*B10),"")</f>
        <v>0.5</v>
      </c>
      <c r="K10" s="1" t="s">
        <v>533</v>
      </c>
      <c r="L10" s="15">
        <f>SUM(M10:P10)</f>
        <v>14</v>
      </c>
      <c r="M10" s="15">
        <f>IF(NOT(ISBLANK($K10)), SUMIFS($B$2:$B$32,$E$2:$E$32, "C", $C$2:$C$32,"T"), "")</f>
        <v>8</v>
      </c>
      <c r="N10" s="15">
        <f>IF(NOT(ISBLANK($K10)), SUMIFS($B$2:$B$32,$E$2:$E$32, "U", $C$2:$C$32,"T"), "")</f>
        <v>4</v>
      </c>
      <c r="O10" s="15">
        <f>IF(NOT(ISBLANK($K$2)), SUMIFS($B$2:$B$32,$E$2:$E$32, "R", $C$2:$C$32,"T"), "")</f>
        <v>2</v>
      </c>
    </row>
    <row r="11">
      <c r="A11" s="1" t="s">
        <v>463</v>
      </c>
      <c r="B11" s="1">
        <v>22.0</v>
      </c>
      <c r="C11" s="1" t="str">
        <f t="array" ref="C11">IF(NOT(ISBLANK($A11)), (_xlfn.XLOOKUP($A11,Index!$B$2:$B$995,Index!$C$2:$C$995,"Not Found")),"")</f>
        <v>Energy</v>
      </c>
      <c r="D11" s="1" t="str">
        <f t="array" ref="D11">IF(NOT(ISBLANK(A11)), (_xlfn.XLOOKUP($A11,Index!$B$2:B$995,Index!$A$2:$A$995,"Not Found")),"")</f>
        <v>base1-97</v>
      </c>
      <c r="E11" s="3" t="str">
        <f t="array" ref="E11">IF(NOT(ISBLANK($A11)), (_xlfn.XLOOKUP($A11,Index!$B$2:$B$995,Index!$D$2:$D$995,"Not Found")),"")</f>
        <v/>
      </c>
      <c r="F11" s="1" t="str">
        <f t="array" ref="F11">IF(NOT(ISBLANK($A11)), (_xlfn.XLOOKUP($A11,Index!$B$2:$B$995,Index!$E$2:$E$995,"Not Found")),"")</f>
        <v/>
      </c>
      <c r="G11" s="1">
        <f t="array" ref="G11">IF(NOT(ISBLANK(A11)), ((_xlfn.XLOOKUP(A11,Index!$B$2:$B$995,Index!$F$2:$F$995,"Not Found"))*B11),"")</f>
        <v>0</v>
      </c>
      <c r="K11" s="1" t="s">
        <v>47</v>
      </c>
      <c r="L11" s="1">
        <f>IF(NOT(ISBLANK($K$2)), SUMIFS($B$2:$B$32, $C$2:$C$32,"Energy"), "")</f>
        <v>24</v>
      </c>
    </row>
    <row r="12">
      <c r="A12" s="1" t="s">
        <v>1032</v>
      </c>
      <c r="B12" s="1">
        <v>1.0</v>
      </c>
      <c r="C12" s="1" t="str">
        <f t="array" ref="C12">IF(NOT(ISBLANK($A12)), (_xlfn.XLOOKUP($A12,Index!$B$2:$B$995,Index!$C$2:$C$995,"Not Found")),"")</f>
        <v>Energy</v>
      </c>
      <c r="D12" s="1" t="str">
        <f t="array" ref="D12">IF(NOT(ISBLANK(A12)), (_xlfn.XLOOKUP($A12,Index!$B$2:B$995,Index!$A$2:$A$995,"Not Found")),"")</f>
        <v>base5-81</v>
      </c>
      <c r="E12" s="3" t="str">
        <f t="array" ref="E12">IF(NOT(ISBLANK($A12)), (_xlfn.XLOOKUP($A12,Index!$B$2:$B$995,Index!$D$2:$D$995,"Not Found")),"")</f>
        <v/>
      </c>
      <c r="F12" s="1" t="str">
        <f t="array" ref="F12">IF(NOT(ISBLANK($A12)), (_xlfn.XLOOKUP($A12,Index!$B$2:$B$995,Index!$E$2:$E$995,"Not Found")),"")</f>
        <v/>
      </c>
      <c r="G12" s="1">
        <f t="array" ref="G12">IF(NOT(ISBLANK(A12)), ((_xlfn.XLOOKUP(A12,Index!$B$2:$B$995,Index!$F$2:$F$995,"Not Found"))*B12),"")</f>
        <v>0</v>
      </c>
      <c r="K12" s="1" t="s">
        <v>617</v>
      </c>
      <c r="L12" s="15">
        <f>L7</f>
        <v>22</v>
      </c>
    </row>
    <row r="13">
      <c r="A13" s="1" t="s">
        <v>1034</v>
      </c>
      <c r="B13" s="1">
        <v>1.0</v>
      </c>
      <c r="C13" s="1" t="str">
        <f t="array" ref="C13">IF(NOT(ISBLANK($A13)), (_xlfn.XLOOKUP($A13,Index!$B$2:$B$995,Index!$C$2:$C$995,"Not Found")),"")</f>
        <v>Energy</v>
      </c>
      <c r="D13" s="1" t="str">
        <f t="array" ref="D13">IF(NOT(ISBLANK(A13)), (_xlfn.XLOOKUP($A13,Index!$B$2:B$995,Index!$A$2:$A$995,"Not Found")),"")</f>
        <v>base5-82</v>
      </c>
      <c r="E13" s="3" t="str">
        <f t="array" ref="E13">IF(NOT(ISBLANK($A13)), (_xlfn.XLOOKUP($A13,Index!$B$2:$B$995,Index!$D$2:$D$995,"Not Found")),"")</f>
        <v/>
      </c>
      <c r="F13" s="1" t="str">
        <f t="array" ref="F13">IF(NOT(ISBLANK($A13)), (_xlfn.XLOOKUP($A13,Index!$B$2:$B$995,Index!$E$2:$E$995,"Not Found")),"")</f>
        <v/>
      </c>
      <c r="G13" s="1">
        <f t="array" ref="G13">IF(NOT(ISBLANK(A13)), ((_xlfn.XLOOKUP(A13,Index!$B$2:$B$995,Index!$F$2:$F$995,"Not Found"))*B13),"")</f>
        <v>0</v>
      </c>
    </row>
    <row r="14">
      <c r="A14" s="1" t="s">
        <v>444</v>
      </c>
      <c r="B14" s="1">
        <v>3.0</v>
      </c>
      <c r="C14" s="1" t="str">
        <f t="array" ref="C14">IF(NOT(ISBLANK($A14)), (_xlfn.XLOOKUP($A14,Index!$B$2:$B$995,Index!$C$2:$C$995,"Not Found")),"")</f>
        <v>T</v>
      </c>
      <c r="D14" s="1" t="str">
        <f t="array" ref="D14">IF(NOT(ISBLANK(A14)), (_xlfn.XLOOKUP($A14,Index!$B$2:B$995,Index!$A$2:$A$995,"Not Found")),"")</f>
        <v>base1-91</v>
      </c>
      <c r="E14" s="3" t="str">
        <f t="array" ref="E14">IF(NOT(ISBLANK($A14)), (_xlfn.XLOOKUP($A14,Index!$B$2:$B$995,Index!$D$2:$D$995,"Not Found")),"")</f>
        <v>c</v>
      </c>
      <c r="F14" s="1" t="str">
        <f t="array" ref="F14">IF(NOT(ISBLANK($A14)), (_xlfn.XLOOKUP($A14,Index!$B$2:$B$995,Index!$E$2:$E$995,"Not Found")),"")</f>
        <v/>
      </c>
      <c r="G14" s="1" t="str">
        <f t="array" ref="G14">IF(NOT(ISBLANK(A14)), ((_xlfn.XLOOKUP(A14,Index!$B$2:$B$995,Index!$F$2:$F$995,"Not Found"))*B14),"")</f>
        <v>#VALUE!</v>
      </c>
    </row>
    <row r="15">
      <c r="A15" s="1" t="s">
        <v>430</v>
      </c>
      <c r="B15" s="1">
        <v>2.0</v>
      </c>
      <c r="C15" s="1" t="str">
        <f t="array" ref="C15">IF(NOT(ISBLANK($A15)), (_xlfn.XLOOKUP($A15,Index!$B$2:$B$995,Index!$C$2:$C$995,"Not Found")),"")</f>
        <v>T</v>
      </c>
      <c r="D15" s="1" t="str">
        <f t="array" ref="D15">IF(NOT(ISBLANK(A15)), (_xlfn.XLOOKUP($A15,Index!$B$2:B$995,Index!$A$2:$A$995,"Not Found")),"")</f>
        <v>base1-88</v>
      </c>
      <c r="E15" s="3" t="str">
        <f t="array" ref="E15">IF(NOT(ISBLANK($A15)), (_xlfn.XLOOKUP($A15,Index!$B$2:$B$995,Index!$D$2:$D$995,"Not Found")),"")</f>
        <v>u</v>
      </c>
      <c r="F15" s="1" t="str">
        <f t="array" ref="F15">IF(NOT(ISBLANK($A15)), (_xlfn.XLOOKUP($A15,Index!$B$2:$B$995,Index!$E$2:$E$995,"Not Found")),"")</f>
        <v/>
      </c>
      <c r="G15" s="1" t="str">
        <f t="array" ref="G15">IF(NOT(ISBLANK(A15)), ((_xlfn.XLOOKUP(A15,Index!$B$2:$B$995,Index!$F$2:$F$995,"Not Found"))*B15),"")</f>
        <v>#VALUE!</v>
      </c>
      <c r="K15" s="1" t="s">
        <v>689</v>
      </c>
    </row>
    <row r="16">
      <c r="A16" s="1" t="s">
        <v>455</v>
      </c>
      <c r="B16" s="1">
        <v>2.0</v>
      </c>
      <c r="C16" s="1" t="str">
        <f t="array" ref="C16">IF(NOT(ISBLANK($A16)), (_xlfn.XLOOKUP($A16,Index!$B$2:$B$995,Index!$C$2:$C$995,"Not Found")),"")</f>
        <v>T</v>
      </c>
      <c r="D16" s="1" t="str">
        <f t="array" ref="D16">IF(NOT(ISBLANK(A16)), (_xlfn.XLOOKUP($A16,Index!$B$2:B$995,Index!$A$2:$A$995,"Not Found")),"")</f>
        <v>base1-94</v>
      </c>
      <c r="E16" s="3" t="str">
        <f t="array" ref="E16">IF(NOT(ISBLANK($A16)), (_xlfn.XLOOKUP($A16,Index!$B$2:$B$995,Index!$D$2:$D$995,"Not Found")),"")</f>
        <v>c</v>
      </c>
      <c r="F16" s="1" t="str">
        <f t="array" ref="F16">IF(NOT(ISBLANK($A16)), (_xlfn.XLOOKUP($A16,Index!$B$2:$B$995,Index!$E$2:$E$995,"Not Found")),"")</f>
        <v/>
      </c>
      <c r="G16" s="1" t="str">
        <f t="array" ref="G16">IF(NOT(ISBLANK(A16)), ((_xlfn.XLOOKUP(A16,Index!$B$2:$B$995,Index!$F$2:$F$995,"Not Found"))*B16),"")</f>
        <v>#VALUE!</v>
      </c>
      <c r="K16" s="15" t="str">
        <f t="shared" ref="K16:K20" si="8">K2</f>
        <v>F</v>
      </c>
      <c r="L16" s="1">
        <f t="shared" ref="L16:L19" si="9">IF(NOT(ISBLANK($K2)), SUMIFS($G$2:$G$32, $C$2:$C$32,$K2), "")</f>
        <v>13.5</v>
      </c>
    </row>
    <row r="17">
      <c r="A17" s="1" t="s">
        <v>385</v>
      </c>
      <c r="B17" s="1">
        <v>1.0</v>
      </c>
      <c r="C17" s="1" t="str">
        <f t="array" ref="C17">IF(NOT(ISBLANK($A17)), (_xlfn.XLOOKUP($A17,Index!$B$2:$B$995,Index!$C$2:$C$995,"Not Found")),"")</f>
        <v>T</v>
      </c>
      <c r="D17" s="1" t="str">
        <f t="array" ref="D17">IF(NOT(ISBLANK(A17)), (_xlfn.XLOOKUP($A17,Index!$B$2:B$995,Index!$A$2:$A$995,"Not Found")),"")</f>
        <v>base1-74</v>
      </c>
      <c r="E17" s="3" t="str">
        <f t="array" ref="E17">IF(NOT(ISBLANK($A17)), (_xlfn.XLOOKUP($A17,Index!$B$2:$B$995,Index!$D$2:$D$995,"Not Found")),"")</f>
        <v>r</v>
      </c>
      <c r="F17" s="1" t="str">
        <f t="array" ref="F17">IF(NOT(ISBLANK($A17)), (_xlfn.XLOOKUP($A17,Index!$B$2:$B$995,Index!$E$2:$E$995,"Not Found")),"")</f>
        <v/>
      </c>
      <c r="G17" s="1" t="str">
        <f t="array" ref="G17">IF(NOT(ISBLANK(A17)), ((_xlfn.XLOOKUP(A17,Index!$B$2:$B$995,Index!$F$2:$F$995,"Not Found"))*B17),"")</f>
        <v>#VALUE!</v>
      </c>
      <c r="K17" s="15" t="str">
        <f t="shared" si="8"/>
        <v>C</v>
      </c>
      <c r="L17" s="1">
        <f t="shared" si="9"/>
        <v>0.5</v>
      </c>
    </row>
    <row r="18">
      <c r="A18" s="1" t="s">
        <v>836</v>
      </c>
      <c r="B18" s="1">
        <v>1.0</v>
      </c>
      <c r="C18" s="1" t="str">
        <f t="array" ref="C18">IF(NOT(ISBLANK($A18)), (_xlfn.XLOOKUP($A18,Index!$B$2:$B$995,Index!$C$2:$C$995,"Not Found")),"")</f>
        <v>T</v>
      </c>
      <c r="D18" s="1" t="str">
        <f t="array" ref="D18">IF(NOT(ISBLANK(A18)), (_xlfn.XLOOKUP($A18,Index!$B$2:B$995,Index!$A$2:$A$995,"Not Found")),"")</f>
        <v>base5-16</v>
      </c>
      <c r="E18" s="3" t="str">
        <f t="array" ref="E18">IF(NOT(ISBLANK($A18)), (_xlfn.XLOOKUP($A18,Index!$B$2:$B$995,Index!$D$2:$D$995,"Not Found")),"")</f>
        <v>r</v>
      </c>
      <c r="F18" s="1" t="str">
        <f t="array" ref="F18">IF(NOT(ISBLANK($A18)), (_xlfn.XLOOKUP($A18,Index!$B$2:$B$995,Index!$E$2:$E$995,"Not Found")),"")</f>
        <v/>
      </c>
      <c r="G18" s="1" t="str">
        <f t="array" ref="G18">IF(NOT(ISBLANK(A18)), ((_xlfn.XLOOKUP(A18,Index!$B$2:$B$995,Index!$F$2:$F$995,"Not Found"))*B18),"")</f>
        <v>#VALUE!</v>
      </c>
      <c r="K18" s="15" t="str">
        <f t="shared" si="8"/>
        <v/>
      </c>
      <c r="L18" s="1" t="str">
        <f t="shared" si="9"/>
        <v/>
      </c>
    </row>
    <row r="19">
      <c r="A19" s="1" t="s">
        <v>458</v>
      </c>
      <c r="B19" s="1">
        <v>1.0</v>
      </c>
      <c r="C19" s="1" t="str">
        <f t="array" ref="C19">IF(NOT(ISBLANK($A19)), (_xlfn.XLOOKUP($A19,Index!$B$2:$B$995,Index!$C$2:$C$995,"Not Found")),"")</f>
        <v>T</v>
      </c>
      <c r="D19" s="1" t="str">
        <f t="array" ref="D19">IF(NOT(ISBLANK(A19)), (_xlfn.XLOOKUP($A19,Index!$B$2:B$995,Index!$A$2:$A$995,"Not Found")),"")</f>
        <v>base1-95</v>
      </c>
      <c r="E19" s="3" t="str">
        <f t="array" ref="E19">IF(NOT(ISBLANK($A19)), (_xlfn.XLOOKUP($A19,Index!$B$2:$B$995,Index!$D$2:$D$995,"Not Found")),"")</f>
        <v>c</v>
      </c>
      <c r="F19" s="1" t="str">
        <f t="array" ref="F19">IF(NOT(ISBLANK($A19)), (_xlfn.XLOOKUP($A19,Index!$B$2:$B$995,Index!$E$2:$E$995,"Not Found")),"")</f>
        <v/>
      </c>
      <c r="G19" s="1" t="str">
        <f t="array" ref="G19">IF(NOT(ISBLANK(A19)), ((_xlfn.XLOOKUP(A19,Index!$B$2:$B$995,Index!$F$2:$F$995,"Not Found"))*B19),"")</f>
        <v>#VALUE!</v>
      </c>
      <c r="K19" s="15" t="str">
        <f t="shared" si="8"/>
        <v/>
      </c>
      <c r="L19" s="1" t="str">
        <f t="shared" si="9"/>
        <v/>
      </c>
    </row>
    <row r="20">
      <c r="A20" s="1" t="s">
        <v>909</v>
      </c>
      <c r="B20" s="1">
        <v>2.0</v>
      </c>
      <c r="C20" s="1" t="str">
        <f t="array" ref="C20">IF(NOT(ISBLANK($A20)), (_xlfn.XLOOKUP($A20,Index!$B$2:$B$995,Index!$C$2:$C$995,"Not Found")),"")</f>
        <v>T</v>
      </c>
      <c r="D20" s="1" t="str">
        <f t="array" ref="D20">IF(NOT(ISBLANK(A20)), (_xlfn.XLOOKUP($A20,Index!$B$2:B$995,Index!$A$2:$A$995,"Not Found")),"")</f>
        <v>base5-79</v>
      </c>
      <c r="E20" s="3"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15" t="str">
        <f t="shared" si="8"/>
        <v/>
      </c>
    </row>
    <row r="21">
      <c r="A21" s="1" t="s">
        <v>406</v>
      </c>
      <c r="B21" s="1">
        <v>2.0</v>
      </c>
      <c r="C21" s="1" t="str">
        <f t="array" ref="C21">IF(NOT(ISBLANK($A21)), (_xlfn.XLOOKUP($A21,Index!$B$2:$B$995,Index!$C$2:$C$995,"Not Found")),"")</f>
        <v>T</v>
      </c>
      <c r="D21" s="1" t="str">
        <f t="array" ref="D21">IF(NOT(ISBLANK(A21)), (_xlfn.XLOOKUP($A21,Index!$B$2:B$995,Index!$A$2:$A$995,"Not Found")),"")</f>
        <v>base1-80</v>
      </c>
      <c r="E21" s="3" t="str">
        <f t="array" ref="E21">IF(NOT(ISBLANK($A21)), (_xlfn.XLOOKUP($A21,Index!$B$2:$B$995,Index!$D$2:$D$995,"Not Found")),"")</f>
        <v>u</v>
      </c>
      <c r="F21" s="1" t="str">
        <f t="array" ref="F21">IF(NOT(ISBLANK($A21)), (_xlfn.XLOOKUP($A21,Index!$B$2:$B$995,Index!$E$2:$E$995,"Not Found")),"")</f>
        <v/>
      </c>
      <c r="G21" s="1" t="str">
        <f t="array" ref="G21">IF(NOT(ISBLANK(A21)), ((_xlfn.XLOOKUP(A21,Index!$B$2:$B$995,Index!$F$2:$F$995,"Not Found"))*B21),"")</f>
        <v>#VALUE!</v>
      </c>
      <c r="K21" s="1" t="s">
        <v>860</v>
      </c>
      <c r="L21" s="15">
        <f>SUM(L15:L19)</f>
        <v>14</v>
      </c>
    </row>
    <row r="22">
      <c r="C22" s="1" t="str">
        <f t="array" ref="C22">IF(NOT(ISBLANK($A22)), (_xlfn.XLOOKUP($A22,Index!$B$2:$B$995,Index!$C$2:$C$995,"Not Found")),"")</f>
        <v/>
      </c>
      <c r="D22" s="1" t="str">
        <f t="array" ref="D22">IF(NOT(ISBLANK(A22)), (_xlfn.XLOOKUP($A22,Index!$B$2:B$995,Index!$A$2:$A$995,"Not Found")),"")</f>
        <v/>
      </c>
      <c r="E22" s="3" t="str">
        <f t="array" ref="E22">IF(NOT(ISBLANK($A22)), (_xlfn.XLOOKUP($A22,Index!$B$2:$B$995,Index!$D$2:$D$995,"Not Found")),"")</f>
        <v/>
      </c>
      <c r="F22" s="1" t="str">
        <f t="array" ref="F22">IF(NOT(ISBLANK($A22)), (_xlfn.XLOOKUP($A22,Index!$B$2:$B$995,Index!$E$2:$E$995,"Not Found")),"")</f>
        <v/>
      </c>
      <c r="G22" s="1" t="str">
        <f t="array" ref="G22">IF(NOT(ISBLANK(A22)), ((_xlfn.XLOOKUP(A22,Index!$B$2:$B$995,Index!$F$2:$F$995,"Not Found"))*B22),"")</f>
        <v/>
      </c>
    </row>
    <row r="23">
      <c r="C23" s="1" t="str">
        <f t="array" ref="C23">IF(NOT(ISBLANK($A23)), (_xlfn.XLOOKUP($A23,Index!$B$2:$B$995,Index!$C$2:$C$995,"Not Found")),"")</f>
        <v/>
      </c>
      <c r="D23" s="1" t="str">
        <f t="array" ref="D23">IF(NOT(ISBLANK(A23)), (_xlfn.XLOOKUP($A23,Index!$B$2:B$995,Index!$A$2:$A$995,"Not Found")),"")</f>
        <v/>
      </c>
      <c r="E23" s="3"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3"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935</v>
      </c>
      <c r="L24" s="1" t="s">
        <v>131</v>
      </c>
    </row>
    <row r="25">
      <c r="C25" s="1" t="str">
        <f t="array" ref="C25">IF(NOT(ISBLANK($A25)), (_xlfn.XLOOKUP($A25,Index!$B$2:$B$995,Index!$C$2:$C$995,"Not Found")),"")</f>
        <v/>
      </c>
      <c r="D25" s="1" t="str">
        <f t="array" ref="D25">IF(NOT(ISBLANK(A25)), (_xlfn.XLOOKUP($A25,Index!$B$2:B$995,Index!$A$2:$A$995,"Not Found")),"")</f>
        <v/>
      </c>
      <c r="E25" s="3"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3"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3"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3"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3"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3"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3"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3"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3"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3"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3"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3"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3"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3"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3"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3"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3"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3"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3"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3"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3"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3"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3"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3"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3"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3"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3"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3"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3"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3"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3"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3"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3"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3"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3"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3"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3"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3"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3"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3"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3"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3"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3"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3"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3"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3"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3"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3"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3"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3"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3"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3"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3"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11"/>
    </row>
    <row r="79">
      <c r="E79" s="11"/>
    </row>
    <row r="80">
      <c r="E80" s="11"/>
    </row>
    <row r="81">
      <c r="E81" s="11"/>
    </row>
    <row r="82">
      <c r="E82" s="11"/>
    </row>
    <row r="83">
      <c r="E83" s="11"/>
    </row>
    <row r="84">
      <c r="E84" s="11"/>
    </row>
    <row r="85">
      <c r="E85" s="11"/>
    </row>
    <row r="86">
      <c r="E86" s="11"/>
    </row>
    <row r="87">
      <c r="E87" s="11"/>
    </row>
    <row r="88">
      <c r="E88" s="11"/>
    </row>
    <row r="89">
      <c r="E89" s="11"/>
    </row>
    <row r="90">
      <c r="E90" s="11"/>
    </row>
    <row r="91">
      <c r="E91" s="11"/>
    </row>
    <row r="92">
      <c r="E92" s="11"/>
    </row>
    <row r="93">
      <c r="E93" s="11"/>
    </row>
    <row r="94">
      <c r="E94" s="11"/>
    </row>
    <row r="95">
      <c r="E95" s="11"/>
    </row>
    <row r="96">
      <c r="E96" s="11"/>
    </row>
    <row r="97">
      <c r="E97" s="11"/>
    </row>
    <row r="98">
      <c r="E98" s="11"/>
    </row>
    <row r="99">
      <c r="E99" s="11"/>
    </row>
    <row r="100">
      <c r="E100" s="11"/>
    </row>
    <row r="101">
      <c r="E101" s="11"/>
    </row>
    <row r="102">
      <c r="E102" s="11"/>
    </row>
    <row r="103">
      <c r="E103" s="11"/>
    </row>
    <row r="104">
      <c r="E104" s="11"/>
    </row>
    <row r="105">
      <c r="E105" s="11"/>
    </row>
    <row r="106">
      <c r="E106" s="11"/>
    </row>
    <row r="107">
      <c r="E107" s="11"/>
    </row>
    <row r="108">
      <c r="E108" s="11"/>
    </row>
    <row r="109">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3" t="s">
        <v>5</v>
      </c>
      <c r="F1" s="1" t="s">
        <v>7</v>
      </c>
      <c r="G1" s="1" t="s">
        <v>11</v>
      </c>
      <c r="I1" s="1" t="s">
        <v>12</v>
      </c>
      <c r="K1" s="1" t="s">
        <v>3</v>
      </c>
      <c r="L1" s="1" t="s">
        <v>14</v>
      </c>
      <c r="M1" s="1" t="s">
        <v>17</v>
      </c>
      <c r="N1" s="1" t="s">
        <v>19</v>
      </c>
      <c r="O1" s="1" t="s">
        <v>21</v>
      </c>
      <c r="P1" s="1" t="s">
        <v>22</v>
      </c>
      <c r="Q1" s="1" t="s">
        <v>23</v>
      </c>
    </row>
    <row r="2">
      <c r="A2" s="1" t="s">
        <v>30</v>
      </c>
      <c r="B2" s="1">
        <v>4.0</v>
      </c>
      <c r="C2" s="1" t="str">
        <f t="array" ref="C2">IF(NOT(ISBLANK($A2)), (_xlfn.XLOOKUP($A2,Index!$B$2:$B$995,Index!$C$2:$C$995,"Not Found")),"")</f>
        <v>C</v>
      </c>
      <c r="D2" s="1" t="str">
        <f t="array" ref="D2">IF(NOT(ISBLANK(A2)), (_xlfn.XLOOKUP($A2,Index!$B$2:B$995,Index!$A$2:$A$995,"Not Found")),"")</f>
        <v>base5-55</v>
      </c>
      <c r="E2" s="3" t="str">
        <f t="array" ref="E2">IF(NOT(ISBLANK($A2)), (_xlfn.XLOOKUP($A2,Index!$B$2:$B$995,Index!$D$2:$D$995,"Not Found")),"")</f>
        <v>b</v>
      </c>
      <c r="F2" s="1" t="str">
        <f t="array" ref="F2">IF(NOT(ISBLANK($A2)), (_xlfn.XLOOKUP($A2,Index!$B$2:$B$995,Index!$E$2:$E$995,"Not Found")),"")</f>
        <v>y</v>
      </c>
      <c r="G2" s="1">
        <f t="array" ref="G2">IF(NOT(ISBLANK(A2)), ((_xlfn.XLOOKUP(A2,Index!$B$2:$B$995,Index!$F$2:$F$995,"Not Found"))*B2),"")</f>
        <v>0</v>
      </c>
      <c r="I2" s="15">
        <f>SUM(B2:B38)</f>
        <v>60</v>
      </c>
      <c r="K2" s="1" t="s">
        <v>105</v>
      </c>
      <c r="L2" s="15">
        <f t="shared" ref="L2:L6" si="1">IF(NOT(ISBLANK(K2)), SUM(M2:P2), "")</f>
        <v>2</v>
      </c>
      <c r="M2" s="1">
        <f t="shared" ref="M2:M5" si="2">IF(NOT(ISBLANK($K2)), SUMIFS($B$2:$B$32, $E$2:$E$32, "B", $C$2:$C$32,$K2), "")</f>
        <v>1</v>
      </c>
      <c r="N2" s="1">
        <f t="shared" ref="N2:N5" si="3">IF(NOT(ISBLANK($K2)),SUMIFS($B$2:$B$32,$E$2:$E$32, "1", $C$2:$C$32,$K2,$F$2:$F$32,"N"), "")</f>
        <v>1</v>
      </c>
      <c r="O2" s="1">
        <f t="shared" ref="O2:O5" si="4">IF(NOT(ISBLANK($K2)),SUMIFS($B$2:$B$32,$E$2:$E$32, "1", $C$2:$C$32,$K2,$F$2:$F$32,"Y"), "")</f>
        <v>0</v>
      </c>
      <c r="P2" s="1">
        <f t="shared" ref="P2:P5" si="5">IF(NOT(ISBLANK($K2)),SUMIFS($B$2:$B$32,$E$2:$E$32, "2", $C$2:$C$32,$K2), "")</f>
        <v>0</v>
      </c>
      <c r="Q2" s="1">
        <f t="shared" ref="Q2:Q5" si="6">IF(NOT(ISBLANK($K2)),SUMIFS($B$2:$B$32,$E$2:$E$32, "B", $C$2:$C$32,$K2,$F$2:$F$32,"N"), "")</f>
        <v>1</v>
      </c>
    </row>
    <row r="3">
      <c r="A3" s="1" t="s">
        <v>293</v>
      </c>
      <c r="B3" s="1">
        <v>1.0</v>
      </c>
      <c r="C3" s="1" t="str">
        <f t="array" ref="C3">IF(NOT(ISBLANK($A3)), (_xlfn.XLOOKUP($A3,Index!$B$2:$B$995,Index!$C$2:$C$995,"Not Found")),"")</f>
        <v>W</v>
      </c>
      <c r="D3" s="1" t="str">
        <f t="array" ref="D3">IF(NOT(ISBLANK(A3)), (_xlfn.XLOOKUP($A3,Index!$B$2:B$995,Index!$A$2:$A$995,"Not Found")),"")</f>
        <v>base5-45</v>
      </c>
      <c r="E3" s="3">
        <f t="array" ref="E3">IF(NOT(ISBLANK($A3)), (_xlfn.XLOOKUP($A3,Index!$B$2:$B$995,Index!$D$2:$D$995,"Not Found")),"")</f>
        <v>1</v>
      </c>
      <c r="F3" s="1" t="str">
        <f t="array" ref="F3">IF(NOT(ISBLANK($A3)), (_xlfn.XLOOKUP($A3,Index!$B$2:$B$995,Index!$E$2:$E$995,"Not Found")),"")</f>
        <v>n</v>
      </c>
      <c r="G3" s="1">
        <f t="array" ref="G3">IF(NOT(ISBLANK(A3)), ((_xlfn.XLOOKUP(A3,Index!$B$2:$B$995,Index!$F$2:$F$995,"Not Found"))*B3),"")</f>
        <v>1.5</v>
      </c>
      <c r="K3" s="1" t="s">
        <v>80</v>
      </c>
      <c r="L3" s="15">
        <f t="shared" si="1"/>
        <v>2</v>
      </c>
      <c r="M3" s="1">
        <f t="shared" si="2"/>
        <v>1</v>
      </c>
      <c r="N3" s="1">
        <f t="shared" si="3"/>
        <v>1</v>
      </c>
      <c r="O3" s="1">
        <f t="shared" si="4"/>
        <v>0</v>
      </c>
      <c r="P3" s="1">
        <f t="shared" si="5"/>
        <v>0</v>
      </c>
      <c r="Q3" s="1">
        <f t="shared" si="6"/>
        <v>1</v>
      </c>
    </row>
    <row r="4">
      <c r="A4" s="1" t="s">
        <v>193</v>
      </c>
      <c r="B4" s="1">
        <v>1.0</v>
      </c>
      <c r="C4" s="1" t="str">
        <f t="array" ref="C4">IF(NOT(ISBLANK($A4)), (_xlfn.XLOOKUP($A4,Index!$B$2:$B$995,Index!$C$2:$C$995,"Not Found")),"")</f>
        <v>E</v>
      </c>
      <c r="D4" s="1" t="str">
        <f t="array" ref="D4">IF(NOT(ISBLANK(A4)), (_xlfn.XLOOKUP($A4,Index!$B$2:B$995,Index!$A$2:$A$995,"Not Found")),"")</f>
        <v>base5-38</v>
      </c>
      <c r="E4" s="3">
        <f t="array" ref="E4">IF(NOT(ISBLANK($A4)), (_xlfn.XLOOKUP($A4,Index!$B$2:$B$995,Index!$D$2:$D$995,"Not Found")),"")</f>
        <v>1</v>
      </c>
      <c r="F4" s="1" t="str">
        <f t="array" ref="F4">IF(NOT(ISBLANK($A4)), (_xlfn.XLOOKUP($A4,Index!$B$2:$B$995,Index!$E$2:$E$995,"Not Found")),"")</f>
        <v>n</v>
      </c>
      <c r="G4" s="1">
        <f t="array" ref="G4">IF(NOT(ISBLANK(A4)), ((_xlfn.XLOOKUP(A4,Index!$B$2:$B$995,Index!$F$2:$F$995,"Not Found"))*B4),"")</f>
        <v>2</v>
      </c>
      <c r="K4" s="1" t="s">
        <v>96</v>
      </c>
      <c r="L4" s="15">
        <f t="shared" si="1"/>
        <v>2</v>
      </c>
      <c r="M4" s="1">
        <f t="shared" si="2"/>
        <v>1</v>
      </c>
      <c r="N4" s="1">
        <f t="shared" si="3"/>
        <v>1</v>
      </c>
      <c r="O4" s="1">
        <f t="shared" si="4"/>
        <v>0</v>
      </c>
      <c r="P4" s="1">
        <f t="shared" si="5"/>
        <v>0</v>
      </c>
      <c r="Q4" s="1">
        <f t="shared" si="6"/>
        <v>1</v>
      </c>
    </row>
    <row r="5">
      <c r="A5" s="1" t="s">
        <v>251</v>
      </c>
      <c r="B5" s="1">
        <v>1.0</v>
      </c>
      <c r="C5" s="1" t="str">
        <f t="array" ref="C5">IF(NOT(ISBLANK($A5)), (_xlfn.XLOOKUP($A5,Index!$B$2:$B$995,Index!$C$2:$C$995,"Not Found")),"")</f>
        <v>R</v>
      </c>
      <c r="D5" s="1" t="str">
        <f t="array" ref="D5">IF(NOT(ISBLANK(A5)), (_xlfn.XLOOKUP($A5,Index!$B$2:B$995,Index!$A$2:$A$995,"Not Found")),"")</f>
        <v>base5-35</v>
      </c>
      <c r="E5" s="3">
        <f t="array" ref="E5">IF(NOT(ISBLANK($A5)), (_xlfn.XLOOKUP($A5,Index!$B$2:$B$995,Index!$D$2:$D$995,"Not Found")),"")</f>
        <v>1</v>
      </c>
      <c r="F5" s="1" t="str">
        <f t="array" ref="F5">IF(NOT(ISBLANK($A5)), (_xlfn.XLOOKUP($A5,Index!$B$2:$B$995,Index!$E$2:$E$995,"Not Found")),"")</f>
        <v>n</v>
      </c>
      <c r="G5" s="1">
        <f t="array" ref="G5">IF(NOT(ISBLANK(A5)), ((_xlfn.XLOOKUP(A5,Index!$B$2:$B$995,Index!$F$2:$F$995,"Not Found"))*B5),"")</f>
        <v>1.5</v>
      </c>
      <c r="K5" s="1" t="s">
        <v>128</v>
      </c>
      <c r="L5" s="15">
        <f t="shared" si="1"/>
        <v>13</v>
      </c>
      <c r="M5" s="1">
        <f t="shared" si="2"/>
        <v>8</v>
      </c>
      <c r="N5" s="1">
        <f t="shared" si="3"/>
        <v>0</v>
      </c>
      <c r="O5" s="1">
        <f t="shared" si="4"/>
        <v>3</v>
      </c>
      <c r="P5" s="1">
        <f t="shared" si="5"/>
        <v>2</v>
      </c>
      <c r="Q5" s="1">
        <f t="shared" si="6"/>
        <v>0</v>
      </c>
    </row>
    <row r="6">
      <c r="A6" s="1" t="s">
        <v>948</v>
      </c>
      <c r="B6" s="1">
        <v>4.0</v>
      </c>
      <c r="C6" s="1" t="str">
        <f t="array" ref="C6">IF(NOT(ISBLANK($A6)), (_xlfn.XLOOKUP($A6,Index!$B$2:$B$995,Index!$C$2:$C$995,"Not Found")),"")</f>
        <v>C</v>
      </c>
      <c r="D6" s="1" t="str">
        <f t="array" ref="D6">IF(NOT(ISBLANK(A6)), (_xlfn.XLOOKUP($A6,Index!$B$2:B$995,Index!$A$2:$A$995,"Not Found")),"")</f>
        <v>base5-53</v>
      </c>
      <c r="E6" s="3" t="str">
        <f t="array" ref="E6">IF(NOT(ISBLANK($A6)), (_xlfn.XLOOKUP($A6,Index!$B$2:$B$995,Index!$D$2:$D$995,"Not Found")),"")</f>
        <v>b</v>
      </c>
      <c r="F6" s="1" t="str">
        <f t="array" ref="F6">IF(NOT(ISBLANK($A6)), (_xlfn.XLOOKUP($A6,Index!$B$2:$B$995,Index!$E$2:$E$995,"Not Found")),"")</f>
        <v>y</v>
      </c>
      <c r="G6" s="1">
        <f t="array" ref="G6">IF(NOT(ISBLANK(A6)), ((_xlfn.XLOOKUP(A6,Index!$B$2:$B$995,Index!$F$2:$F$995,"Not Found"))*B6),"")</f>
        <v>0</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885</v>
      </c>
      <c r="B7" s="1">
        <v>3.0</v>
      </c>
      <c r="C7" s="1" t="str">
        <f t="array" ref="C7">IF(NOT(ISBLANK($A7)), (_xlfn.XLOOKUP($A7,Index!$B$2:$B$995,Index!$C$2:$C$995,"Not Found")),"")</f>
        <v>C</v>
      </c>
      <c r="D7" s="1" t="str">
        <f t="array" ref="D7">IF(NOT(ISBLANK(A7)), (_xlfn.XLOOKUP($A7,Index!$B$2:B$995,Index!$A$2:$A$995,"Not Found")),"")</f>
        <v>base5-33</v>
      </c>
      <c r="E7" s="3">
        <f t="array" ref="E7">IF(NOT(ISBLANK($A7)), (_xlfn.XLOOKUP($A7,Index!$B$2:$B$995,Index!$D$2:$D$995,"Not Found")),"")</f>
        <v>1</v>
      </c>
      <c r="F7" s="1" t="str">
        <f t="array" ref="F7">IF(NOT(ISBLANK($A7)), (_xlfn.XLOOKUP($A7,Index!$B$2:$B$995,Index!$E$2:$E$995,"Not Found")),"")</f>
        <v>y</v>
      </c>
      <c r="G7" s="1">
        <f t="array" ref="G7">IF(NOT(ISBLANK(A7)), ((_xlfn.XLOOKUP(A7,Index!$B$2:$B$995,Index!$F$2:$F$995,"Not Found"))*B7),"")</f>
        <v>3</v>
      </c>
      <c r="K7" s="1" t="s">
        <v>435</v>
      </c>
      <c r="L7" s="15">
        <f t="shared" ref="L7:Q7" si="7">SUM(L2:L6)</f>
        <v>19</v>
      </c>
      <c r="M7" s="15">
        <f t="shared" si="7"/>
        <v>11</v>
      </c>
      <c r="N7" s="15">
        <f t="shared" si="7"/>
        <v>3</v>
      </c>
      <c r="O7" s="15">
        <f t="shared" si="7"/>
        <v>3</v>
      </c>
      <c r="P7" s="15">
        <f t="shared" si="7"/>
        <v>2</v>
      </c>
      <c r="Q7" s="15">
        <f t="shared" si="7"/>
        <v>3</v>
      </c>
    </row>
    <row r="8">
      <c r="A8" s="1" t="s">
        <v>137</v>
      </c>
      <c r="B8" s="1">
        <v>2.0</v>
      </c>
      <c r="C8" s="1" t="str">
        <f t="array" ref="C8">IF(NOT(ISBLANK($A8)), (_xlfn.XLOOKUP($A8,Index!$B$2:$B$995,Index!$C$2:$C$995,"Not Found")),"")</f>
        <v>C</v>
      </c>
      <c r="D8" s="1" t="str">
        <f t="array" ref="D8">IF(NOT(ISBLANK(A8)), (_xlfn.XLOOKUP($A8,Index!$B$2:B$995,Index!$A$2:$A$995,"Not Found")),"")</f>
        <v>base5-5</v>
      </c>
      <c r="E8" s="3">
        <f t="array" ref="E8">IF(NOT(ISBLANK($A8)), (_xlfn.XLOOKUP($A8,Index!$B$2:$B$995,Index!$D$2:$D$995,"Not Found")),"")</f>
        <v>2</v>
      </c>
      <c r="F8" s="1" t="str">
        <f t="array" ref="F8">IF(NOT(ISBLANK($A8)), (_xlfn.XLOOKUP($A8,Index!$B$2:$B$995,Index!$E$2:$E$995,"Not Found")),"")</f>
        <v/>
      </c>
      <c r="G8" s="1">
        <f t="array" ref="G8">IF(NOT(ISBLANK(A8)), ((_xlfn.XLOOKUP(A8,Index!$B$2:$B$995,Index!$F$2:$F$995,"Not Found"))*B8),"")</f>
        <v>4</v>
      </c>
    </row>
    <row r="9">
      <c r="A9" s="1" t="s">
        <v>654</v>
      </c>
      <c r="B9" s="1">
        <v>1.0</v>
      </c>
      <c r="C9" s="1" t="str">
        <f t="array" ref="C9">IF(NOT(ISBLANK($A9)), (_xlfn.XLOOKUP($A9,Index!$B$2:$B$995,Index!$C$2:$C$995,"Not Found")),"")</f>
        <v>W</v>
      </c>
      <c r="D9" s="1" t="str">
        <f t="array" ref="D9">IF(NOT(ISBLANK(A9)), (_xlfn.XLOOKUP($A9,Index!$B$2:B$995,Index!$A$2:$A$995,"Not Found")),"")</f>
        <v>base3-10</v>
      </c>
      <c r="E9" s="3" t="str">
        <f t="array" ref="E9">IF(NOT(ISBLANK($A9)), (_xlfn.XLOOKUP($A9,Index!$B$2:$B$995,Index!$D$2:$D$995,"Not Found")),"")</f>
        <v>b</v>
      </c>
      <c r="F9" s="1" t="str">
        <f t="array" ref="F9">IF(NOT(ISBLANK($A9)), (_xlfn.XLOOKUP($A9,Index!$B$2:$B$995,Index!$E$2:$E$995,"Not Found")),"")</f>
        <v>n</v>
      </c>
      <c r="G9" s="1">
        <f t="array" ref="G9">IF(NOT(ISBLANK(A9)), ((_xlfn.XLOOKUP(A9,Index!$B$2:$B$995,Index!$F$2:$F$995,"Not Found"))*B9),"")</f>
        <v>1</v>
      </c>
      <c r="M9" s="1" t="s">
        <v>508</v>
      </c>
      <c r="N9" s="1" t="s">
        <v>509</v>
      </c>
      <c r="O9" s="1" t="s">
        <v>510</v>
      </c>
    </row>
    <row r="10">
      <c r="A10" s="1" t="s">
        <v>159</v>
      </c>
      <c r="B10" s="1">
        <v>1.0</v>
      </c>
      <c r="C10" s="1" t="str">
        <f t="array" ref="C10">IF(NOT(ISBLANK($A10)), (_xlfn.XLOOKUP($A10,Index!$B$2:$B$995,Index!$C$2:$C$995,"Not Found")),"")</f>
        <v>E</v>
      </c>
      <c r="D10" s="1" t="str">
        <f t="array" ref="D10">IF(NOT(ISBLANK(A10)), (_xlfn.XLOOKUP($A10,Index!$B$2:B$995,Index!$A$2:$A$995,"Not Found")),"")</f>
        <v>base1-20</v>
      </c>
      <c r="E10" s="3" t="str">
        <f t="array" ref="E10">IF(NOT(ISBLANK($A10)), (_xlfn.XLOOKUP($A10,Index!$B$2:$B$995,Index!$D$2:$D$995,"Not Found")),"")</f>
        <v>b</v>
      </c>
      <c r="F10" s="1" t="str">
        <f t="array" ref="F10">IF(NOT(ISBLANK($A10)), (_xlfn.XLOOKUP($A10,Index!$B$2:$B$995,Index!$E$2:$E$995,"Not Found")),"")</f>
        <v>n</v>
      </c>
      <c r="G10" s="1">
        <f t="array" ref="G10">IF(NOT(ISBLANK(A10)), ((_xlfn.XLOOKUP(A10,Index!$B$2:$B$995,Index!$F$2:$F$995,"Not Found"))*B10),"")</f>
        <v>1</v>
      </c>
      <c r="K10" s="1" t="s">
        <v>533</v>
      </c>
      <c r="L10" s="15">
        <f>SUM(M10:P10)</f>
        <v>17</v>
      </c>
      <c r="M10" s="15">
        <f>IF(NOT(ISBLANK($K10)), SUMIFS($B$2:$B$32,$E$2:$E$32, "C", $C$2:$C$32,"T"), "")</f>
        <v>10</v>
      </c>
      <c r="N10" s="15">
        <f>IF(NOT(ISBLANK($K10)), SUMIFS($B$2:$B$32,$E$2:$E$32, "U", $C$2:$C$32,"T"), "")</f>
        <v>5</v>
      </c>
      <c r="O10" s="15">
        <f>IF(NOT(ISBLANK($K$2)), SUMIFS($B$2:$B$32,$E$2:$E$32, "R", $C$2:$C$32,"T"), "")</f>
        <v>2</v>
      </c>
    </row>
    <row r="11">
      <c r="A11" s="1" t="s">
        <v>733</v>
      </c>
      <c r="B11" s="1">
        <v>1.0</v>
      </c>
      <c r="C11" s="1" t="str">
        <f t="array" ref="C11">IF(NOT(ISBLANK($A11)), (_xlfn.XLOOKUP($A11,Index!$B$2:$B$995,Index!$C$2:$C$995,"Not Found")),"")</f>
        <v>R</v>
      </c>
      <c r="D11" s="1" t="str">
        <f t="array" ref="D11">IF(NOT(ISBLANK(A11)), (_xlfn.XLOOKUP($A11,Index!$B$2:B$995,Index!$A$2:$A$995,"Not Found")),"")</f>
        <v>base3-39</v>
      </c>
      <c r="E11" s="3" t="str">
        <f t="array" ref="E11">IF(NOT(ISBLANK($A11)), (_xlfn.XLOOKUP($A11,Index!$B$2:$B$995,Index!$D$2:$D$995,"Not Found")),"")</f>
        <v>b</v>
      </c>
      <c r="F11" s="1" t="str">
        <f t="array" ref="F11">IF(NOT(ISBLANK($A11)), (_xlfn.XLOOKUP($A11,Index!$B$2:$B$995,Index!$E$2:$E$995,"Not Found")),"")</f>
        <v>n</v>
      </c>
      <c r="G11" s="1">
        <f t="array" ref="G11">IF(NOT(ISBLANK(A11)), ((_xlfn.XLOOKUP(A11,Index!$B$2:$B$995,Index!$F$2:$F$995,"Not Found"))*B11),"")</f>
        <v>1</v>
      </c>
      <c r="K11" s="1" t="s">
        <v>47</v>
      </c>
      <c r="L11" s="1">
        <f>IF(NOT(ISBLANK($K$2)), SUMIFS($B$2:$B$32, $C$2:$C$32,"Energy"), "")</f>
        <v>24</v>
      </c>
    </row>
    <row r="12">
      <c r="A12" s="1" t="s">
        <v>461</v>
      </c>
      <c r="B12" s="1">
        <v>4.0</v>
      </c>
      <c r="C12" s="1" t="str">
        <f t="array" ref="C12">IF(NOT(ISBLANK($A12)), (_xlfn.XLOOKUP($A12,Index!$B$2:$B$995,Index!$C$2:$C$995,"Not Found")),"")</f>
        <v>Energy</v>
      </c>
      <c r="D12" s="1" t="str">
        <f t="array" ref="D12">IF(NOT(ISBLANK(A12)), (_xlfn.XLOOKUP($A12,Index!$B$2:B$995,Index!$A$2:$A$995,"Not Found")),"")</f>
        <v>base1-96</v>
      </c>
      <c r="E12" s="3" t="str">
        <f t="array" ref="E12">IF(NOT(ISBLANK($A12)), (_xlfn.XLOOKUP($A12,Index!$B$2:$B$995,Index!$D$2:$D$995,"Not Found")),"")</f>
        <v/>
      </c>
      <c r="F12" s="1" t="str">
        <f t="array" ref="F12">IF(NOT(ISBLANK($A12)), (_xlfn.XLOOKUP($A12,Index!$B$2:$B$995,Index!$E$2:$E$995,"Not Found")),"")</f>
        <v/>
      </c>
      <c r="G12" s="1">
        <f t="array" ref="G12">IF(NOT(ISBLANK(A12)), ((_xlfn.XLOOKUP(A12,Index!$B$2:$B$995,Index!$F$2:$F$995,"Not Found"))*B12),"")</f>
        <v>0</v>
      </c>
      <c r="K12" s="1" t="s">
        <v>617</v>
      </c>
      <c r="L12" s="15">
        <f>L7</f>
        <v>19</v>
      </c>
    </row>
    <row r="13">
      <c r="A13" s="1" t="s">
        <v>1034</v>
      </c>
      <c r="B13" s="1">
        <v>1.0</v>
      </c>
      <c r="C13" s="1" t="str">
        <f t="array" ref="C13">IF(NOT(ISBLANK($A13)), (_xlfn.XLOOKUP($A13,Index!$B$2:$B$995,Index!$C$2:$C$995,"Not Found")),"")</f>
        <v>Energy</v>
      </c>
      <c r="D13" s="1" t="str">
        <f t="array" ref="D13">IF(NOT(ISBLANK(A13)), (_xlfn.XLOOKUP($A13,Index!$B$2:B$995,Index!$A$2:$A$995,"Not Found")),"")</f>
        <v>base5-82</v>
      </c>
      <c r="E13" s="3" t="str">
        <f t="array" ref="E13">IF(NOT(ISBLANK($A13)), (_xlfn.XLOOKUP($A13,Index!$B$2:$B$995,Index!$D$2:$D$995,"Not Found")),"")</f>
        <v/>
      </c>
      <c r="F13" s="1" t="str">
        <f t="array" ref="F13">IF(NOT(ISBLANK($A13)), (_xlfn.XLOOKUP($A13,Index!$B$2:$B$995,Index!$E$2:$E$995,"Not Found")),"")</f>
        <v/>
      </c>
      <c r="G13" s="1">
        <f t="array" ref="G13">IF(NOT(ISBLANK(A13)), ((_xlfn.XLOOKUP(A13,Index!$B$2:$B$995,Index!$F$2:$F$995,"Not Found"))*B13),"")</f>
        <v>0</v>
      </c>
    </row>
    <row r="14">
      <c r="A14" s="1" t="s">
        <v>1032</v>
      </c>
      <c r="B14" s="1">
        <v>1.0</v>
      </c>
      <c r="C14" s="1" t="str">
        <f t="array" ref="C14">IF(NOT(ISBLANK($A14)), (_xlfn.XLOOKUP($A14,Index!$B$2:$B$995,Index!$C$2:$C$995,"Not Found")),"")</f>
        <v>Energy</v>
      </c>
      <c r="D14" s="1" t="str">
        <f t="array" ref="D14">IF(NOT(ISBLANK(A14)), (_xlfn.XLOOKUP($A14,Index!$B$2:B$995,Index!$A$2:$A$995,"Not Found")),"")</f>
        <v>base5-81</v>
      </c>
      <c r="E14" s="3" t="str">
        <f t="array" ref="E14">IF(NOT(ISBLANK($A14)), (_xlfn.XLOOKUP($A14,Index!$B$2:$B$995,Index!$D$2:$D$995,"Not Found")),"")</f>
        <v/>
      </c>
      <c r="F14" s="1" t="str">
        <f t="array" ref="F14">IF(NOT(ISBLANK($A14)), (_xlfn.XLOOKUP($A14,Index!$B$2:$B$995,Index!$E$2:$E$995,"Not Found")),"")</f>
        <v/>
      </c>
      <c r="G14" s="1">
        <f t="array" ref="G14">IF(NOT(ISBLANK(A14)), ((_xlfn.XLOOKUP(A14,Index!$B$2:$B$995,Index!$F$2:$F$995,"Not Found"))*B14),"")</f>
        <v>0</v>
      </c>
    </row>
    <row r="15">
      <c r="A15" s="1" t="s">
        <v>46</v>
      </c>
      <c r="B15" s="1">
        <v>6.0</v>
      </c>
      <c r="C15" s="1" t="str">
        <f t="array" ref="C15">IF(NOT(ISBLANK($A15)), (_xlfn.XLOOKUP($A15,Index!$B$2:$B$995,Index!$C$2:$C$995,"Not Found")),"")</f>
        <v>Energy</v>
      </c>
      <c r="D15" s="1" t="str">
        <f t="array" ref="D15">IF(NOT(ISBLANK(A15)), (_xlfn.XLOOKUP($A15,Index!$B$2:B$995,Index!$A$2:$A$995,"Not Found")),"")</f>
        <v>base1-100</v>
      </c>
      <c r="E15" s="3" t="str">
        <f t="array" ref="E15">IF(NOT(ISBLANK($A15)), (_xlfn.XLOOKUP($A15,Index!$B$2:$B$995,Index!$D$2:$D$995,"Not Found")),"")</f>
        <v/>
      </c>
      <c r="F15" s="1" t="str">
        <f t="array" ref="F15">IF(NOT(ISBLANK($A15)), (_xlfn.XLOOKUP($A15,Index!$B$2:$B$995,Index!$E$2:$E$995,"Not Found")),"")</f>
        <v/>
      </c>
      <c r="G15" s="1">
        <f t="array" ref="G15">IF(NOT(ISBLANK(A15)), ((_xlfn.XLOOKUP(A15,Index!$B$2:$B$995,Index!$F$2:$F$995,"Not Found"))*B15),"")</f>
        <v>0</v>
      </c>
      <c r="K15" s="1" t="s">
        <v>689</v>
      </c>
    </row>
    <row r="16">
      <c r="A16" s="1" t="s">
        <v>465</v>
      </c>
      <c r="B16" s="1">
        <v>6.0</v>
      </c>
      <c r="C16" s="1" t="str">
        <f t="array" ref="C16">IF(NOT(ISBLANK($A16)), (_xlfn.XLOOKUP($A16,Index!$B$2:$B$995,Index!$C$2:$C$995,"Not Found")),"")</f>
        <v>Energy</v>
      </c>
      <c r="D16" s="1" t="str">
        <f t="array" ref="D16">IF(NOT(ISBLANK(A16)), (_xlfn.XLOOKUP($A16,Index!$B$2:B$995,Index!$A$2:$A$995,"Not Found")),"")</f>
        <v>base1-98</v>
      </c>
      <c r="E16" s="3" t="str">
        <f t="array" ref="E16">IF(NOT(ISBLANK($A16)), (_xlfn.XLOOKUP($A16,Index!$B$2:$B$995,Index!$D$2:$D$995,"Not Found")),"")</f>
        <v/>
      </c>
      <c r="F16" s="1" t="str">
        <f t="array" ref="F16">IF(NOT(ISBLANK($A16)), (_xlfn.XLOOKUP($A16,Index!$B$2:$B$995,Index!$E$2:$E$995,"Not Found")),"")</f>
        <v/>
      </c>
      <c r="G16" s="1">
        <f t="array" ref="G16">IF(NOT(ISBLANK(A16)), ((_xlfn.XLOOKUP(A16,Index!$B$2:$B$995,Index!$F$2:$F$995,"Not Found"))*B16),"")</f>
        <v>0</v>
      </c>
      <c r="K16" s="15" t="str">
        <f t="shared" ref="K16:K20" si="8">K2</f>
        <v>E</v>
      </c>
      <c r="L16" s="1">
        <f t="shared" ref="L16:L19" si="9">IF(NOT(ISBLANK($K2)), SUMIFS($G$2:$G$32, $C$2:$C$32,$K2), "")</f>
        <v>3</v>
      </c>
    </row>
    <row r="17">
      <c r="A17" s="1" t="s">
        <v>58</v>
      </c>
      <c r="B17" s="1">
        <v>6.0</v>
      </c>
      <c r="C17" s="1" t="str">
        <f t="array" ref="C17">IF(NOT(ISBLANK($A17)), (_xlfn.XLOOKUP($A17,Index!$B$2:$B$995,Index!$C$2:$C$995,"Not Found")),"")</f>
        <v>Energy</v>
      </c>
      <c r="D17" s="1" t="str">
        <f t="array" ref="D17">IF(NOT(ISBLANK(A17)), (_xlfn.XLOOKUP($A17,Index!$B$2:B$995,Index!$A$2:$A$995,"Not Found")),"")</f>
        <v>base1-102</v>
      </c>
      <c r="E17" s="3" t="str">
        <f t="array" ref="E17">IF(NOT(ISBLANK($A17)), (_xlfn.XLOOKUP($A17,Index!$B$2:$B$995,Index!$D$2:$D$995,"Not Found")),"")</f>
        <v/>
      </c>
      <c r="F17" s="1" t="str">
        <f t="array" ref="F17">IF(NOT(ISBLANK($A17)), (_xlfn.XLOOKUP($A17,Index!$B$2:$B$995,Index!$E$2:$E$995,"Not Found")),"")</f>
        <v/>
      </c>
      <c r="G17" s="1">
        <f t="array" ref="G17">IF(NOT(ISBLANK(A17)), ((_xlfn.XLOOKUP(A17,Index!$B$2:$B$995,Index!$F$2:$F$995,"Not Found"))*B17),"")</f>
        <v>0</v>
      </c>
      <c r="K17" s="15" t="str">
        <f t="shared" si="8"/>
        <v>R</v>
      </c>
      <c r="L17" s="1">
        <f t="shared" si="9"/>
        <v>2.5</v>
      </c>
    </row>
    <row r="18">
      <c r="A18" s="1" t="s">
        <v>796</v>
      </c>
      <c r="B18" s="1">
        <v>3.0</v>
      </c>
      <c r="C18" s="1" t="str">
        <f t="array" ref="C18">IF(NOT(ISBLANK($A18)), (_xlfn.XLOOKUP($A18,Index!$B$2:$B$995,Index!$C$2:$C$995,"Not Found")),"")</f>
        <v>T</v>
      </c>
      <c r="D18" s="1" t="str">
        <f t="array" ref="D18">IF(NOT(ISBLANK(A18)), (_xlfn.XLOOKUP($A18,Index!$B$2:B$995,Index!$A$2:$A$995,"Not Found")),"")</f>
        <v>base3-59</v>
      </c>
      <c r="E18" s="3" t="str">
        <f t="array" ref="E18">IF(NOT(ISBLANK($A18)), (_xlfn.XLOOKUP($A18,Index!$B$2:$B$995,Index!$D$2:$D$995,"Not Found")),"")</f>
        <v>c</v>
      </c>
      <c r="F18" s="1" t="str">
        <f t="array" ref="F18">IF(NOT(ISBLANK($A18)), (_xlfn.XLOOKUP($A18,Index!$B$2:$B$995,Index!$E$2:$E$995,"Not Found")),"")</f>
        <v/>
      </c>
      <c r="G18" s="1" t="str">
        <f t="array" ref="G18">IF(NOT(ISBLANK(A18)), ((_xlfn.XLOOKUP(A18,Index!$B$2:$B$995,Index!$F$2:$F$995,"Not Found"))*B18),"")</f>
        <v>#VALUE!</v>
      </c>
      <c r="K18" s="15" t="str">
        <f t="shared" si="8"/>
        <v>W</v>
      </c>
      <c r="L18" s="1">
        <f t="shared" si="9"/>
        <v>2.5</v>
      </c>
    </row>
    <row r="19">
      <c r="A19" s="1" t="s">
        <v>909</v>
      </c>
      <c r="B19" s="1">
        <v>3.0</v>
      </c>
      <c r="C19" s="1" t="str">
        <f t="array" ref="C19">IF(NOT(ISBLANK($A19)), (_xlfn.XLOOKUP($A19,Index!$B$2:$B$995,Index!$C$2:$C$995,"Not Found")),"")</f>
        <v>T</v>
      </c>
      <c r="D19" s="1" t="str">
        <f t="array" ref="D19">IF(NOT(ISBLANK(A19)), (_xlfn.XLOOKUP($A19,Index!$B$2:B$995,Index!$A$2:$A$995,"Not Found")),"")</f>
        <v>base5-79</v>
      </c>
      <c r="E19" s="3" t="str">
        <f t="array" ref="E19">IF(NOT(ISBLANK($A19)), (_xlfn.XLOOKUP($A19,Index!$B$2:$B$995,Index!$D$2:$D$995,"Not Found")),"")</f>
        <v>c</v>
      </c>
      <c r="F19" s="1" t="str">
        <f t="array" ref="F19">IF(NOT(ISBLANK($A19)), (_xlfn.XLOOKUP($A19,Index!$B$2:$B$995,Index!$E$2:$E$995,"Not Found")),"")</f>
        <v/>
      </c>
      <c r="G19" s="1" t="str">
        <f t="array" ref="G19">IF(NOT(ISBLANK(A19)), ((_xlfn.XLOOKUP(A19,Index!$B$2:$B$995,Index!$F$2:$F$995,"Not Found"))*B19),"")</f>
        <v>#VALUE!</v>
      </c>
      <c r="K19" s="15" t="str">
        <f t="shared" si="8"/>
        <v>C</v>
      </c>
      <c r="L19" s="1">
        <f t="shared" si="9"/>
        <v>7</v>
      </c>
    </row>
    <row r="20">
      <c r="A20" s="1" t="s">
        <v>444</v>
      </c>
      <c r="B20" s="1">
        <v>3.0</v>
      </c>
      <c r="C20" s="1" t="str">
        <f t="array" ref="C20">IF(NOT(ISBLANK($A20)), (_xlfn.XLOOKUP($A20,Index!$B$2:$B$995,Index!$C$2:$C$995,"Not Found")),"")</f>
        <v>T</v>
      </c>
      <c r="D20" s="1" t="str">
        <f t="array" ref="D20">IF(NOT(ISBLANK(A20)), (_xlfn.XLOOKUP($A20,Index!$B$2:B$995,Index!$A$2:$A$995,"Not Found")),"")</f>
        <v>base1-91</v>
      </c>
      <c r="E20" s="3"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15" t="str">
        <f t="shared" si="8"/>
        <v/>
      </c>
    </row>
    <row r="21">
      <c r="A21" s="1" t="s">
        <v>430</v>
      </c>
      <c r="B21" s="1">
        <v>2.0</v>
      </c>
      <c r="C21" s="1" t="str">
        <f t="array" ref="C21">IF(NOT(ISBLANK($A21)), (_xlfn.XLOOKUP($A21,Index!$B$2:$B$995,Index!$C$2:$C$995,"Not Found")),"")</f>
        <v>T</v>
      </c>
      <c r="D21" s="1" t="str">
        <f t="array" ref="D21">IF(NOT(ISBLANK(A21)), (_xlfn.XLOOKUP($A21,Index!$B$2:B$995,Index!$A$2:$A$995,"Not Found")),"")</f>
        <v>base1-88</v>
      </c>
      <c r="E21" s="3" t="str">
        <f t="array" ref="E21">IF(NOT(ISBLANK($A21)), (_xlfn.XLOOKUP($A21,Index!$B$2:$B$995,Index!$D$2:$D$995,"Not Found")),"")</f>
        <v>u</v>
      </c>
      <c r="F21" s="1" t="str">
        <f t="array" ref="F21">IF(NOT(ISBLANK($A21)), (_xlfn.XLOOKUP($A21,Index!$B$2:$B$995,Index!$E$2:$E$995,"Not Found")),"")</f>
        <v/>
      </c>
      <c r="G21" s="1" t="str">
        <f t="array" ref="G21">IF(NOT(ISBLANK(A21)), ((_xlfn.XLOOKUP(A21,Index!$B$2:$B$995,Index!$F$2:$F$995,"Not Found"))*B21),"")</f>
        <v>#VALUE!</v>
      </c>
      <c r="K21" s="1" t="s">
        <v>860</v>
      </c>
      <c r="L21" s="15">
        <f>SUM(L15:L19)</f>
        <v>15</v>
      </c>
    </row>
    <row r="22">
      <c r="A22" s="1" t="s">
        <v>394</v>
      </c>
      <c r="B22" s="1">
        <v>1.0</v>
      </c>
      <c r="C22" s="1" t="str">
        <f t="array" ref="C22">IF(NOT(ISBLANK($A22)), (_xlfn.XLOOKUP($A22,Index!$B$2:$B$995,Index!$C$2:$C$995,"Not Found")),"")</f>
        <v>T</v>
      </c>
      <c r="D22" s="1" t="str">
        <f t="array" ref="D22">IF(NOT(ISBLANK(A22)), (_xlfn.XLOOKUP($A22,Index!$B$2:B$995,Index!$A$2:$A$995,"Not Found")),"")</f>
        <v>base1-77</v>
      </c>
      <c r="E22" s="3" t="str">
        <f t="array" ref="E22">IF(NOT(ISBLANK($A22)), (_xlfn.XLOOKUP($A22,Index!$B$2:$B$995,Index!$D$2:$D$995,"Not Found")),"")</f>
        <v>r</v>
      </c>
      <c r="F22" s="1" t="str">
        <f t="array" ref="F22">IF(NOT(ISBLANK($A22)), (_xlfn.XLOOKUP($A22,Index!$B$2:$B$995,Index!$E$2:$E$995,"Not Found")),"")</f>
        <v/>
      </c>
      <c r="G22" s="1" t="str">
        <f t="array" ref="G22">IF(NOT(ISBLANK(A22)), ((_xlfn.XLOOKUP(A22,Index!$B$2:$B$995,Index!$F$2:$F$995,"Not Found"))*B22),"")</f>
        <v>#VALUE!</v>
      </c>
    </row>
    <row r="23">
      <c r="A23" s="1" t="s">
        <v>406</v>
      </c>
      <c r="B23" s="1">
        <v>2.0</v>
      </c>
      <c r="C23" s="1" t="str">
        <f t="array" ref="C23">IF(NOT(ISBLANK($A23)), (_xlfn.XLOOKUP($A23,Index!$B$2:$B$995,Index!$C$2:$C$995,"Not Found")),"")</f>
        <v>T</v>
      </c>
      <c r="D23" s="1" t="str">
        <f t="array" ref="D23">IF(NOT(ISBLANK(A23)), (_xlfn.XLOOKUP($A23,Index!$B$2:B$995,Index!$A$2:$A$995,"Not Found")),"")</f>
        <v>base1-80</v>
      </c>
      <c r="E23" s="3" t="str">
        <f t="array" ref="E23">IF(NOT(ISBLANK($A23)), (_xlfn.XLOOKUP($A23,Index!$B$2:$B$995,Index!$D$2:$D$995,"Not Found")),"")</f>
        <v>u</v>
      </c>
      <c r="F23" s="1" t="str">
        <f t="array" ref="F23">IF(NOT(ISBLANK($A23)), (_xlfn.XLOOKUP($A23,Index!$B$2:$B$995,Index!$E$2:$E$995,"Not Found")),"")</f>
        <v/>
      </c>
      <c r="G23" s="1" t="str">
        <f t="array" ref="G23">IF(NOT(ISBLANK(A23)), ((_xlfn.XLOOKUP(A23,Index!$B$2:$B$995,Index!$F$2:$F$995,"Not Found"))*B23),"")</f>
        <v>#VALUE!</v>
      </c>
    </row>
    <row r="24">
      <c r="A24" s="1" t="s">
        <v>449</v>
      </c>
      <c r="B24" s="1">
        <v>1.0</v>
      </c>
      <c r="C24" s="1" t="str">
        <f t="array" ref="C24">IF(NOT(ISBLANK($A24)), (_xlfn.XLOOKUP($A24,Index!$B$2:$B$995,Index!$C$2:$C$995,"Not Found")),"")</f>
        <v>T</v>
      </c>
      <c r="D24" s="1" t="str">
        <f t="array" ref="D24">IF(NOT(ISBLANK(A24)), (_xlfn.XLOOKUP($A24,Index!$B$2:B$995,Index!$A$2:$A$995,"Not Found")),"")</f>
        <v>base1-92</v>
      </c>
      <c r="E24" s="3" t="str">
        <f t="array" ref="E24">IF(NOT(ISBLANK($A24)), (_xlfn.XLOOKUP($A24,Index!$B$2:$B$995,Index!$D$2:$D$995,"Not Found")),"")</f>
        <v>c</v>
      </c>
      <c r="F24" s="1" t="str">
        <f t="array" ref="F24">IF(NOT(ISBLANK($A24)), (_xlfn.XLOOKUP($A24,Index!$B$2:$B$995,Index!$E$2:$E$995,"Not Found")),"")</f>
        <v/>
      </c>
      <c r="G24" s="1" t="str">
        <f t="array" ref="G24">IF(NOT(ISBLANK(A24)), ((_xlfn.XLOOKUP(A24,Index!$B$2:$B$995,Index!$F$2:$F$995,"Not Found"))*B24),"")</f>
        <v>#VALUE!</v>
      </c>
      <c r="K24" s="1" t="s">
        <v>935</v>
      </c>
      <c r="L24" s="1" t="s">
        <v>137</v>
      </c>
    </row>
    <row r="25">
      <c r="A25" s="1" t="s">
        <v>410</v>
      </c>
      <c r="B25" s="1">
        <v>1.0</v>
      </c>
      <c r="C25" s="1" t="str">
        <f t="array" ref="C25">IF(NOT(ISBLANK($A25)), (_xlfn.XLOOKUP($A25,Index!$B$2:$B$995,Index!$C$2:$C$995,"Not Found")),"")</f>
        <v>T</v>
      </c>
      <c r="D25" s="1" t="str">
        <f t="array" ref="D25">IF(NOT(ISBLANK(A25)), (_xlfn.XLOOKUP($A25,Index!$B$2:B$995,Index!$A$2:$A$995,"Not Found")),"")</f>
        <v>base1-81</v>
      </c>
      <c r="E25" s="3" t="str">
        <f t="array" ref="E25">IF(NOT(ISBLANK($A25)), (_xlfn.XLOOKUP($A25,Index!$B$2:$B$995,Index!$D$2:$D$995,"Not Found")),"")</f>
        <v>u</v>
      </c>
      <c r="F25" s="1" t="str">
        <f t="array" ref="F25">IF(NOT(ISBLANK($A25)), (_xlfn.XLOOKUP($A25,Index!$B$2:$B$995,Index!$E$2:$E$995,"Not Found")),"")</f>
        <v/>
      </c>
      <c r="G25" s="1" t="str">
        <f t="array" ref="G25">IF(NOT(ISBLANK(A25)), ((_xlfn.XLOOKUP(A25,Index!$B$2:$B$995,Index!$F$2:$F$995,"Not Found"))*B25),"")</f>
        <v>#VALUE!</v>
      </c>
    </row>
    <row r="26">
      <c r="A26" s="1" t="s">
        <v>385</v>
      </c>
      <c r="B26" s="1">
        <v>1.0</v>
      </c>
      <c r="C26" s="1" t="str">
        <f t="array" ref="C26">IF(NOT(ISBLANK($A26)), (_xlfn.XLOOKUP($A26,Index!$B$2:$B$995,Index!$C$2:$C$995,"Not Found")),"")</f>
        <v>T</v>
      </c>
      <c r="D26" s="1" t="str">
        <f t="array" ref="D26">IF(NOT(ISBLANK(A26)), (_xlfn.XLOOKUP($A26,Index!$B$2:B$995,Index!$A$2:$A$995,"Not Found")),"")</f>
        <v>base1-74</v>
      </c>
      <c r="E26" s="3" t="str">
        <f t="array" ref="E26">IF(NOT(ISBLANK($A26)), (_xlfn.XLOOKUP($A26,Index!$B$2:$B$995,Index!$D$2:$D$995,"Not Found")),"")</f>
        <v>r</v>
      </c>
      <c r="F26" s="1" t="str">
        <f t="array" ref="F26">IF(NOT(ISBLANK($A26)), (_xlfn.XLOOKUP($A26,Index!$B$2:$B$995,Index!$E$2:$E$995,"Not Found")),"")</f>
        <v/>
      </c>
      <c r="G26" s="1" t="str">
        <f t="array" ref="G26">IF(NOT(ISBLANK(A26)), ((_xlfn.XLOOKUP(A26,Index!$B$2:$B$995,Index!$F$2:$F$995,"Not Found"))*B26),"")</f>
        <v>#VALUE!</v>
      </c>
    </row>
    <row r="27">
      <c r="C27" s="1" t="str">
        <f t="array" ref="C27">IF(NOT(ISBLANK($A27)), (_xlfn.XLOOKUP($A27,Index!$B$2:$B$995,Index!$C$2:$C$995,"Not Found")),"")</f>
        <v/>
      </c>
      <c r="D27" s="1" t="str">
        <f t="array" ref="D27">IF(NOT(ISBLANK(A27)), (_xlfn.XLOOKUP($A27,Index!$B$2:B$995,Index!$A$2:$A$995,"Not Found")),"")</f>
        <v/>
      </c>
      <c r="E27" s="3"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3"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3"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3"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3"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3"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3"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3"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3"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3"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3"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3"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3"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3"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3"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3"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3"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3"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3"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3"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3"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3"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3"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3"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3"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3"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3"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3"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3"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3"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3"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3"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3"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3"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3"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3"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3"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3"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3"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3"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3"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3"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3"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3"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3"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3"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3"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3"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3"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3"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3"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11"/>
    </row>
    <row r="79">
      <c r="E79" s="11"/>
    </row>
    <row r="80">
      <c r="E80" s="11"/>
    </row>
    <row r="81">
      <c r="E81" s="11"/>
    </row>
    <row r="82">
      <c r="E82" s="11"/>
    </row>
    <row r="83">
      <c r="E83" s="11"/>
    </row>
    <row r="84">
      <c r="E84" s="11"/>
    </row>
    <row r="85">
      <c r="E85" s="11"/>
    </row>
    <row r="86">
      <c r="E86" s="11"/>
    </row>
    <row r="87">
      <c r="E87" s="11"/>
    </row>
    <row r="88">
      <c r="E88" s="11"/>
    </row>
    <row r="89">
      <c r="E89" s="11"/>
    </row>
    <row r="90">
      <c r="E90" s="11"/>
    </row>
    <row r="91">
      <c r="E91" s="11"/>
    </row>
    <row r="92">
      <c r="E92" s="11"/>
    </row>
    <row r="93">
      <c r="E93" s="11"/>
    </row>
    <row r="94">
      <c r="E94" s="11"/>
    </row>
    <row r="95">
      <c r="E95" s="11"/>
    </row>
    <row r="96">
      <c r="E96" s="11"/>
    </row>
    <row r="97">
      <c r="E97" s="11"/>
    </row>
    <row r="98">
      <c r="E98" s="11"/>
    </row>
    <row r="99">
      <c r="E99" s="11"/>
    </row>
    <row r="100">
      <c r="E100" s="11"/>
    </row>
    <row r="101">
      <c r="E101" s="11"/>
    </row>
    <row r="102">
      <c r="E102" s="11"/>
    </row>
    <row r="103">
      <c r="E103" s="11"/>
    </row>
    <row r="104">
      <c r="E104" s="11"/>
    </row>
    <row r="105">
      <c r="E105" s="11"/>
    </row>
    <row r="106">
      <c r="E106" s="11"/>
    </row>
    <row r="107">
      <c r="E107" s="11"/>
    </row>
    <row r="108">
      <c r="E108" s="11"/>
    </row>
    <row r="109">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sheetData>
  <conditionalFormatting sqref="G1:G1000">
    <cfRule type="cellIs" dxfId="1" priority="1" operator="equal">
      <formula>0</formula>
    </cfRule>
  </conditionalFormatting>
  <conditionalFormatting sqref="L1:Q5 L11 L16:L19">
    <cfRule type="cellIs" dxfId="2" priority="2" operator="equal">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3" t="s">
        <v>5</v>
      </c>
      <c r="F1" s="1" t="s">
        <v>7</v>
      </c>
      <c r="G1" s="1" t="s">
        <v>11</v>
      </c>
      <c r="I1" s="1" t="s">
        <v>12</v>
      </c>
      <c r="K1" s="1" t="s">
        <v>3</v>
      </c>
      <c r="L1" s="1" t="s">
        <v>14</v>
      </c>
      <c r="M1" s="1" t="s">
        <v>17</v>
      </c>
      <c r="N1" s="1" t="s">
        <v>19</v>
      </c>
      <c r="O1" s="1" t="s">
        <v>21</v>
      </c>
      <c r="P1" s="1" t="s">
        <v>22</v>
      </c>
      <c r="Q1" s="1" t="s">
        <v>23</v>
      </c>
    </row>
    <row r="2">
      <c r="A2" s="1" t="s">
        <v>992</v>
      </c>
      <c r="B2" s="1">
        <v>4.0</v>
      </c>
      <c r="C2" s="1" t="str">
        <f t="array" ref="C2">IF(NOT(ISBLANK($A2)), (_xlfn.XLOOKUP($A2,Index!$B$2:$B$995,Index!$C$2:$C$995,"Not Found")),"")</f>
        <v>W</v>
      </c>
      <c r="D2" s="1" t="str">
        <f t="array" ref="D2">IF(NOT(ISBLANK(A2)), (_xlfn.XLOOKUP($A2,Index!$B$2:B$995,Index!$A$2:$A$995,"Not Found")),"")</f>
        <v>base5-68</v>
      </c>
      <c r="E2" s="3" t="str">
        <f t="array" ref="E2">IF(NOT(ISBLANK($A2)), (_xlfn.XLOOKUP($A2,Index!$B$2:$B$995,Index!$D$2:$D$995,"Not Found")),"")</f>
        <v>b</v>
      </c>
      <c r="F2" s="1" t="str">
        <f t="array" ref="F2">IF(NOT(ISBLANK($A2)), (_xlfn.XLOOKUP($A2,Index!$B$2:$B$995,Index!$E$2:$E$995,"Not Found")),"")</f>
        <v>y</v>
      </c>
      <c r="G2" s="1">
        <f t="array" ref="G2">IF(NOT(ISBLANK(A2)), ((_xlfn.XLOOKUP(A2,Index!$B$2:$B$995,Index!$F$2:$F$995,"Not Found"))*B2),"")</f>
        <v>0</v>
      </c>
      <c r="I2" s="15">
        <f>SUM(B2:B38)</f>
        <v>60</v>
      </c>
      <c r="K2" s="1" t="s">
        <v>96</v>
      </c>
      <c r="L2" s="15">
        <f t="shared" ref="L2:L6" si="1">IF(NOT(ISBLANK(K2)), SUM(M2:P2), "")</f>
        <v>17</v>
      </c>
      <c r="M2" s="1">
        <f t="shared" ref="M2:M5" si="2">IF(NOT(ISBLANK($K2)), SUMIFS($B$2:$B$32, $E$2:$E$32, "B", $C$2:$C$32,$K2), "")</f>
        <v>10</v>
      </c>
      <c r="N2" s="1">
        <f t="shared" ref="N2:N5" si="3">IF(NOT(ISBLANK($K2)),SUMIFS($B$2:$B$32,$E$2:$E$32, "1", $C$2:$C$32,$K2,$F$2:$F$32,"N"), "")</f>
        <v>5</v>
      </c>
      <c r="O2" s="1">
        <f t="shared" ref="O2:O5" si="4">IF(NOT(ISBLANK($K2)),SUMIFS($B$2:$B$32,$E$2:$E$32, "1", $C$2:$C$32,$K2,$F$2:$F$32,"Y"), "")</f>
        <v>0</v>
      </c>
      <c r="P2" s="1">
        <f t="shared" ref="P2:P5" si="5">IF(NOT(ISBLANK($K2)),SUMIFS($B$2:$B$32,$E$2:$E$32, "2", $C$2:$C$32,$K2), "")</f>
        <v>2</v>
      </c>
      <c r="Q2" s="1">
        <f t="shared" ref="Q2:Q5" si="6">IF(NOT(ISBLANK($K2)),SUMIFS($B$2:$B$32,$E$2:$E$32, "B", $C$2:$C$32,$K2,$F$2:$F$32,"N"), "")</f>
        <v>3</v>
      </c>
    </row>
    <row r="3">
      <c r="A3" s="1" t="s">
        <v>925</v>
      </c>
      <c r="B3" s="1">
        <v>3.0</v>
      </c>
      <c r="C3" s="1" t="str">
        <f t="array" ref="C3">IF(NOT(ISBLANK($A3)), (_xlfn.XLOOKUP($A3,Index!$B$2:$B$995,Index!$C$2:$C$995,"Not Found")),"")</f>
        <v>W</v>
      </c>
      <c r="D3" s="1" t="str">
        <f t="array" ref="D3">IF(NOT(ISBLANK(A3)), (_xlfn.XLOOKUP($A3,Index!$B$2:B$995,Index!$A$2:$A$995,"Not Found")),"")</f>
        <v>base5-46</v>
      </c>
      <c r="E3" s="3">
        <f t="array" ref="E3">IF(NOT(ISBLANK($A3)), (_xlfn.XLOOKUP($A3,Index!$B$2:$B$995,Index!$D$2:$D$995,"Not Found")),"")</f>
        <v>1</v>
      </c>
      <c r="F3" s="1" t="str">
        <f t="array" ref="F3">IF(NOT(ISBLANK($A3)), (_xlfn.XLOOKUP($A3,Index!$B$2:$B$995,Index!$E$2:$E$995,"Not Found")),"")</f>
        <v>n</v>
      </c>
      <c r="G3" s="1">
        <f t="array" ref="G3">IF(NOT(ISBLANK(A3)), ((_xlfn.XLOOKUP(A3,Index!$B$2:$B$995,Index!$F$2:$F$995,"Not Found"))*B3),"")</f>
        <v>1.5</v>
      </c>
      <c r="K3" s="1" t="s">
        <v>128</v>
      </c>
      <c r="L3" s="15">
        <f t="shared" si="1"/>
        <v>2</v>
      </c>
      <c r="M3" s="1">
        <f t="shared" si="2"/>
        <v>2</v>
      </c>
      <c r="N3" s="1">
        <f t="shared" si="3"/>
        <v>0</v>
      </c>
      <c r="O3" s="1">
        <f t="shared" si="4"/>
        <v>0</v>
      </c>
      <c r="P3" s="1">
        <f t="shared" si="5"/>
        <v>0</v>
      </c>
      <c r="Q3" s="1">
        <f t="shared" si="6"/>
        <v>2</v>
      </c>
    </row>
    <row r="4">
      <c r="A4" s="1" t="s">
        <v>145</v>
      </c>
      <c r="B4" s="1">
        <v>2.0</v>
      </c>
      <c r="C4" s="1" t="str">
        <f t="array" ref="C4">IF(NOT(ISBLANK($A4)), (_xlfn.XLOOKUP($A4,Index!$B$2:$B$995,Index!$C$2:$C$995,"Not Found")),"")</f>
        <v>W</v>
      </c>
      <c r="D4" s="1" t="str">
        <f t="array" ref="D4">IF(NOT(ISBLANK(A4)), (_xlfn.XLOOKUP($A4,Index!$B$2:B$995,Index!$A$2:$A$995,"Not Found")),"")</f>
        <v>base5-3</v>
      </c>
      <c r="E4" s="3">
        <f t="array" ref="E4">IF(NOT(ISBLANK($A4)), (_xlfn.XLOOKUP($A4,Index!$B$2:$B$995,Index!$D$2:$D$995,"Not Found")),"")</f>
        <v>2</v>
      </c>
      <c r="F4" s="1" t="str">
        <f t="array" ref="F4">IF(NOT(ISBLANK($A4)), (_xlfn.XLOOKUP($A4,Index!$B$2:$B$995,Index!$E$2:$E$995,"Not Found")),"")</f>
        <v/>
      </c>
      <c r="G4" s="1">
        <f t="array" ref="G4">IF(NOT(ISBLANK(A4)), ((_xlfn.XLOOKUP(A4,Index!$B$2:$B$995,Index!$F$2:$F$995,"Not Found"))*B4),"")</f>
        <v>6</v>
      </c>
      <c r="L4" s="15" t="str">
        <f t="shared" si="1"/>
        <v/>
      </c>
      <c r="M4" s="1" t="str">
        <f t="shared" si="2"/>
        <v/>
      </c>
      <c r="N4" s="1" t="str">
        <f t="shared" si="3"/>
        <v/>
      </c>
      <c r="O4" s="1" t="str">
        <f t="shared" si="4"/>
        <v/>
      </c>
      <c r="P4" s="1" t="str">
        <f t="shared" si="5"/>
        <v/>
      </c>
      <c r="Q4" s="1" t="str">
        <f t="shared" si="6"/>
        <v/>
      </c>
    </row>
    <row r="5">
      <c r="A5" s="1" t="s">
        <v>928</v>
      </c>
      <c r="B5" s="1">
        <v>3.0</v>
      </c>
      <c r="C5" s="1" t="str">
        <f t="array" ref="C5">IF(NOT(ISBLANK($A5)), (_xlfn.XLOOKUP($A5,Index!$B$2:$B$995,Index!$C$2:$C$995,"Not Found")),"")</f>
        <v>W</v>
      </c>
      <c r="D5" s="1" t="str">
        <f t="array" ref="D5">IF(NOT(ISBLANK(A5)), (_xlfn.XLOOKUP($A5,Index!$B$2:B$995,Index!$A$2:$A$995,"Not Found")),"")</f>
        <v>base5-47</v>
      </c>
      <c r="E5" s="3" t="str">
        <f t="array" ref="E5">IF(NOT(ISBLANK($A5)), (_xlfn.XLOOKUP($A5,Index!$B$2:$B$995,Index!$D$2:$D$995,"Not Found")),"")</f>
        <v>b</v>
      </c>
      <c r="F5" s="1" t="str">
        <f t="array" ref="F5">IF(NOT(ISBLANK($A5)), (_xlfn.XLOOKUP($A5,Index!$B$2:$B$995,Index!$E$2:$E$995,"Not Found")),"")</f>
        <v>y</v>
      </c>
      <c r="G5" s="1">
        <f t="array" ref="G5">IF(NOT(ISBLANK(A5)), ((_xlfn.XLOOKUP(A5,Index!$B$2:$B$995,Index!$F$2:$F$995,"Not Found"))*B5),"")</f>
        <v>0</v>
      </c>
      <c r="L5" s="15" t="str">
        <f t="shared" si="1"/>
        <v/>
      </c>
      <c r="M5" s="1" t="str">
        <f t="shared" si="2"/>
        <v/>
      </c>
      <c r="N5" s="1" t="str">
        <f t="shared" si="3"/>
        <v/>
      </c>
      <c r="O5" s="1" t="str">
        <f t="shared" si="4"/>
        <v/>
      </c>
      <c r="P5" s="1" t="str">
        <f t="shared" si="5"/>
        <v/>
      </c>
      <c r="Q5" s="1" t="str">
        <f t="shared" si="6"/>
        <v/>
      </c>
    </row>
    <row r="6">
      <c r="A6" s="1" t="s">
        <v>1028</v>
      </c>
      <c r="B6" s="1">
        <v>2.0</v>
      </c>
      <c r="C6" s="1" t="str">
        <f t="array" ref="C6">IF(NOT(ISBLANK($A6)), (_xlfn.XLOOKUP($A6,Index!$B$2:$B$995,Index!$C$2:$C$995,"Not Found")),"")</f>
        <v>W</v>
      </c>
      <c r="D6" s="1" t="str">
        <f t="array" ref="D6">IF(NOT(ISBLANK(A6)), (_xlfn.XLOOKUP($A6,Index!$B$2:B$995,Index!$A$2:$A$995,"Not Found")),"")</f>
        <v>base5-8</v>
      </c>
      <c r="E6" s="3">
        <f t="array" ref="E6">IF(NOT(ISBLANK($A6)), (_xlfn.XLOOKUP($A6,Index!$B$2:$B$995,Index!$D$2:$D$995,"Not Found")),"")</f>
        <v>1</v>
      </c>
      <c r="F6" s="1" t="str">
        <f t="array" ref="F6">IF(NOT(ISBLANK($A6)), (_xlfn.XLOOKUP($A6,Index!$B$2:$B$995,Index!$E$2:$E$995,"Not Found")),"")</f>
        <v>n</v>
      </c>
      <c r="G6" s="1">
        <f t="array" ref="G6">IF(NOT(ISBLANK(A6)), ((_xlfn.XLOOKUP(A6,Index!$B$2:$B$995,Index!$F$2:$F$995,"Not Found"))*B6),"")</f>
        <v>4</v>
      </c>
      <c r="L6" s="1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654</v>
      </c>
      <c r="B7" s="1">
        <v>3.0</v>
      </c>
      <c r="C7" s="1" t="str">
        <f t="array" ref="C7">IF(NOT(ISBLANK($A7)), (_xlfn.XLOOKUP($A7,Index!$B$2:$B$995,Index!$C$2:$C$995,"Not Found")),"")</f>
        <v>W</v>
      </c>
      <c r="D7" s="1" t="str">
        <f t="array" ref="D7">IF(NOT(ISBLANK(A7)), (_xlfn.XLOOKUP($A7,Index!$B$2:B$995,Index!$A$2:$A$995,"Not Found")),"")</f>
        <v>base3-10</v>
      </c>
      <c r="E7" s="3" t="str">
        <f t="array" ref="E7">IF(NOT(ISBLANK($A7)), (_xlfn.XLOOKUP($A7,Index!$B$2:$B$995,Index!$D$2:$D$995,"Not Found")),"")</f>
        <v>b</v>
      </c>
      <c r="F7" s="1" t="str">
        <f t="array" ref="F7">IF(NOT(ISBLANK($A7)), (_xlfn.XLOOKUP($A7,Index!$B$2:$B$995,Index!$E$2:$E$995,"Not Found")),"")</f>
        <v>n</v>
      </c>
      <c r="G7" s="1">
        <f t="array" ref="G7">IF(NOT(ISBLANK(A7)), ((_xlfn.XLOOKUP(A7,Index!$B$2:$B$995,Index!$F$2:$F$995,"Not Found"))*B7),"")</f>
        <v>3</v>
      </c>
      <c r="K7" s="1" t="s">
        <v>435</v>
      </c>
      <c r="L7" s="15">
        <f t="shared" ref="L7:Q7" si="7">SUM(L2:L6)</f>
        <v>19</v>
      </c>
      <c r="M7" s="15">
        <f t="shared" si="7"/>
        <v>12</v>
      </c>
      <c r="N7" s="15">
        <f t="shared" si="7"/>
        <v>5</v>
      </c>
      <c r="O7" s="15">
        <f t="shared" si="7"/>
        <v>0</v>
      </c>
      <c r="P7" s="15">
        <f t="shared" si="7"/>
        <v>2</v>
      </c>
      <c r="Q7" s="15">
        <f t="shared" si="7"/>
        <v>5</v>
      </c>
    </row>
    <row r="8">
      <c r="A8" s="1" t="s">
        <v>595</v>
      </c>
      <c r="B8" s="1">
        <v>1.0</v>
      </c>
      <c r="C8" s="1" t="str">
        <f t="array" ref="C8">IF(NOT(ISBLANK($A8)), (_xlfn.XLOOKUP($A8,Index!$B$2:$B$995,Index!$C$2:$C$995,"Not Found")),"")</f>
        <v>C</v>
      </c>
      <c r="D8" s="1" t="str">
        <f t="array" ref="D8">IF(NOT(ISBLANK(A8)), (_xlfn.XLOOKUP($A8,Index!$B$2:B$995,Index!$A$2:$A$995,"Not Found")),"")</f>
        <v>base2-5</v>
      </c>
      <c r="E8" s="3" t="str">
        <f t="array" ref="E8">IF(NOT(ISBLANK($A8)), (_xlfn.XLOOKUP($A8,Index!$B$2:$B$995,Index!$D$2:$D$995,"Not Found")),"")</f>
        <v>b</v>
      </c>
      <c r="F8" s="1" t="str">
        <f t="array" ref="F8">IF(NOT(ISBLANK($A8)), (_xlfn.XLOOKUP($A8,Index!$B$2:$B$995,Index!$E$2:$E$995,"Not Found")),"")</f>
        <v>n</v>
      </c>
      <c r="G8" s="1">
        <f t="array" ref="G8">IF(NOT(ISBLANK(A8)), ((_xlfn.XLOOKUP(A8,Index!$B$2:$B$995,Index!$F$2:$F$995,"Not Found"))*B8),"")</f>
        <v>1.5</v>
      </c>
    </row>
    <row r="9">
      <c r="A9" s="1" t="s">
        <v>556</v>
      </c>
      <c r="B9" s="1">
        <v>1.0</v>
      </c>
      <c r="C9" s="1" t="str">
        <f t="array" ref="C9">IF(NOT(ISBLANK($A9)), (_xlfn.XLOOKUP($A9,Index!$B$2:$B$995,Index!$C$2:$C$995,"Not Found")),"")</f>
        <v>C</v>
      </c>
      <c r="D9" s="1" t="str">
        <f t="array" ref="D9">IF(NOT(ISBLANK(A9)), (_xlfn.XLOOKUP($A9,Index!$B$2:B$995,Index!$A$2:$A$995,"Not Found")),"")</f>
        <v>base2-38</v>
      </c>
      <c r="E9" s="3" t="str">
        <f t="array" ref="E9">IF(NOT(ISBLANK($A9)), (_xlfn.XLOOKUP($A9,Index!$B$2:$B$995,Index!$D$2:$D$995,"Not Found")),"")</f>
        <v>b</v>
      </c>
      <c r="F9" s="1" t="str">
        <f t="array" ref="F9">IF(NOT(ISBLANK($A9)), (_xlfn.XLOOKUP($A9,Index!$B$2:$B$995,Index!$E$2:$E$995,"Not Found")),"")</f>
        <v>n</v>
      </c>
      <c r="G9" s="1">
        <f t="array" ref="G9">IF(NOT(ISBLANK(A9)), ((_xlfn.XLOOKUP(A9,Index!$B$2:$B$995,Index!$F$2:$F$995,"Not Found"))*B9),"")</f>
        <v>0.5</v>
      </c>
      <c r="M9" s="1" t="s">
        <v>508</v>
      </c>
      <c r="N9" s="1" t="s">
        <v>509</v>
      </c>
      <c r="O9" s="1" t="s">
        <v>510</v>
      </c>
    </row>
    <row r="10">
      <c r="A10" s="1" t="s">
        <v>58</v>
      </c>
      <c r="B10" s="1">
        <v>22.0</v>
      </c>
      <c r="C10" s="1" t="str">
        <f t="array" ref="C10">IF(NOT(ISBLANK($A10)), (_xlfn.XLOOKUP($A10,Index!$B$2:$B$995,Index!$C$2:$C$995,"Not Found")),"")</f>
        <v>Energy</v>
      </c>
      <c r="D10" s="1" t="str">
        <f t="array" ref="D10">IF(NOT(ISBLANK(A10)), (_xlfn.XLOOKUP($A10,Index!$B$2:B$995,Index!$A$2:$A$995,"Not Found")),"")</f>
        <v>base1-102</v>
      </c>
      <c r="E10" s="3" t="str">
        <f t="array" ref="E10">IF(NOT(ISBLANK($A10)), (_xlfn.XLOOKUP($A10,Index!$B$2:$B$995,Index!$D$2:$D$995,"Not Found")),"")</f>
        <v/>
      </c>
      <c r="F10" s="1" t="str">
        <f t="array" ref="F10">IF(NOT(ISBLANK($A10)), (_xlfn.XLOOKUP($A10,Index!$B$2:$B$995,Index!$E$2:$E$995,"Not Found")),"")</f>
        <v/>
      </c>
      <c r="G10" s="1">
        <f t="array" ref="G10">IF(NOT(ISBLANK(A10)), ((_xlfn.XLOOKUP(A10,Index!$B$2:$B$995,Index!$F$2:$F$995,"Not Found"))*B10),"")</f>
        <v>0</v>
      </c>
      <c r="K10" s="1" t="s">
        <v>533</v>
      </c>
      <c r="L10" s="15">
        <f>SUM(M10:P10)</f>
        <v>17</v>
      </c>
      <c r="M10" s="15">
        <f>IF(NOT(ISBLANK($K10)), SUMIFS($B$2:$B$32,$E$2:$E$32, "C", $C$2:$C$32,"T"), "")</f>
        <v>8</v>
      </c>
      <c r="N10" s="15">
        <f>IF(NOT(ISBLANK($K10)), SUMIFS($B$2:$B$32,$E$2:$E$32, "U", $C$2:$C$32,"T"), "")</f>
        <v>6</v>
      </c>
      <c r="O10" s="15">
        <f>IF(NOT(ISBLANK($K$2)), SUMIFS($B$2:$B$32,$E$2:$E$32, "R", $C$2:$C$32,"T"), "")</f>
        <v>3</v>
      </c>
    </row>
    <row r="11">
      <c r="A11" s="1" t="s">
        <v>1034</v>
      </c>
      <c r="B11" s="1">
        <v>1.0</v>
      </c>
      <c r="C11" s="1" t="str">
        <f t="array" ref="C11">IF(NOT(ISBLANK($A11)), (_xlfn.XLOOKUP($A11,Index!$B$2:$B$995,Index!$C$2:$C$995,"Not Found")),"")</f>
        <v>Energy</v>
      </c>
      <c r="D11" s="1" t="str">
        <f t="array" ref="D11">IF(NOT(ISBLANK(A11)), (_xlfn.XLOOKUP($A11,Index!$B$2:B$995,Index!$A$2:$A$995,"Not Found")),"")</f>
        <v>base5-82</v>
      </c>
      <c r="E11" s="3" t="str">
        <f t="array" ref="E11">IF(NOT(ISBLANK($A11)), (_xlfn.XLOOKUP($A11,Index!$B$2:$B$995,Index!$D$2:$D$995,"Not Found")),"")</f>
        <v/>
      </c>
      <c r="F11" s="1" t="str">
        <f t="array" ref="F11">IF(NOT(ISBLANK($A11)), (_xlfn.XLOOKUP($A11,Index!$B$2:$B$995,Index!$E$2:$E$995,"Not Found")),"")</f>
        <v/>
      </c>
      <c r="G11" s="1">
        <f t="array" ref="G11">IF(NOT(ISBLANK(A11)), ((_xlfn.XLOOKUP(A11,Index!$B$2:$B$995,Index!$F$2:$F$995,"Not Found"))*B11),"")</f>
        <v>0</v>
      </c>
      <c r="K11" s="1" t="s">
        <v>47</v>
      </c>
      <c r="L11" s="1">
        <f>IF(NOT(ISBLANK($K$2)), SUMIFS($B$2:$B$32, $C$2:$C$32,"Energy"), "")</f>
        <v>24</v>
      </c>
    </row>
    <row r="12">
      <c r="A12" s="1" t="s">
        <v>1032</v>
      </c>
      <c r="B12" s="1">
        <v>1.0</v>
      </c>
      <c r="C12" s="1" t="str">
        <f t="array" ref="C12">IF(NOT(ISBLANK($A12)), (_xlfn.XLOOKUP($A12,Index!$B$2:$B$995,Index!$C$2:$C$995,"Not Found")),"")</f>
        <v>Energy</v>
      </c>
      <c r="D12" s="1" t="str">
        <f t="array" ref="D12">IF(NOT(ISBLANK(A12)), (_xlfn.XLOOKUP($A12,Index!$B$2:B$995,Index!$A$2:$A$995,"Not Found")),"")</f>
        <v>base5-81</v>
      </c>
      <c r="E12" s="3" t="str">
        <f t="array" ref="E12">IF(NOT(ISBLANK($A12)), (_xlfn.XLOOKUP($A12,Index!$B$2:$B$995,Index!$D$2:$D$995,"Not Found")),"")</f>
        <v/>
      </c>
      <c r="F12" s="1" t="str">
        <f t="array" ref="F12">IF(NOT(ISBLANK($A12)), (_xlfn.XLOOKUP($A12,Index!$B$2:$B$995,Index!$E$2:$E$995,"Not Found")),"")</f>
        <v/>
      </c>
      <c r="G12" s="1">
        <f t="array" ref="G12">IF(NOT(ISBLANK(A12)), ((_xlfn.XLOOKUP(A12,Index!$B$2:$B$995,Index!$F$2:$F$995,"Not Found"))*B12),"")</f>
        <v>0</v>
      </c>
      <c r="K12" s="1" t="s">
        <v>617</v>
      </c>
      <c r="L12" s="15">
        <f>L7</f>
        <v>19</v>
      </c>
    </row>
    <row r="13">
      <c r="A13" s="1" t="s">
        <v>444</v>
      </c>
      <c r="B13" s="1">
        <v>3.0</v>
      </c>
      <c r="C13" s="1" t="str">
        <f t="array" ref="C13">IF(NOT(ISBLANK($A13)), (_xlfn.XLOOKUP($A13,Index!$B$2:$B$995,Index!$C$2:$C$995,"Not Found")),"")</f>
        <v>T</v>
      </c>
      <c r="D13" s="1" t="str">
        <f t="array" ref="D13">IF(NOT(ISBLANK(A13)), (_xlfn.XLOOKUP($A13,Index!$B$2:B$995,Index!$A$2:$A$995,"Not Found")),"")</f>
        <v>base1-91</v>
      </c>
      <c r="E13" s="3" t="str">
        <f t="array" ref="E13">IF(NOT(ISBLANK($A13)), (_xlfn.XLOOKUP($A13,Index!$B$2:$B$995,Index!$D$2:$D$995,"Not Found")),"")</f>
        <v>c</v>
      </c>
      <c r="F13" s="1" t="str">
        <f t="array" ref="F13">IF(NOT(ISBLANK($A13)), (_xlfn.XLOOKUP($A13,Index!$B$2:$B$995,Index!$E$2:$E$995,"Not Found")),"")</f>
        <v/>
      </c>
      <c r="G13" s="1" t="str">
        <f t="array" ref="G13">IF(NOT(ISBLANK(A13)), ((_xlfn.XLOOKUP(A13,Index!$B$2:$B$995,Index!$F$2:$F$995,"Not Found"))*B13),"")</f>
        <v>#VALUE!</v>
      </c>
    </row>
    <row r="14">
      <c r="A14" s="1" t="s">
        <v>430</v>
      </c>
      <c r="B14" s="1">
        <v>2.0</v>
      </c>
      <c r="C14" s="1" t="str">
        <f t="array" ref="C14">IF(NOT(ISBLANK($A14)), (_xlfn.XLOOKUP($A14,Index!$B$2:$B$995,Index!$C$2:$C$995,"Not Found")),"")</f>
        <v>T</v>
      </c>
      <c r="D14" s="1" t="str">
        <f t="array" ref="D14">IF(NOT(ISBLANK(A14)), (_xlfn.XLOOKUP($A14,Index!$B$2:B$995,Index!$A$2:$A$995,"Not Found")),"")</f>
        <v>base1-88</v>
      </c>
      <c r="E14" s="3" t="str">
        <f t="array" ref="E14">IF(NOT(ISBLANK($A14)), (_xlfn.XLOOKUP($A14,Index!$B$2:$B$995,Index!$D$2:$D$995,"Not Found")),"")</f>
        <v>u</v>
      </c>
      <c r="F14" s="1" t="str">
        <f t="array" ref="F14">IF(NOT(ISBLANK($A14)), (_xlfn.XLOOKUP($A14,Index!$B$2:$B$995,Index!$E$2:$E$995,"Not Found")),"")</f>
        <v/>
      </c>
      <c r="G14" s="1" t="str">
        <f t="array" ref="G14">IF(NOT(ISBLANK(A14)), ((_xlfn.XLOOKUP(A14,Index!$B$2:$B$995,Index!$F$2:$F$995,"Not Found"))*B14),"")</f>
        <v>#VALUE!</v>
      </c>
    </row>
    <row r="15">
      <c r="A15" s="1" t="s">
        <v>909</v>
      </c>
      <c r="B15" s="1">
        <v>3.0</v>
      </c>
      <c r="C15" s="1" t="str">
        <f t="array" ref="C15">IF(NOT(ISBLANK($A15)), (_xlfn.XLOOKUP($A15,Index!$B$2:$B$995,Index!$C$2:$C$995,"Not Found")),"")</f>
        <v>T</v>
      </c>
      <c r="D15" s="1" t="str">
        <f t="array" ref="D15">IF(NOT(ISBLANK(A15)), (_xlfn.XLOOKUP($A15,Index!$B$2:B$995,Index!$A$2:$A$995,"Not Found")),"")</f>
        <v>base5-79</v>
      </c>
      <c r="E15" s="3" t="str">
        <f t="array" ref="E15">IF(NOT(ISBLANK($A15)), (_xlfn.XLOOKUP($A15,Index!$B$2:$B$995,Index!$D$2:$D$995,"Not Found")),"")</f>
        <v>c</v>
      </c>
      <c r="F15" s="1" t="str">
        <f t="array" ref="F15">IF(NOT(ISBLANK($A15)), (_xlfn.XLOOKUP($A15,Index!$B$2:$B$995,Index!$E$2:$E$995,"Not Found")),"")</f>
        <v/>
      </c>
      <c r="G15" s="1" t="str">
        <f t="array" ref="G15">IF(NOT(ISBLANK(A15)), ((_xlfn.XLOOKUP(A15,Index!$B$2:$B$995,Index!$F$2:$F$995,"Not Found"))*B15),"")</f>
        <v>#VALUE!</v>
      </c>
      <c r="K15" s="1" t="s">
        <v>689</v>
      </c>
    </row>
    <row r="16">
      <c r="A16" s="1" t="s">
        <v>381</v>
      </c>
      <c r="B16" s="1">
        <v>2.0</v>
      </c>
      <c r="C16" s="1" t="str">
        <f t="array" ref="C16">IF(NOT(ISBLANK($A16)), (_xlfn.XLOOKUP($A16,Index!$B$2:$B$995,Index!$C$2:$C$995,"Not Found")),"")</f>
        <v>T</v>
      </c>
      <c r="D16" s="1" t="str">
        <f t="array" ref="D16">IF(NOT(ISBLANK(A16)), (_xlfn.XLOOKUP($A16,Index!$B$2:B$995,Index!$A$2:$A$995,"Not Found")),"")</f>
        <v>base1-73</v>
      </c>
      <c r="E16" s="3" t="str">
        <f t="array" ref="E16">IF(NOT(ISBLANK($A16)), (_xlfn.XLOOKUP($A16,Index!$B$2:$B$995,Index!$D$2:$D$995,"Not Found")),"")</f>
        <v>r</v>
      </c>
      <c r="F16" s="1" t="str">
        <f t="array" ref="F16">IF(NOT(ISBLANK($A16)), (_xlfn.XLOOKUP($A16,Index!$B$2:$B$995,Index!$E$2:$E$995,"Not Found")),"")</f>
        <v/>
      </c>
      <c r="G16" s="1" t="str">
        <f t="array" ref="G16">IF(NOT(ISBLANK(A16)), ((_xlfn.XLOOKUP(A16,Index!$B$2:$B$995,Index!$F$2:$F$995,"Not Found"))*B16),"")</f>
        <v>#VALUE!</v>
      </c>
      <c r="K16" s="15" t="str">
        <f t="shared" ref="K16:K20" si="8">K2</f>
        <v>W</v>
      </c>
      <c r="L16" s="1">
        <f t="shared" ref="L16:L19" si="9">IF(NOT(ISBLANK($K2)), SUMIFS($G$2:$G$32, $C$2:$C$32,$K2), "")</f>
        <v>14.5</v>
      </c>
    </row>
    <row r="17">
      <c r="A17" s="1" t="s">
        <v>1017</v>
      </c>
      <c r="B17" s="1">
        <v>1.0</v>
      </c>
      <c r="C17" s="1" t="str">
        <f t="array" ref="C17">IF(NOT(ISBLANK($A17)), (_xlfn.XLOOKUP($A17,Index!$B$2:$B$995,Index!$C$2:$C$995,"Not Found")),"")</f>
        <v>T</v>
      </c>
      <c r="D17" s="1" t="str">
        <f t="array" ref="D17">IF(NOT(ISBLANK(A17)), (_xlfn.XLOOKUP($A17,Index!$B$2:B$995,Index!$A$2:$A$995,"Not Found")),"")</f>
        <v>base5-76</v>
      </c>
      <c r="E17" s="3" t="str">
        <f t="array" ref="E17">IF(NOT(ISBLANK($A17)), (_xlfn.XLOOKUP($A17,Index!$B$2:$B$995,Index!$D$2:$D$995,"Not Found")),"")</f>
        <v>u</v>
      </c>
      <c r="F17" s="1" t="str">
        <f t="array" ref="F17">IF(NOT(ISBLANK($A17)), (_xlfn.XLOOKUP($A17,Index!$B$2:$B$995,Index!$E$2:$E$995,"Not Found")),"")</f>
        <v/>
      </c>
      <c r="G17" s="1" t="str">
        <f t="array" ref="G17">IF(NOT(ISBLANK(A17)), ((_xlfn.XLOOKUP(A17,Index!$B$2:$B$995,Index!$F$2:$F$995,"Not Found"))*B17),"")</f>
        <v>#VALUE!</v>
      </c>
      <c r="K17" s="15" t="str">
        <f t="shared" si="8"/>
        <v>C</v>
      </c>
      <c r="L17" s="1">
        <f t="shared" si="9"/>
        <v>2</v>
      </c>
    </row>
    <row r="18">
      <c r="A18" s="1" t="s">
        <v>406</v>
      </c>
      <c r="B18" s="1">
        <v>2.0</v>
      </c>
      <c r="C18" s="1" t="str">
        <f t="array" ref="C18">IF(NOT(ISBLANK($A18)), (_xlfn.XLOOKUP($A18,Index!$B$2:$B$995,Index!$C$2:$C$995,"Not Found")),"")</f>
        <v>T</v>
      </c>
      <c r="D18" s="1" t="str">
        <f t="array" ref="D18">IF(NOT(ISBLANK(A18)), (_xlfn.XLOOKUP($A18,Index!$B$2:B$995,Index!$A$2:$A$995,"Not Found")),"")</f>
        <v>base1-80</v>
      </c>
      <c r="E18" s="3" t="str">
        <f t="array" ref="E18">IF(NOT(ISBLANK($A18)), (_xlfn.XLOOKUP($A18,Index!$B$2:$B$995,Index!$D$2:$D$995,"Not Found")),"")</f>
        <v>u</v>
      </c>
      <c r="F18" s="1" t="str">
        <f t="array" ref="F18">IF(NOT(ISBLANK($A18)), (_xlfn.XLOOKUP($A18,Index!$B$2:$B$995,Index!$E$2:$E$995,"Not Found")),"")</f>
        <v/>
      </c>
      <c r="G18" s="1" t="str">
        <f t="array" ref="G18">IF(NOT(ISBLANK(A18)), ((_xlfn.XLOOKUP(A18,Index!$B$2:$B$995,Index!$F$2:$F$995,"Not Found"))*B18),"")</f>
        <v>#VALUE!</v>
      </c>
      <c r="K18" s="15" t="str">
        <f t="shared" si="8"/>
        <v/>
      </c>
      <c r="L18" s="1" t="str">
        <f t="shared" si="9"/>
        <v/>
      </c>
    </row>
    <row r="19">
      <c r="A19" s="1" t="s">
        <v>394</v>
      </c>
      <c r="B19" s="1">
        <v>1.0</v>
      </c>
      <c r="C19" s="1" t="str">
        <f t="array" ref="C19">IF(NOT(ISBLANK($A19)), (_xlfn.XLOOKUP($A19,Index!$B$2:$B$995,Index!$C$2:$C$995,"Not Found")),"")</f>
        <v>T</v>
      </c>
      <c r="D19" s="1" t="str">
        <f t="array" ref="D19">IF(NOT(ISBLANK(A19)), (_xlfn.XLOOKUP($A19,Index!$B$2:B$995,Index!$A$2:$A$995,"Not Found")),"")</f>
        <v>base1-77</v>
      </c>
      <c r="E19" s="3" t="str">
        <f t="array" ref="E19">IF(NOT(ISBLANK($A19)), (_xlfn.XLOOKUP($A19,Index!$B$2:$B$995,Index!$D$2:$D$995,"Not Found")),"")</f>
        <v>r</v>
      </c>
      <c r="F19" s="1" t="str">
        <f t="array" ref="F19">IF(NOT(ISBLANK($A19)), (_xlfn.XLOOKUP($A19,Index!$B$2:$B$995,Index!$E$2:$E$995,"Not Found")),"")</f>
        <v/>
      </c>
      <c r="G19" s="1" t="str">
        <f t="array" ref="G19">IF(NOT(ISBLANK(A19)), ((_xlfn.XLOOKUP(A19,Index!$B$2:$B$995,Index!$F$2:$F$995,"Not Found"))*B19),"")</f>
        <v>#VALUE!</v>
      </c>
      <c r="K19" s="15" t="str">
        <f t="shared" si="8"/>
        <v/>
      </c>
      <c r="L19" s="1" t="str">
        <f t="shared" si="9"/>
        <v/>
      </c>
    </row>
    <row r="20">
      <c r="A20" s="1" t="s">
        <v>449</v>
      </c>
      <c r="B20" s="1">
        <v>1.0</v>
      </c>
      <c r="C20" s="1" t="str">
        <f t="array" ref="C20">IF(NOT(ISBLANK($A20)), (_xlfn.XLOOKUP($A20,Index!$B$2:$B$995,Index!$C$2:$C$995,"Not Found")),"")</f>
        <v>T</v>
      </c>
      <c r="D20" s="1" t="str">
        <f t="array" ref="D20">IF(NOT(ISBLANK(A20)), (_xlfn.XLOOKUP($A20,Index!$B$2:B$995,Index!$A$2:$A$995,"Not Found")),"")</f>
        <v>base1-92</v>
      </c>
      <c r="E20" s="3" t="str">
        <f t="array" ref="E20">IF(NOT(ISBLANK($A20)), (_xlfn.XLOOKUP($A20,Index!$B$2:$B$995,Index!$D$2:$D$995,"Not Found")),"")</f>
        <v>c</v>
      </c>
      <c r="F20" s="1" t="str">
        <f t="array" ref="F20">IF(NOT(ISBLANK($A20)), (_xlfn.XLOOKUP($A20,Index!$B$2:$B$995,Index!$E$2:$E$995,"Not Found")),"")</f>
        <v/>
      </c>
      <c r="G20" s="1" t="str">
        <f t="array" ref="G20">IF(NOT(ISBLANK(A20)), ((_xlfn.XLOOKUP(A20,Index!$B$2:$B$995,Index!$F$2:$F$995,"Not Found"))*B20),"")</f>
        <v>#VALUE!</v>
      </c>
      <c r="K20" s="15" t="str">
        <f t="shared" si="8"/>
        <v/>
      </c>
    </row>
    <row r="21">
      <c r="A21" s="1" t="s">
        <v>413</v>
      </c>
      <c r="B21" s="1">
        <v>1.0</v>
      </c>
      <c r="C21" s="1" t="str">
        <f t="array" ref="C21">IF(NOT(ISBLANK($A21)), (_xlfn.XLOOKUP($A21,Index!$B$2:$B$995,Index!$C$2:$C$995,"Not Found")),"")</f>
        <v>T</v>
      </c>
      <c r="D21" s="1" t="str">
        <f t="array" ref="D21">IF(NOT(ISBLANK(A21)), (_xlfn.XLOOKUP($A21,Index!$B$2:B$995,Index!$A$2:$A$995,"Not Found")),"")</f>
        <v>base1-82</v>
      </c>
      <c r="E21" s="3" t="str">
        <f t="array" ref="E21">IF(NOT(ISBLANK($A21)), (_xlfn.XLOOKUP($A21,Index!$B$2:$B$995,Index!$D$2:$D$995,"Not Found")),"")</f>
        <v>u</v>
      </c>
      <c r="F21" s="1" t="str">
        <f t="array" ref="F21">IF(NOT(ISBLANK($A21)), (_xlfn.XLOOKUP($A21,Index!$B$2:$B$995,Index!$E$2:$E$995,"Not Found")),"")</f>
        <v/>
      </c>
      <c r="G21" s="1" t="str">
        <f t="array" ref="G21">IF(NOT(ISBLANK(A21)), ((_xlfn.XLOOKUP(A21,Index!$B$2:$B$995,Index!$F$2:$F$995,"Not Found"))*B21),"")</f>
        <v>#VALUE!</v>
      </c>
      <c r="K21" s="1" t="s">
        <v>860</v>
      </c>
      <c r="L21" s="15">
        <f>SUM(L15:L19)</f>
        <v>16.5</v>
      </c>
    </row>
    <row r="22">
      <c r="A22" s="1" t="s">
        <v>455</v>
      </c>
      <c r="B22" s="1">
        <v>1.0</v>
      </c>
      <c r="C22" s="1" t="str">
        <f t="array" ref="C22">IF(NOT(ISBLANK($A22)), (_xlfn.XLOOKUP($A22,Index!$B$2:$B$995,Index!$C$2:$C$995,"Not Found")),"")</f>
        <v>T</v>
      </c>
      <c r="D22" s="1" t="str">
        <f t="array" ref="D22">IF(NOT(ISBLANK(A22)), (_xlfn.XLOOKUP($A22,Index!$B$2:B$995,Index!$A$2:$A$995,"Not Found")),"")</f>
        <v>base1-94</v>
      </c>
      <c r="E22" s="3" t="str">
        <f t="array" ref="E22">IF(NOT(ISBLANK($A22)), (_xlfn.XLOOKUP($A22,Index!$B$2:$B$995,Index!$D$2:$D$995,"Not Found")),"")</f>
        <v>c</v>
      </c>
      <c r="F22" s="1" t="str">
        <f t="array" ref="F22">IF(NOT(ISBLANK($A22)), (_xlfn.XLOOKUP($A22,Index!$B$2:$B$995,Index!$E$2:$E$995,"Not Found")),"")</f>
        <v/>
      </c>
      <c r="G22" s="1" t="str">
        <f t="array" ref="G22">IF(NOT(ISBLANK(A22)), ((_xlfn.XLOOKUP(A22,Index!$B$2:$B$995,Index!$F$2:$F$995,"Not Found"))*B22),"")</f>
        <v>#VALUE!</v>
      </c>
    </row>
    <row r="23">
      <c r="C23" s="1" t="str">
        <f t="array" ref="C23">IF(NOT(ISBLANK($A23)), (_xlfn.XLOOKUP($A23,Index!$B$2:$B$995,Index!$C$2:$C$995,"Not Found")),"")</f>
        <v/>
      </c>
      <c r="D23" s="1" t="str">
        <f t="array" ref="D23">IF(NOT(ISBLANK(A23)), (_xlfn.XLOOKUP($A23,Index!$B$2:B$995,Index!$A$2:$A$995,"Not Found")),"")</f>
        <v/>
      </c>
      <c r="E23" s="3" t="str">
        <f t="array" ref="E23">IF(NOT(ISBLANK($A23)), (_xlfn.XLOOKUP($A23,Index!$B$2:$B$995,Index!$D$2:$D$995,"Not Found")),"")</f>
        <v/>
      </c>
      <c r="F23" s="1" t="str">
        <f t="array" ref="F23">IF(NOT(ISBLANK($A23)), (_xlfn.XLOOKUP($A23,Index!$B$2:$B$995,Index!$E$2:$E$995,"Not Found")),"")</f>
        <v/>
      </c>
      <c r="G23" s="1" t="str">
        <f t="array" ref="G23">IF(NOT(ISBLANK(A23)), ((_xlfn.XLOOKUP(A23,Index!$B$2:$B$995,Index!$F$2:$F$995,"Not Found"))*B23),"")</f>
        <v/>
      </c>
    </row>
    <row r="24">
      <c r="C24" s="1" t="str">
        <f t="array" ref="C24">IF(NOT(ISBLANK($A24)), (_xlfn.XLOOKUP($A24,Index!$B$2:$B$995,Index!$C$2:$C$995,"Not Found")),"")</f>
        <v/>
      </c>
      <c r="D24" s="1" t="str">
        <f t="array" ref="D24">IF(NOT(ISBLANK(A24)), (_xlfn.XLOOKUP($A24,Index!$B$2:B$995,Index!$A$2:$A$995,"Not Found")),"")</f>
        <v/>
      </c>
      <c r="E24" s="3" t="str">
        <f t="array" ref="E24">IF(NOT(ISBLANK($A24)), (_xlfn.XLOOKUP($A24,Index!$B$2:$B$995,Index!$D$2:$D$995,"Not Found")),"")</f>
        <v/>
      </c>
      <c r="F24" s="1" t="str">
        <f t="array" ref="F24">IF(NOT(ISBLANK($A24)), (_xlfn.XLOOKUP($A24,Index!$B$2:$B$995,Index!$E$2:$E$995,"Not Found")),"")</f>
        <v/>
      </c>
      <c r="G24" s="1" t="str">
        <f t="array" ref="G24">IF(NOT(ISBLANK(A24)), ((_xlfn.XLOOKUP(A24,Index!$B$2:$B$995,Index!$F$2:$F$995,"Not Found"))*B24),"")</f>
        <v/>
      </c>
      <c r="K24" s="1" t="s">
        <v>935</v>
      </c>
      <c r="L24" s="1" t="s">
        <v>145</v>
      </c>
    </row>
    <row r="25">
      <c r="C25" s="1" t="str">
        <f t="array" ref="C25">IF(NOT(ISBLANK($A25)), (_xlfn.XLOOKUP($A25,Index!$B$2:$B$995,Index!$C$2:$C$995,"Not Found")),"")</f>
        <v/>
      </c>
      <c r="D25" s="1" t="str">
        <f t="array" ref="D25">IF(NOT(ISBLANK(A25)), (_xlfn.XLOOKUP($A25,Index!$B$2:B$995,Index!$A$2:$A$995,"Not Found")),"")</f>
        <v/>
      </c>
      <c r="E25" s="3" t="str">
        <f t="array" ref="E25">IF(NOT(ISBLANK($A25)), (_xlfn.XLOOKUP($A25,Index!$B$2:$B$995,Index!$D$2:$D$995,"Not Found")),"")</f>
        <v/>
      </c>
      <c r="F25" s="1" t="str">
        <f t="array" ref="F25">IF(NOT(ISBLANK($A25)), (_xlfn.XLOOKUP($A25,Index!$B$2:$B$995,Index!$E$2:$E$995,"Not Found")),"")</f>
        <v/>
      </c>
      <c r="G25" s="1" t="str">
        <f t="array" ref="G25">IF(NOT(ISBLANK(A25)), ((_xlfn.XLOOKUP(A25,Index!$B$2:$B$995,Index!$F$2:$F$995,"Not Found"))*B25),"")</f>
        <v/>
      </c>
    </row>
    <row r="26">
      <c r="C26" s="1" t="str">
        <f t="array" ref="C26">IF(NOT(ISBLANK($A26)), (_xlfn.XLOOKUP($A26,Index!$B$2:$B$995,Index!$C$2:$C$995,"Not Found")),"")</f>
        <v/>
      </c>
      <c r="D26" s="1" t="str">
        <f t="array" ref="D26">IF(NOT(ISBLANK(A26)), (_xlfn.XLOOKUP($A26,Index!$B$2:B$995,Index!$A$2:$A$995,"Not Found")),"")</f>
        <v/>
      </c>
      <c r="E26" s="3" t="str">
        <f t="array" ref="E26">IF(NOT(ISBLANK($A26)), (_xlfn.XLOOKUP($A26,Index!$B$2:$B$995,Index!$D$2:$D$995,"Not Found")),"")</f>
        <v/>
      </c>
      <c r="F26" s="1" t="str">
        <f t="array" ref="F26">IF(NOT(ISBLANK($A26)), (_xlfn.XLOOKUP($A26,Index!$B$2:$B$995,Index!$E$2:$E$995,"Not Found")),"")</f>
        <v/>
      </c>
      <c r="G26" s="1" t="str">
        <f t="array" ref="G26">IF(NOT(ISBLANK(A26)), ((_xlfn.XLOOKUP(A26,Index!$B$2:$B$995,Index!$F$2:$F$995,"Not Found"))*B26),"")</f>
        <v/>
      </c>
    </row>
    <row r="27">
      <c r="C27" s="1" t="str">
        <f t="array" ref="C27">IF(NOT(ISBLANK($A27)), (_xlfn.XLOOKUP($A27,Index!$B$2:$B$995,Index!$C$2:$C$995,"Not Found")),"")</f>
        <v/>
      </c>
      <c r="D27" s="1" t="str">
        <f t="array" ref="D27">IF(NOT(ISBLANK(A27)), (_xlfn.XLOOKUP($A27,Index!$B$2:B$995,Index!$A$2:$A$995,"Not Found")),"")</f>
        <v/>
      </c>
      <c r="E27" s="3" t="str">
        <f t="array" ref="E27">IF(NOT(ISBLANK($A27)), (_xlfn.XLOOKUP($A27,Index!$B$2:$B$995,Index!$D$2:$D$995,"Not Found")),"")</f>
        <v/>
      </c>
      <c r="F27" s="1" t="str">
        <f t="array" ref="F27">IF(NOT(ISBLANK($A27)), (_xlfn.XLOOKUP($A27,Index!$B$2:$B$995,Index!$E$2:$E$995,"Not Found")),"")</f>
        <v/>
      </c>
      <c r="G27" s="1" t="str">
        <f t="array" ref="G27">IF(NOT(ISBLANK(A27)), ((_xlfn.XLOOKUP(A27,Index!$B$2:$B$995,Index!$F$2:$F$995,"Not Found"))*B27),"")</f>
        <v/>
      </c>
    </row>
    <row r="28">
      <c r="C28" s="1" t="str">
        <f t="array" ref="C28">IF(NOT(ISBLANK($A28)), (_xlfn.XLOOKUP($A28,Index!$B$2:$B$995,Index!$C$2:$C$995,"Not Found")),"")</f>
        <v/>
      </c>
      <c r="D28" s="1" t="str">
        <f t="array" ref="D28">IF(NOT(ISBLANK(A28)), (_xlfn.XLOOKUP($A28,Index!$B$2:B$995,Index!$A$2:$A$995,"Not Found")),"")</f>
        <v/>
      </c>
      <c r="E28" s="3" t="str">
        <f t="array" ref="E28">IF(NOT(ISBLANK($A28)), (_xlfn.XLOOKUP($A28,Index!$B$2:$B$995,Index!$D$2:$D$995,"Not Found")),"")</f>
        <v/>
      </c>
      <c r="F28" s="1" t="str">
        <f t="array" ref="F28">IF(NOT(ISBLANK($A28)), (_xlfn.XLOOKUP($A28,Index!$B$2:$B$995,Index!$E$2:$E$995,"Not Found")),"")</f>
        <v/>
      </c>
      <c r="G28" s="1" t="str">
        <f t="array" ref="G28">IF(NOT(ISBLANK(A28)), ((_xlfn.XLOOKUP(A28,Index!$B$2:$B$995,Index!$F$2:$F$995,"Not Found"))*B28),"")</f>
        <v/>
      </c>
    </row>
    <row r="29">
      <c r="C29" s="1" t="str">
        <f t="array" ref="C29">IF(NOT(ISBLANK($A29)), (_xlfn.XLOOKUP($A29,Index!$B$2:$B$995,Index!$C$2:$C$995,"Not Found")),"")</f>
        <v/>
      </c>
      <c r="D29" s="1" t="str">
        <f t="array" ref="D29">IF(NOT(ISBLANK(A29)), (_xlfn.XLOOKUP($A29,Index!$B$2:B$995,Index!$A$2:$A$995,"Not Found")),"")</f>
        <v/>
      </c>
      <c r="E29" s="3" t="str">
        <f t="array" ref="E29">IF(NOT(ISBLANK($A29)), (_xlfn.XLOOKUP($A29,Index!$B$2:$B$995,Index!$D$2:$D$995,"Not Found")),"")</f>
        <v/>
      </c>
      <c r="F29" s="1" t="str">
        <f t="array" ref="F29">IF(NOT(ISBLANK($A29)), (_xlfn.XLOOKUP($A29,Index!$B$2:$B$995,Index!$E$2:$E$995,"Not Found")),"")</f>
        <v/>
      </c>
      <c r="G29" s="1" t="str">
        <f t="array" ref="G29">IF(NOT(ISBLANK(A29)), ((_xlfn.XLOOKUP(A29,Index!$B$2:$B$995,Index!$F$2:$F$995,"Not Found"))*B29),"")</f>
        <v/>
      </c>
    </row>
    <row r="30">
      <c r="C30" s="1" t="str">
        <f t="array" ref="C30">IF(NOT(ISBLANK($A30)), (_xlfn.XLOOKUP($A30,Index!$B$2:$B$995,Index!$C$2:$C$995,"Not Found")),"")</f>
        <v/>
      </c>
      <c r="D30" s="1" t="str">
        <f t="array" ref="D30">IF(NOT(ISBLANK(A30)), (_xlfn.XLOOKUP($A30,Index!$B$2:B$995,Index!$A$2:$A$995,"Not Found")),"")</f>
        <v/>
      </c>
      <c r="E30" s="3" t="str">
        <f t="array" ref="E30">IF(NOT(ISBLANK($A30)), (_xlfn.XLOOKUP($A30,Index!$B$2:$B$995,Index!$D$2:$D$995,"Not Found")),"")</f>
        <v/>
      </c>
      <c r="F30" s="1" t="str">
        <f t="array" ref="F30">IF(NOT(ISBLANK($A30)), (_xlfn.XLOOKUP($A30,Index!$B$2:$B$995,Index!$E$2:$E$995,"Not Found")),"")</f>
        <v/>
      </c>
      <c r="G30" s="1" t="str">
        <f t="array" ref="G30">IF(NOT(ISBLANK(A30)), ((_xlfn.XLOOKUP(A30,Index!$B$2:$B$995,Index!$F$2:$F$995,"Not Found"))*B30),"")</f>
        <v/>
      </c>
    </row>
    <row r="31">
      <c r="C31" s="1" t="str">
        <f t="array" ref="C31">IF(NOT(ISBLANK($A31)), (_xlfn.XLOOKUP($A31,Index!$B$2:$B$995,Index!$C$2:$C$995,"Not Found")),"")</f>
        <v/>
      </c>
      <c r="D31" s="1" t="str">
        <f t="array" ref="D31">IF(NOT(ISBLANK(A31)), (_xlfn.XLOOKUP($A31,Index!$B$2:B$995,Index!$A$2:$A$995,"Not Found")),"")</f>
        <v/>
      </c>
      <c r="E31" s="3" t="str">
        <f t="array" ref="E31">IF(NOT(ISBLANK($A31)), (_xlfn.XLOOKUP($A31,Index!$B$2:$B$995,Index!$D$2:$D$995,"Not Found")),"")</f>
        <v/>
      </c>
      <c r="F31" s="1" t="str">
        <f t="array" ref="F31">IF(NOT(ISBLANK($A31)), (_xlfn.XLOOKUP($A31,Index!$B$2:$B$995,Index!$E$2:$E$995,"Not Found")),"")</f>
        <v/>
      </c>
      <c r="G31" s="1" t="str">
        <f t="array" ref="G31">IF(NOT(ISBLANK(A31)), ((_xlfn.XLOOKUP(A31,Index!$B$2:$B$995,Index!$F$2:$F$995,"Not Found"))*B31),"")</f>
        <v/>
      </c>
    </row>
    <row r="32">
      <c r="C32" s="1" t="str">
        <f t="array" ref="C32">IF(NOT(ISBLANK($A32)), (_xlfn.XLOOKUP($A32,Index!$B$2:$B$995,Index!$C$2:$C$995,"Not Found")),"")</f>
        <v/>
      </c>
      <c r="D32" s="1" t="str">
        <f t="array" ref="D32">IF(NOT(ISBLANK(A32)), (_xlfn.XLOOKUP($A32,Index!$B$2:B$995,Index!$A$2:$A$995,"Not Found")),"")</f>
        <v/>
      </c>
      <c r="E32" s="3" t="str">
        <f t="array" ref="E32">IF(NOT(ISBLANK($A32)), (_xlfn.XLOOKUP($A32,Index!$B$2:$B$995,Index!$D$2:$D$995,"Not Found")),"")</f>
        <v/>
      </c>
      <c r="F32" s="1" t="str">
        <f t="array" ref="F32">IF(NOT(ISBLANK($A32)), (_xlfn.XLOOKUP($A32,Index!$B$2:$B$995,Index!$E$2:$E$995,"Not Found")),"")</f>
        <v/>
      </c>
      <c r="G32" s="1" t="str">
        <f t="array" ref="G32">IF(NOT(ISBLANK(A32)), ((_xlfn.XLOOKUP(A32,Index!$B$2:$B$995,Index!$F$2:$F$995,"Not Found"))*B32),"")</f>
        <v/>
      </c>
    </row>
    <row r="33">
      <c r="C33" s="1" t="str">
        <f t="array" ref="C33">IF(NOT(ISBLANK($A33)), (_xlfn.XLOOKUP($A33,Index!$B$2:$B$995,Index!$C$2:$C$995,"Not Found")),"")</f>
        <v/>
      </c>
      <c r="D33" s="1" t="str">
        <f t="array" ref="D33">IF(NOT(ISBLANK(A33)), (_xlfn.XLOOKUP($A33,Index!$B$2:B$995,Index!$A$2:$A$995,"Not Found")),"")</f>
        <v/>
      </c>
      <c r="E33" s="3" t="str">
        <f t="array" ref="E33">IF(NOT(ISBLANK($A33)), (_xlfn.XLOOKUP($A33,Index!$B$2:$B$995,Index!$D$2:$D$995,"Not Found")),"")</f>
        <v/>
      </c>
      <c r="F33" s="1" t="str">
        <f t="array" ref="F33">IF(NOT(ISBLANK($A33)), (_xlfn.XLOOKUP($A33,Index!$B$2:$B$995,Index!$E$2:$E$995,"Not Found")),"")</f>
        <v/>
      </c>
      <c r="G33" s="1" t="str">
        <f t="array" ref="G33">IF(NOT(ISBLANK(A33)), ((_xlfn.XLOOKUP(A33,Index!$B$2:$B$995,Index!$F$2:$F$995,"Not Found"))*B33),"")</f>
        <v/>
      </c>
    </row>
    <row r="34">
      <c r="C34" s="1" t="str">
        <f t="array" ref="C34">IF(NOT(ISBLANK($A34)), (_xlfn.XLOOKUP($A34,Index!$B$2:$B$995,Index!$C$2:$C$995,"Not Found")),"")</f>
        <v/>
      </c>
      <c r="D34" s="1" t="str">
        <f t="array" ref="D34">IF(NOT(ISBLANK(A34)), (_xlfn.XLOOKUP($A34,Index!$B$2:B$995,Index!$A$2:$A$995,"Not Found")),"")</f>
        <v/>
      </c>
      <c r="E34" s="3" t="str">
        <f t="array" ref="E34">IF(NOT(ISBLANK($A34)), (_xlfn.XLOOKUP($A34,Index!$B$2:$B$995,Index!$D$2:$D$995,"Not Found")),"")</f>
        <v/>
      </c>
      <c r="F34" s="1" t="str">
        <f t="array" ref="F34">IF(NOT(ISBLANK($A34)), (_xlfn.XLOOKUP($A34,Index!$B$2:$B$995,Index!$E$2:$E$995,"Not Found")),"")</f>
        <v/>
      </c>
      <c r="G34" s="1" t="str">
        <f t="array" ref="G34">IF(NOT(ISBLANK(A34)), ((_xlfn.XLOOKUP(A34,Index!$B$2:$B$995,Index!$F$2:$F$995,"Not Found"))*B34),"")</f>
        <v/>
      </c>
    </row>
    <row r="35">
      <c r="C35" s="1" t="str">
        <f t="array" ref="C35">IF(NOT(ISBLANK($A35)), (_xlfn.XLOOKUP($A35,Index!$B$2:$B$995,Index!$C$2:$C$995,"Not Found")),"")</f>
        <v/>
      </c>
      <c r="D35" s="1" t="str">
        <f t="array" ref="D35">IF(NOT(ISBLANK(A35)), (_xlfn.XLOOKUP($A35,Index!$B$2:B$995,Index!$A$2:$A$995,"Not Found")),"")</f>
        <v/>
      </c>
      <c r="E35" s="3" t="str">
        <f t="array" ref="E35">IF(NOT(ISBLANK($A35)), (_xlfn.XLOOKUP($A35,Index!$B$2:$B$995,Index!$D$2:$D$995,"Not Found")),"")</f>
        <v/>
      </c>
      <c r="F35" s="1" t="str">
        <f t="array" ref="F35">IF(NOT(ISBLANK($A35)), (_xlfn.XLOOKUP($A35,Index!$B$2:$B$995,Index!$E$2:$E$995,"Not Found")),"")</f>
        <v/>
      </c>
      <c r="G35" s="1" t="str">
        <f t="array" ref="G35">IF(NOT(ISBLANK(A35)), ((_xlfn.XLOOKUP(A35,Index!$B$2:$B$995,Index!$F$2:$F$995,"Not Found"))*B35),"")</f>
        <v/>
      </c>
    </row>
    <row r="36">
      <c r="C36" s="1" t="str">
        <f t="array" ref="C36">IF(NOT(ISBLANK($A36)), (_xlfn.XLOOKUP($A36,Index!$B$2:$B$995,Index!$C$2:$C$995,"Not Found")),"")</f>
        <v/>
      </c>
      <c r="D36" s="1" t="str">
        <f t="array" ref="D36">IF(NOT(ISBLANK(A36)), (_xlfn.XLOOKUP($A36,Index!$B$2:B$995,Index!$A$2:$A$995,"Not Found")),"")</f>
        <v/>
      </c>
      <c r="E36" s="3" t="str">
        <f t="array" ref="E36">IF(NOT(ISBLANK($A36)), (_xlfn.XLOOKUP($A36,Index!$B$2:$B$995,Index!$D$2:$D$995,"Not Found")),"")</f>
        <v/>
      </c>
      <c r="F36" s="1" t="str">
        <f t="array" ref="F36">IF(NOT(ISBLANK($A36)), (_xlfn.XLOOKUP($A36,Index!$B$2:$B$995,Index!$E$2:$E$995,"Not Found")),"")</f>
        <v/>
      </c>
      <c r="G36" s="1" t="str">
        <f t="array" ref="G36">IF(NOT(ISBLANK(A36)), ((_xlfn.XLOOKUP(A36,Index!$B$2:$B$995,Index!$F$2:$F$995,"Not Found"))*B36),"")</f>
        <v/>
      </c>
    </row>
    <row r="37">
      <c r="C37" s="1" t="str">
        <f t="array" ref="C37">IF(NOT(ISBLANK($A37)), (_xlfn.XLOOKUP($A37,Index!$B$2:$B$995,Index!$C$2:$C$995,"Not Found")),"")</f>
        <v/>
      </c>
      <c r="D37" s="1" t="str">
        <f t="array" ref="D37">IF(NOT(ISBLANK(A37)), (_xlfn.XLOOKUP($A37,Index!$B$2:B$995,Index!$A$2:$A$995,"Not Found")),"")</f>
        <v/>
      </c>
      <c r="E37" s="3" t="str">
        <f t="array" ref="E37">IF(NOT(ISBLANK($A37)), (_xlfn.XLOOKUP($A37,Index!$B$2:$B$995,Index!$D$2:$D$995,"Not Found")),"")</f>
        <v/>
      </c>
      <c r="F37" s="1" t="str">
        <f t="array" ref="F37">IF(NOT(ISBLANK($A37)), (_xlfn.XLOOKUP($A37,Index!$B$2:$B$995,Index!$E$2:$E$995,"Not Found")),"")</f>
        <v/>
      </c>
      <c r="G37" s="1" t="str">
        <f t="array" ref="G37">IF(NOT(ISBLANK(A37)), ((_xlfn.XLOOKUP(A37,Index!$B$2:$B$995,Index!$F$2:$F$995,"Not Found"))*B37),"")</f>
        <v/>
      </c>
    </row>
    <row r="38">
      <c r="C38" s="1" t="str">
        <f t="array" ref="C38">IF(NOT(ISBLANK($A38)), (_xlfn.XLOOKUP($A38,Index!$B$2:$B$995,Index!$C$2:$C$995,"Not Found")),"")</f>
        <v/>
      </c>
      <c r="D38" s="1" t="str">
        <f t="array" ref="D38">IF(NOT(ISBLANK(A38)), (_xlfn.XLOOKUP($A38,Index!$B$2:B$995,Index!$A$2:$A$995,"Not Found")),"")</f>
        <v/>
      </c>
      <c r="E38" s="3" t="str">
        <f t="array" ref="E38">IF(NOT(ISBLANK($A38)), (_xlfn.XLOOKUP($A38,Index!$B$2:$B$995,Index!$D$2:$D$995,"Not Found")),"")</f>
        <v/>
      </c>
      <c r="F38" s="1" t="str">
        <f t="array" ref="F38">IF(NOT(ISBLANK($A38)), (_xlfn.XLOOKUP($A38,Index!$B$2:$B$995,Index!$E$2:$E$995,"Not Found")),"")</f>
        <v/>
      </c>
      <c r="G38" s="1" t="str">
        <f t="array" ref="G38">IF(NOT(ISBLANK(A38)), ((_xlfn.XLOOKUP(A38,Index!$B$2:$B$995,Index!$F$2:$F$995,"Not Found"))*B38),"")</f>
        <v/>
      </c>
    </row>
    <row r="39">
      <c r="C39" s="1" t="str">
        <f t="array" ref="C39">IF(NOT(ISBLANK($A39)), (_xlfn.XLOOKUP($A39,Index!$B$2:$B$995,Index!$C$2:$C$995,"Not Found")),"")</f>
        <v/>
      </c>
      <c r="D39" s="1" t="str">
        <f t="array" ref="D39">IF(NOT(ISBLANK(A39)), (_xlfn.XLOOKUP($A39,Index!$B$2:B$995,Index!$A$2:$A$995,"Not Found")),"")</f>
        <v/>
      </c>
      <c r="E39" s="3" t="str">
        <f t="array" ref="E39">IF(NOT(ISBLANK($A39)), (_xlfn.XLOOKUP($A39,Index!$B$2:$B$995,Index!$D$2:$D$995,"Not Found")),"")</f>
        <v/>
      </c>
      <c r="F39" s="1" t="str">
        <f t="array" ref="F39">IF(NOT(ISBLANK($A39)), (_xlfn.XLOOKUP($A39,Index!$B$2:$B$995,Index!$E$2:$E$995,"Not Found")),"")</f>
        <v/>
      </c>
      <c r="G39" s="1" t="str">
        <f t="array" ref="G39">IF(NOT(ISBLANK(A39)), ((_xlfn.XLOOKUP(A39,Index!$B$2:$B$995,Index!$F$2:$F$995,"Not Found"))*B39),"")</f>
        <v/>
      </c>
    </row>
    <row r="40">
      <c r="C40" s="1" t="str">
        <f t="array" ref="C40">IF(NOT(ISBLANK($A40)), (_xlfn.XLOOKUP($A40,Index!$B$2:$B$995,Index!$C$2:$C$995,"Not Found")),"")</f>
        <v/>
      </c>
      <c r="D40" s="1" t="str">
        <f t="array" ref="D40">IF(NOT(ISBLANK(A40)), (_xlfn.XLOOKUP($A40,Index!$B$2:B$995,Index!$A$2:$A$995,"Not Found")),"")</f>
        <v/>
      </c>
      <c r="E40" s="3" t="str">
        <f t="array" ref="E40">IF(NOT(ISBLANK($A40)), (_xlfn.XLOOKUP($A40,Index!$B$2:$B$995,Index!$D$2:$D$995,"Not Found")),"")</f>
        <v/>
      </c>
      <c r="F40" s="1" t="str">
        <f t="array" ref="F40">IF(NOT(ISBLANK($A40)), (_xlfn.XLOOKUP($A40,Index!$B$2:$B$995,Index!$E$2:$E$995,"Not Found")),"")</f>
        <v/>
      </c>
      <c r="G40" s="1" t="str">
        <f t="array" ref="G40">IF(NOT(ISBLANK(A40)), ((_xlfn.XLOOKUP(A40,Index!$B$2:$B$995,Index!$F$2:$F$995,"Not Found"))*B40),"")</f>
        <v/>
      </c>
    </row>
    <row r="41">
      <c r="C41" s="1" t="str">
        <f t="array" ref="C41">IF(NOT(ISBLANK($A41)), (_xlfn.XLOOKUP($A41,Index!$B$2:$B$995,Index!$C$2:$C$995,"Not Found")),"")</f>
        <v/>
      </c>
      <c r="D41" s="1" t="str">
        <f t="array" ref="D41">IF(NOT(ISBLANK(A41)), (_xlfn.XLOOKUP($A41,Index!$B$2:B$995,Index!$A$2:$A$995,"Not Found")),"")</f>
        <v/>
      </c>
      <c r="E41" s="3" t="str">
        <f t="array" ref="E41">IF(NOT(ISBLANK($A41)), (_xlfn.XLOOKUP($A41,Index!$B$2:$B$995,Index!$D$2:$D$995,"Not Found")),"")</f>
        <v/>
      </c>
      <c r="F41" s="1" t="str">
        <f t="array" ref="F41">IF(NOT(ISBLANK($A41)), (_xlfn.XLOOKUP($A41,Index!$B$2:$B$995,Index!$E$2:$E$995,"Not Found")),"")</f>
        <v/>
      </c>
      <c r="G41" s="1" t="str">
        <f t="array" ref="G41">IF(NOT(ISBLANK(A41)), ((_xlfn.XLOOKUP(A41,Index!$B$2:$B$995,Index!$F$2:$F$995,"Not Found"))*B41),"")</f>
        <v/>
      </c>
    </row>
    <row r="42">
      <c r="C42" s="1" t="str">
        <f t="array" ref="C42">IF(NOT(ISBLANK($A42)), (_xlfn.XLOOKUP($A42,Index!$B$2:$B$995,Index!$C$2:$C$995,"Not Found")),"")</f>
        <v/>
      </c>
      <c r="D42" s="1" t="str">
        <f t="array" ref="D42">IF(NOT(ISBLANK(A42)), (_xlfn.XLOOKUP($A42,Index!$B$2:B$995,Index!$A$2:$A$995,"Not Found")),"")</f>
        <v/>
      </c>
      <c r="E42" s="3" t="str">
        <f t="array" ref="E42">IF(NOT(ISBLANK($A42)), (_xlfn.XLOOKUP($A42,Index!$B$2:$B$995,Index!$D$2:$D$995,"Not Found")),"")</f>
        <v/>
      </c>
      <c r="F42" s="1" t="str">
        <f t="array" ref="F42">IF(NOT(ISBLANK($A42)), (_xlfn.XLOOKUP($A42,Index!$B$2:$B$995,Index!$E$2:$E$995,"Not Found")),"")</f>
        <v/>
      </c>
      <c r="G42" s="1" t="str">
        <f t="array" ref="G42">IF(NOT(ISBLANK(A42)), ((_xlfn.XLOOKUP(A42,Index!$B$2:$B$995,Index!$F$2:$F$995,"Not Found"))*B42),"")</f>
        <v/>
      </c>
    </row>
    <row r="43">
      <c r="C43" s="1" t="str">
        <f t="array" ref="C43">IF(NOT(ISBLANK($A43)), (_xlfn.XLOOKUP($A43,Index!$B$2:$B$995,Index!$C$2:$C$995,"Not Found")),"")</f>
        <v/>
      </c>
      <c r="D43" s="1" t="str">
        <f t="array" ref="D43">IF(NOT(ISBLANK(A43)), (_xlfn.XLOOKUP($A43,Index!$B$2:B$995,Index!$A$2:$A$995,"Not Found")),"")</f>
        <v/>
      </c>
      <c r="E43" s="3" t="str">
        <f t="array" ref="E43">IF(NOT(ISBLANK($A43)), (_xlfn.XLOOKUP($A43,Index!$B$2:$B$995,Index!$D$2:$D$995,"Not Found")),"")</f>
        <v/>
      </c>
      <c r="F43" s="1" t="str">
        <f t="array" ref="F43">IF(NOT(ISBLANK($A43)), (_xlfn.XLOOKUP($A43,Index!$B$2:$B$995,Index!$E$2:$E$995,"Not Found")),"")</f>
        <v/>
      </c>
      <c r="G43" s="1" t="str">
        <f t="array" ref="G43">IF(NOT(ISBLANK(A43)), ((_xlfn.XLOOKUP(A43,Index!$B$2:$B$995,Index!$F$2:$F$995,"Not Found"))*B43),"")</f>
        <v/>
      </c>
    </row>
    <row r="44">
      <c r="C44" s="1" t="str">
        <f t="array" ref="C44">IF(NOT(ISBLANK($A44)), (_xlfn.XLOOKUP($A44,Index!$B$2:$B$995,Index!$C$2:$C$995,"Not Found")),"")</f>
        <v/>
      </c>
      <c r="D44" s="1" t="str">
        <f t="array" ref="D44">IF(NOT(ISBLANK(A44)), (_xlfn.XLOOKUP($A44,Index!$B$2:B$995,Index!$A$2:$A$995,"Not Found")),"")</f>
        <v/>
      </c>
      <c r="E44" s="3" t="str">
        <f t="array" ref="E44">IF(NOT(ISBLANK($A44)), (_xlfn.XLOOKUP($A44,Index!$B$2:$B$995,Index!$D$2:$D$995,"Not Found")),"")</f>
        <v/>
      </c>
      <c r="F44" s="1" t="str">
        <f t="array" ref="F44">IF(NOT(ISBLANK($A44)), (_xlfn.XLOOKUP($A44,Index!$B$2:$B$995,Index!$E$2:$E$995,"Not Found")),"")</f>
        <v/>
      </c>
      <c r="G44" s="1" t="str">
        <f t="array" ref="G44">IF(NOT(ISBLANK(A44)), ((_xlfn.XLOOKUP(A44,Index!$B$2:$B$995,Index!$F$2:$F$995,"Not Found"))*B44),"")</f>
        <v/>
      </c>
    </row>
    <row r="45">
      <c r="C45" s="1" t="str">
        <f t="array" ref="C45">IF(NOT(ISBLANK($A45)), (_xlfn.XLOOKUP($A45,Index!$B$2:$B$995,Index!$C$2:$C$995,"Not Found")),"")</f>
        <v/>
      </c>
      <c r="D45" s="1" t="str">
        <f t="array" ref="D45">IF(NOT(ISBLANK(A45)), (_xlfn.XLOOKUP($A45,Index!$B$2:B$995,Index!$A$2:$A$995,"Not Found")),"")</f>
        <v/>
      </c>
      <c r="E45" s="3" t="str">
        <f t="array" ref="E45">IF(NOT(ISBLANK($A45)), (_xlfn.XLOOKUP($A45,Index!$B$2:$B$995,Index!$D$2:$D$995,"Not Found")),"")</f>
        <v/>
      </c>
      <c r="F45" s="1" t="str">
        <f t="array" ref="F45">IF(NOT(ISBLANK($A45)), (_xlfn.XLOOKUP($A45,Index!$B$2:$B$995,Index!$E$2:$E$995,"Not Found")),"")</f>
        <v/>
      </c>
      <c r="G45" s="1" t="str">
        <f t="array" ref="G45">IF(NOT(ISBLANK(A45)), ((_xlfn.XLOOKUP(A45,Index!$B$2:$B$995,Index!$F$2:$F$995,"Not Found"))*B45),"")</f>
        <v/>
      </c>
    </row>
    <row r="46">
      <c r="C46" s="1" t="str">
        <f t="array" ref="C46">IF(NOT(ISBLANK($A46)), (_xlfn.XLOOKUP($A46,Index!$B$2:$B$995,Index!$C$2:$C$995,"Not Found")),"")</f>
        <v/>
      </c>
      <c r="D46" s="1" t="str">
        <f t="array" ref="D46">IF(NOT(ISBLANK(A46)), (_xlfn.XLOOKUP($A46,Index!$B$2:B$995,Index!$A$2:$A$995,"Not Found")),"")</f>
        <v/>
      </c>
      <c r="E46" s="3" t="str">
        <f t="array" ref="E46">IF(NOT(ISBLANK($A46)), (_xlfn.XLOOKUP($A46,Index!$B$2:$B$995,Index!$D$2:$D$995,"Not Found")),"")</f>
        <v/>
      </c>
      <c r="F46" s="1" t="str">
        <f t="array" ref="F46">IF(NOT(ISBLANK($A46)), (_xlfn.XLOOKUP($A46,Index!$B$2:$B$995,Index!$E$2:$E$995,"Not Found")),"")</f>
        <v/>
      </c>
      <c r="G46" s="1" t="str">
        <f t="array" ref="G46">IF(NOT(ISBLANK(A46)), ((_xlfn.XLOOKUP(A46,Index!$B$2:$B$995,Index!$F$2:$F$995,"Not Found"))*B46),"")</f>
        <v/>
      </c>
    </row>
    <row r="47">
      <c r="C47" s="1" t="str">
        <f t="array" ref="C47">IF(NOT(ISBLANK($A47)), (_xlfn.XLOOKUP($A47,Index!$B$2:$B$995,Index!$C$2:$C$995,"Not Found")),"")</f>
        <v/>
      </c>
      <c r="D47" s="1" t="str">
        <f t="array" ref="D47">IF(NOT(ISBLANK(A47)), (_xlfn.XLOOKUP($A47,Index!$B$2:B$995,Index!$A$2:$A$995,"Not Found")),"")</f>
        <v/>
      </c>
      <c r="E47" s="3" t="str">
        <f t="array" ref="E47">IF(NOT(ISBLANK($A47)), (_xlfn.XLOOKUP($A47,Index!$B$2:$B$995,Index!$D$2:$D$995,"Not Found")),"")</f>
        <v/>
      </c>
      <c r="F47" s="1" t="str">
        <f t="array" ref="F47">IF(NOT(ISBLANK($A47)), (_xlfn.XLOOKUP($A47,Index!$B$2:$B$995,Index!$E$2:$E$995,"Not Found")),"")</f>
        <v/>
      </c>
      <c r="G47" s="1" t="str">
        <f t="array" ref="G47">IF(NOT(ISBLANK(A47)), ((_xlfn.XLOOKUP(A47,Index!$B$2:$B$995,Index!$F$2:$F$995,"Not Found"))*B47),"")</f>
        <v/>
      </c>
    </row>
    <row r="48">
      <c r="C48" s="1" t="str">
        <f t="array" ref="C48">IF(NOT(ISBLANK($A48)), (_xlfn.XLOOKUP($A48,Index!$B$2:$B$995,Index!$C$2:$C$995,"Not Found")),"")</f>
        <v/>
      </c>
      <c r="D48" s="1" t="str">
        <f t="array" ref="D48">IF(NOT(ISBLANK(A48)), (_xlfn.XLOOKUP($A48,Index!$B$2:B$995,Index!$A$2:$A$995,"Not Found")),"")</f>
        <v/>
      </c>
      <c r="E48" s="3" t="str">
        <f t="array" ref="E48">IF(NOT(ISBLANK($A48)), (_xlfn.XLOOKUP($A48,Index!$B$2:$B$995,Index!$D$2:$D$995,"Not Found")),"")</f>
        <v/>
      </c>
      <c r="F48" s="1" t="str">
        <f t="array" ref="F48">IF(NOT(ISBLANK($A48)), (_xlfn.XLOOKUP($A48,Index!$B$2:$B$995,Index!$E$2:$E$995,"Not Found")),"")</f>
        <v/>
      </c>
      <c r="G48" s="1" t="str">
        <f t="array" ref="G48">IF(NOT(ISBLANK(A48)), ((_xlfn.XLOOKUP(A48,Index!$B$2:$B$995,Index!$F$2:$F$995,"Not Found"))*B48),"")</f>
        <v/>
      </c>
    </row>
    <row r="49">
      <c r="C49" s="1" t="str">
        <f t="array" ref="C49">IF(NOT(ISBLANK($A49)), (_xlfn.XLOOKUP($A49,Index!$B$2:$B$995,Index!$C$2:$C$995,"Not Found")),"")</f>
        <v/>
      </c>
      <c r="D49" s="1" t="str">
        <f t="array" ref="D49">IF(NOT(ISBLANK(A49)), (_xlfn.XLOOKUP($A49,Index!$B$2:B$995,Index!$A$2:$A$995,"Not Found")),"")</f>
        <v/>
      </c>
      <c r="E49" s="3" t="str">
        <f t="array" ref="E49">IF(NOT(ISBLANK($A49)), (_xlfn.XLOOKUP($A49,Index!$B$2:$B$995,Index!$D$2:$D$995,"Not Found")),"")</f>
        <v/>
      </c>
      <c r="F49" s="1" t="str">
        <f t="array" ref="F49">IF(NOT(ISBLANK($A49)), (_xlfn.XLOOKUP($A49,Index!$B$2:$B$995,Index!$E$2:$E$995,"Not Found")),"")</f>
        <v/>
      </c>
      <c r="G49" s="1" t="str">
        <f t="array" ref="G49">IF(NOT(ISBLANK(A49)), ((_xlfn.XLOOKUP(A49,Index!$B$2:$B$995,Index!$F$2:$F$995,"Not Found"))*B49),"")</f>
        <v/>
      </c>
    </row>
    <row r="50">
      <c r="C50" s="1" t="str">
        <f t="array" ref="C50">IF(NOT(ISBLANK($A50)), (_xlfn.XLOOKUP($A50,Index!$B$2:$B$995,Index!$C$2:$C$995,"Not Found")),"")</f>
        <v/>
      </c>
      <c r="D50" s="1" t="str">
        <f t="array" ref="D50">IF(NOT(ISBLANK(A50)), (_xlfn.XLOOKUP($A50,Index!$B$2:B$995,Index!$A$2:$A$995,"Not Found")),"")</f>
        <v/>
      </c>
      <c r="E50" s="3" t="str">
        <f t="array" ref="E50">IF(NOT(ISBLANK($A50)), (_xlfn.XLOOKUP($A50,Index!$B$2:$B$995,Index!$D$2:$D$995,"Not Found")),"")</f>
        <v/>
      </c>
      <c r="F50" s="1" t="str">
        <f t="array" ref="F50">IF(NOT(ISBLANK($A50)), (_xlfn.XLOOKUP($A50,Index!$B$2:$B$995,Index!$E$2:$E$995,"Not Found")),"")</f>
        <v/>
      </c>
      <c r="G50" s="1" t="str">
        <f t="array" ref="G50">IF(NOT(ISBLANK(A50)), ((_xlfn.XLOOKUP(A50,Index!$B$2:$B$995,Index!$F$2:$F$995,"Not Found"))*B50),"")</f>
        <v/>
      </c>
    </row>
    <row r="51">
      <c r="C51" s="1" t="str">
        <f t="array" ref="C51">IF(NOT(ISBLANK($A51)), (_xlfn.XLOOKUP($A51,Index!$B$2:$B$995,Index!$C$2:$C$995,"Not Found")),"")</f>
        <v/>
      </c>
      <c r="D51" s="1" t="str">
        <f t="array" ref="D51">IF(NOT(ISBLANK(A51)), (_xlfn.XLOOKUP($A51,Index!$B$2:B$995,Index!$A$2:$A$995,"Not Found")),"")</f>
        <v/>
      </c>
      <c r="E51" s="3" t="str">
        <f t="array" ref="E51">IF(NOT(ISBLANK($A51)), (_xlfn.XLOOKUP($A51,Index!$B$2:$B$995,Index!$D$2:$D$995,"Not Found")),"")</f>
        <v/>
      </c>
      <c r="F51" s="1" t="str">
        <f t="array" ref="F51">IF(NOT(ISBLANK($A51)), (_xlfn.XLOOKUP($A51,Index!$B$2:$B$995,Index!$E$2:$E$995,"Not Found")),"")</f>
        <v/>
      </c>
      <c r="G51" s="1" t="str">
        <f t="array" ref="G51">IF(NOT(ISBLANK(A51)), ((_xlfn.XLOOKUP(A51,Index!$B$2:$B$995,Index!$F$2:$F$995,"Not Found"))*B51),"")</f>
        <v/>
      </c>
    </row>
    <row r="52">
      <c r="C52" s="1" t="str">
        <f t="array" ref="C52">IF(NOT(ISBLANK($A52)), (_xlfn.XLOOKUP($A52,Index!$B$2:$B$995,Index!$C$2:$C$995,"Not Found")),"")</f>
        <v/>
      </c>
      <c r="D52" s="1" t="str">
        <f t="array" ref="D52">IF(NOT(ISBLANK(A52)), (_xlfn.XLOOKUP($A52,Index!$B$2:B$995,Index!$A$2:$A$995,"Not Found")),"")</f>
        <v/>
      </c>
      <c r="E52" s="3" t="str">
        <f t="array" ref="E52">IF(NOT(ISBLANK($A52)), (_xlfn.XLOOKUP($A52,Index!$B$2:$B$995,Index!$D$2:$D$995,"Not Found")),"")</f>
        <v/>
      </c>
      <c r="F52" s="1" t="str">
        <f t="array" ref="F52">IF(NOT(ISBLANK($A52)), (_xlfn.XLOOKUP($A52,Index!$B$2:$B$995,Index!$E$2:$E$995,"Not Found")),"")</f>
        <v/>
      </c>
      <c r="G52" s="1" t="str">
        <f t="array" ref="G52">IF(NOT(ISBLANK(A52)), ((_xlfn.XLOOKUP(A52,Index!$B$2:$B$995,Index!$F$2:$F$995,"Not Found"))*B52),"")</f>
        <v/>
      </c>
    </row>
    <row r="53">
      <c r="C53" s="1" t="str">
        <f t="array" ref="C53">IF(NOT(ISBLANK($A53)), (_xlfn.XLOOKUP($A53,Index!$B$2:$B$995,Index!$C$2:$C$995,"Not Found")),"")</f>
        <v/>
      </c>
      <c r="D53" s="1" t="str">
        <f t="array" ref="D53">IF(NOT(ISBLANK(A53)), (_xlfn.XLOOKUP($A53,Index!$B$2:B$995,Index!$A$2:$A$995,"Not Found")),"")</f>
        <v/>
      </c>
      <c r="E53" s="3" t="str">
        <f t="array" ref="E53">IF(NOT(ISBLANK($A53)), (_xlfn.XLOOKUP($A53,Index!$B$2:$B$995,Index!$D$2:$D$995,"Not Found")),"")</f>
        <v/>
      </c>
      <c r="F53" s="1" t="str">
        <f t="array" ref="F53">IF(NOT(ISBLANK($A53)), (_xlfn.XLOOKUP($A53,Index!$B$2:$B$995,Index!$E$2:$E$995,"Not Found")),"")</f>
        <v/>
      </c>
      <c r="G53" s="1" t="str">
        <f t="array" ref="G53">IF(NOT(ISBLANK(A53)), ((_xlfn.XLOOKUP(A53,Index!$B$2:$B$995,Index!$F$2:$F$995,"Not Found"))*B53),"")</f>
        <v/>
      </c>
    </row>
    <row r="54">
      <c r="C54" s="1" t="str">
        <f t="array" ref="C54">IF(NOT(ISBLANK($A54)), (_xlfn.XLOOKUP($A54,Index!$B$2:$B$995,Index!$C$2:$C$995,"Not Found")),"")</f>
        <v/>
      </c>
      <c r="D54" s="1" t="str">
        <f t="array" ref="D54">IF(NOT(ISBLANK(A54)), (_xlfn.XLOOKUP($A54,Index!$B$2:B$995,Index!$A$2:$A$995,"Not Found")),"")</f>
        <v/>
      </c>
      <c r="E54" s="3" t="str">
        <f t="array" ref="E54">IF(NOT(ISBLANK($A54)), (_xlfn.XLOOKUP($A54,Index!$B$2:$B$995,Index!$D$2:$D$995,"Not Found")),"")</f>
        <v/>
      </c>
      <c r="F54" s="1" t="str">
        <f t="array" ref="F54">IF(NOT(ISBLANK($A54)), (_xlfn.XLOOKUP($A54,Index!$B$2:$B$995,Index!$E$2:$E$995,"Not Found")),"")</f>
        <v/>
      </c>
      <c r="G54" s="1" t="str">
        <f t="array" ref="G54">IF(NOT(ISBLANK(A54)), ((_xlfn.XLOOKUP(A54,Index!$B$2:$B$995,Index!$F$2:$F$995,"Not Found"))*B54),"")</f>
        <v/>
      </c>
    </row>
    <row r="55">
      <c r="C55" s="1" t="str">
        <f t="array" ref="C55">IF(NOT(ISBLANK($A55)), (_xlfn.XLOOKUP($A55,Index!$B$2:$B$995,Index!$C$2:$C$995,"Not Found")),"")</f>
        <v/>
      </c>
      <c r="D55" s="1" t="str">
        <f t="array" ref="D55">IF(NOT(ISBLANK(A55)), (_xlfn.XLOOKUP($A55,Index!$B$2:B$995,Index!$A$2:$A$995,"Not Found")),"")</f>
        <v/>
      </c>
      <c r="E55" s="3" t="str">
        <f t="array" ref="E55">IF(NOT(ISBLANK($A55)), (_xlfn.XLOOKUP($A55,Index!$B$2:$B$995,Index!$D$2:$D$995,"Not Found")),"")</f>
        <v/>
      </c>
      <c r="F55" s="1" t="str">
        <f t="array" ref="F55">IF(NOT(ISBLANK($A55)), (_xlfn.XLOOKUP($A55,Index!$B$2:$B$995,Index!$E$2:$E$995,"Not Found")),"")</f>
        <v/>
      </c>
      <c r="G55" s="1" t="str">
        <f t="array" ref="G55">IF(NOT(ISBLANK(A55)), ((_xlfn.XLOOKUP(A55,Index!$B$2:$B$995,Index!$F$2:$F$995,"Not Found"))*B55),"")</f>
        <v/>
      </c>
    </row>
    <row r="56">
      <c r="C56" s="1" t="str">
        <f t="array" ref="C56">IF(NOT(ISBLANK($A56)), (_xlfn.XLOOKUP($A56,Index!$B$2:$B$995,Index!$C$2:$C$995,"Not Found")),"")</f>
        <v/>
      </c>
      <c r="D56" s="1" t="str">
        <f t="array" ref="D56">IF(NOT(ISBLANK(A56)), (_xlfn.XLOOKUP($A56,Index!$B$2:B$995,Index!$A$2:$A$995,"Not Found")),"")</f>
        <v/>
      </c>
      <c r="E56" s="3" t="str">
        <f t="array" ref="E56">IF(NOT(ISBLANK($A56)), (_xlfn.XLOOKUP($A56,Index!$B$2:$B$995,Index!$D$2:$D$995,"Not Found")),"")</f>
        <v/>
      </c>
      <c r="F56" s="1" t="str">
        <f t="array" ref="F56">IF(NOT(ISBLANK($A56)), (_xlfn.XLOOKUP($A56,Index!$B$2:$B$995,Index!$E$2:$E$995,"Not Found")),"")</f>
        <v/>
      </c>
      <c r="G56" s="1" t="str">
        <f t="array" ref="G56">IF(NOT(ISBLANK(A56)), ((_xlfn.XLOOKUP(A56,Index!$B$2:$B$995,Index!$F$2:$F$995,"Not Found"))*B56),"")</f>
        <v/>
      </c>
    </row>
    <row r="57">
      <c r="C57" s="1" t="str">
        <f t="array" ref="C57">IF(NOT(ISBLANK($A57)), (_xlfn.XLOOKUP($A57,Index!$B$2:$B$995,Index!$C$2:$C$995,"Not Found")),"")</f>
        <v/>
      </c>
      <c r="D57" s="1" t="str">
        <f t="array" ref="D57">IF(NOT(ISBLANK(A57)), (_xlfn.XLOOKUP($A57,Index!$B$2:B$995,Index!$A$2:$A$995,"Not Found")),"")</f>
        <v/>
      </c>
      <c r="E57" s="3" t="str">
        <f t="array" ref="E57">IF(NOT(ISBLANK($A57)), (_xlfn.XLOOKUP($A57,Index!$B$2:$B$995,Index!$D$2:$D$995,"Not Found")),"")</f>
        <v/>
      </c>
      <c r="F57" s="1" t="str">
        <f t="array" ref="F57">IF(NOT(ISBLANK($A57)), (_xlfn.XLOOKUP($A57,Index!$B$2:$B$995,Index!$E$2:$E$995,"Not Found")),"")</f>
        <v/>
      </c>
      <c r="G57" s="1" t="str">
        <f t="array" ref="G57">IF(NOT(ISBLANK(A57)), ((_xlfn.XLOOKUP(A57,Index!$B$2:$B$995,Index!$F$2:$F$995,"Not Found"))*B57),"")</f>
        <v/>
      </c>
    </row>
    <row r="58">
      <c r="C58" s="1" t="str">
        <f t="array" ref="C58">IF(NOT(ISBLANK($A58)), (_xlfn.XLOOKUP($A58,Index!$B$2:$B$995,Index!$C$2:$C$995,"Not Found")),"")</f>
        <v/>
      </c>
      <c r="D58" s="1" t="str">
        <f t="array" ref="D58">IF(NOT(ISBLANK(A58)), (_xlfn.XLOOKUP($A58,Index!$B$2:B$995,Index!$A$2:$A$995,"Not Found")),"")</f>
        <v/>
      </c>
      <c r="E58" s="3" t="str">
        <f t="array" ref="E58">IF(NOT(ISBLANK($A58)), (_xlfn.XLOOKUP($A58,Index!$B$2:$B$995,Index!$D$2:$D$995,"Not Found")),"")</f>
        <v/>
      </c>
      <c r="F58" s="1" t="str">
        <f t="array" ref="F58">IF(NOT(ISBLANK($A58)), (_xlfn.XLOOKUP($A58,Index!$B$2:$B$995,Index!$E$2:$E$995,"Not Found")),"")</f>
        <v/>
      </c>
      <c r="G58" s="1" t="str">
        <f t="array" ref="G58">IF(NOT(ISBLANK(A58)), ((_xlfn.XLOOKUP(A58,Index!$B$2:$B$995,Index!$F$2:$F$995,"Not Found"))*B58),"")</f>
        <v/>
      </c>
    </row>
    <row r="59">
      <c r="C59" s="1" t="str">
        <f t="array" ref="C59">IF(NOT(ISBLANK($A59)), (_xlfn.XLOOKUP($A59,Index!$B$2:$B$995,Index!$C$2:$C$995,"Not Found")),"")</f>
        <v/>
      </c>
      <c r="D59" s="1" t="str">
        <f t="array" ref="D59">IF(NOT(ISBLANK(A59)), (_xlfn.XLOOKUP($A59,Index!$B$2:B$995,Index!$A$2:$A$995,"Not Found")),"")</f>
        <v/>
      </c>
      <c r="E59" s="3" t="str">
        <f t="array" ref="E59">IF(NOT(ISBLANK($A59)), (_xlfn.XLOOKUP($A59,Index!$B$2:$B$995,Index!$D$2:$D$995,"Not Found")),"")</f>
        <v/>
      </c>
      <c r="F59" s="1" t="str">
        <f t="array" ref="F59">IF(NOT(ISBLANK($A59)), (_xlfn.XLOOKUP($A59,Index!$B$2:$B$995,Index!$E$2:$E$995,"Not Found")),"")</f>
        <v/>
      </c>
      <c r="G59" s="1" t="str">
        <f t="array" ref="G59">IF(NOT(ISBLANK(A59)), ((_xlfn.XLOOKUP(A59,Index!$B$2:$B$995,Index!$F$2:$F$995,"Not Found"))*B59),"")</f>
        <v/>
      </c>
    </row>
    <row r="60">
      <c r="C60" s="1" t="str">
        <f t="array" ref="C60">IF(NOT(ISBLANK($A60)), (_xlfn.XLOOKUP($A60,Index!$B$2:$B$995,Index!$C$2:$C$995,"Not Found")),"")</f>
        <v/>
      </c>
      <c r="D60" s="1" t="str">
        <f t="array" ref="D60">IF(NOT(ISBLANK(A60)), (_xlfn.XLOOKUP($A60,Index!$B$2:B$995,Index!$A$2:$A$995,"Not Found")),"")</f>
        <v/>
      </c>
      <c r="E60" s="3" t="str">
        <f t="array" ref="E60">IF(NOT(ISBLANK($A60)), (_xlfn.XLOOKUP($A60,Index!$B$2:$B$995,Index!$D$2:$D$995,"Not Found")),"")</f>
        <v/>
      </c>
      <c r="F60" s="1" t="str">
        <f t="array" ref="F60">IF(NOT(ISBLANK($A60)), (_xlfn.XLOOKUP($A60,Index!$B$2:$B$995,Index!$E$2:$E$995,"Not Found")),"")</f>
        <v/>
      </c>
      <c r="G60" s="1" t="str">
        <f t="array" ref="G60">IF(NOT(ISBLANK(A60)), ((_xlfn.XLOOKUP(A60,Index!$B$2:$B$995,Index!$F$2:$F$995,"Not Found"))*B60),"")</f>
        <v/>
      </c>
    </row>
    <row r="61">
      <c r="C61" s="1" t="str">
        <f t="array" ref="C61">IF(NOT(ISBLANK($A61)), (_xlfn.XLOOKUP($A61,Index!$B$2:$B$995,Index!$C$2:$C$995,"Not Found")),"")</f>
        <v/>
      </c>
      <c r="D61" s="1" t="str">
        <f t="array" ref="D61">IF(NOT(ISBLANK(A61)), (_xlfn.XLOOKUP($A61,Index!$B$2:B$995,Index!$A$2:$A$995,"Not Found")),"")</f>
        <v/>
      </c>
      <c r="E61" s="3" t="str">
        <f t="array" ref="E61">IF(NOT(ISBLANK($A61)), (_xlfn.XLOOKUP($A61,Index!$B$2:$B$995,Index!$D$2:$D$995,"Not Found")),"")</f>
        <v/>
      </c>
      <c r="F61" s="1" t="str">
        <f t="array" ref="F61">IF(NOT(ISBLANK($A61)), (_xlfn.XLOOKUP($A61,Index!$B$2:$B$995,Index!$E$2:$E$995,"Not Found")),"")</f>
        <v/>
      </c>
      <c r="G61" s="1" t="str">
        <f t="array" ref="G61">IF(NOT(ISBLANK(A61)), ((_xlfn.XLOOKUP(A61,Index!$B$2:$B$995,Index!$F$2:$F$995,"Not Found"))*B61),"")</f>
        <v/>
      </c>
    </row>
    <row r="62">
      <c r="C62" s="1" t="str">
        <f t="array" ref="C62">IF(NOT(ISBLANK($A62)), (_xlfn.XLOOKUP($A62,Index!$B$2:$B$995,Index!$C$2:$C$995,"Not Found")),"")</f>
        <v/>
      </c>
      <c r="D62" s="1" t="str">
        <f t="array" ref="D62">IF(NOT(ISBLANK(A62)), (_xlfn.XLOOKUP($A62,Index!$B$2:B$995,Index!$A$2:$A$995,"Not Found")),"")</f>
        <v/>
      </c>
      <c r="E62" s="3" t="str">
        <f t="array" ref="E62">IF(NOT(ISBLANK($A62)), (_xlfn.XLOOKUP($A62,Index!$B$2:$B$995,Index!$D$2:$D$995,"Not Found")),"")</f>
        <v/>
      </c>
      <c r="F62" s="1" t="str">
        <f t="array" ref="F62">IF(NOT(ISBLANK($A62)), (_xlfn.XLOOKUP($A62,Index!$B$2:$B$995,Index!$E$2:$E$995,"Not Found")),"")</f>
        <v/>
      </c>
      <c r="G62" s="1" t="str">
        <f t="array" ref="G62">IF(NOT(ISBLANK(A62)), ((_xlfn.XLOOKUP(A62,Index!$B$2:$B$995,Index!$F$2:$F$995,"Not Found"))*B62),"")</f>
        <v/>
      </c>
    </row>
    <row r="63">
      <c r="C63" s="1" t="str">
        <f t="array" ref="C63">IF(NOT(ISBLANK($A63)), (_xlfn.XLOOKUP($A63,Index!$B$2:$B$995,Index!$C$2:$C$995,"Not Found")),"")</f>
        <v/>
      </c>
      <c r="D63" s="1" t="str">
        <f t="array" ref="D63">IF(NOT(ISBLANK(A63)), (_xlfn.XLOOKUP($A63,Index!$B$2:B$995,Index!$A$2:$A$995,"Not Found")),"")</f>
        <v/>
      </c>
      <c r="E63" s="3" t="str">
        <f t="array" ref="E63">IF(NOT(ISBLANK($A63)), (_xlfn.XLOOKUP($A63,Index!$B$2:$B$995,Index!$D$2:$D$995,"Not Found")),"")</f>
        <v/>
      </c>
      <c r="F63" s="1" t="str">
        <f t="array" ref="F63">IF(NOT(ISBLANK($A63)), (_xlfn.XLOOKUP($A63,Index!$B$2:$B$995,Index!$E$2:$E$995,"Not Found")),"")</f>
        <v/>
      </c>
      <c r="G63" s="1" t="str">
        <f t="array" ref="G63">IF(NOT(ISBLANK(A63)), ((_xlfn.XLOOKUP(A63,Index!$B$2:$B$995,Index!$F$2:$F$995,"Not Found"))*B63),"")</f>
        <v/>
      </c>
    </row>
    <row r="64">
      <c r="C64" s="1" t="str">
        <f t="array" ref="C64">IF(NOT(ISBLANK($A64)), (_xlfn.XLOOKUP($A64,Index!$B$2:$B$995,Index!$C$2:$C$995,"Not Found")),"")</f>
        <v/>
      </c>
      <c r="D64" s="1" t="str">
        <f t="array" ref="D64">IF(NOT(ISBLANK(A64)), (_xlfn.XLOOKUP($A64,Index!$B$2:B$995,Index!$A$2:$A$995,"Not Found")),"")</f>
        <v/>
      </c>
      <c r="E64" s="3" t="str">
        <f t="array" ref="E64">IF(NOT(ISBLANK($A64)), (_xlfn.XLOOKUP($A64,Index!$B$2:$B$995,Index!$D$2:$D$995,"Not Found")),"")</f>
        <v/>
      </c>
      <c r="F64" s="1" t="str">
        <f t="array" ref="F64">IF(NOT(ISBLANK($A64)), (_xlfn.XLOOKUP($A64,Index!$B$2:$B$995,Index!$E$2:$E$995,"Not Found")),"")</f>
        <v/>
      </c>
      <c r="G64" s="1" t="str">
        <f t="array" ref="G64">IF(NOT(ISBLANK(A64)), ((_xlfn.XLOOKUP(A64,Index!$B$2:$B$995,Index!$F$2:$F$995,"Not Found"))*B64),"")</f>
        <v/>
      </c>
    </row>
    <row r="65">
      <c r="C65" s="1" t="str">
        <f t="array" ref="C65">IF(NOT(ISBLANK($A65)), (_xlfn.XLOOKUP($A65,Index!$B$2:$B$995,Index!$C$2:$C$995,"Not Found")),"")</f>
        <v/>
      </c>
      <c r="D65" s="1" t="str">
        <f t="array" ref="D65">IF(NOT(ISBLANK(A65)), (_xlfn.XLOOKUP($A65,Index!$B$2:B$995,Index!$A$2:$A$995,"Not Found")),"")</f>
        <v/>
      </c>
      <c r="E65" s="3" t="str">
        <f t="array" ref="E65">IF(NOT(ISBLANK($A65)), (_xlfn.XLOOKUP($A65,Index!$B$2:$B$995,Index!$D$2:$D$995,"Not Found")),"")</f>
        <v/>
      </c>
      <c r="F65" s="1" t="str">
        <f t="array" ref="F65">IF(NOT(ISBLANK($A65)), (_xlfn.XLOOKUP($A65,Index!$B$2:$B$995,Index!$E$2:$E$995,"Not Found")),"")</f>
        <v/>
      </c>
      <c r="G65" s="1" t="str">
        <f t="array" ref="G65">IF(NOT(ISBLANK(A65)), ((_xlfn.XLOOKUP(A65,Index!$B$2:$B$995,Index!$F$2:$F$995,"Not Found"))*B65),"")</f>
        <v/>
      </c>
    </row>
    <row r="66">
      <c r="C66" s="1" t="str">
        <f t="array" ref="C66">IF(NOT(ISBLANK($A66)), (_xlfn.XLOOKUP($A66,Index!$B$2:$B$995,Index!$C$2:$C$995,"Not Found")),"")</f>
        <v/>
      </c>
      <c r="D66" s="1" t="str">
        <f t="array" ref="D66">IF(NOT(ISBLANK(A66)), (_xlfn.XLOOKUP($A66,Index!$B$2:B$995,Index!$A$2:$A$995,"Not Found")),"")</f>
        <v/>
      </c>
      <c r="E66" s="3" t="str">
        <f t="array" ref="E66">IF(NOT(ISBLANK($A66)), (_xlfn.XLOOKUP($A66,Index!$B$2:$B$995,Index!$D$2:$D$995,"Not Found")),"")</f>
        <v/>
      </c>
      <c r="F66" s="1" t="str">
        <f t="array" ref="F66">IF(NOT(ISBLANK($A66)), (_xlfn.XLOOKUP($A66,Index!$B$2:$B$995,Index!$E$2:$E$995,"Not Found")),"")</f>
        <v/>
      </c>
      <c r="G66" s="1" t="str">
        <f t="array" ref="G66">IF(NOT(ISBLANK(A66)), ((_xlfn.XLOOKUP(A66,Index!$B$2:$B$995,Index!$F$2:$F$995,"Not Found"))*B66),"")</f>
        <v/>
      </c>
    </row>
    <row r="67">
      <c r="C67" s="1" t="str">
        <f t="array" ref="C67">IF(NOT(ISBLANK($A67)), (_xlfn.XLOOKUP($A67,Index!$B$2:$B$995,Index!$C$2:$C$995,"Not Found")),"")</f>
        <v/>
      </c>
      <c r="D67" s="1" t="str">
        <f t="array" ref="D67">IF(NOT(ISBLANK(A67)), (_xlfn.XLOOKUP($A67,Index!$B$2:B$995,Index!$A$2:$A$995,"Not Found")),"")</f>
        <v/>
      </c>
      <c r="E67" s="3" t="str">
        <f t="array" ref="E67">IF(NOT(ISBLANK($A67)), (_xlfn.XLOOKUP($A67,Index!$B$2:$B$995,Index!$D$2:$D$995,"Not Found")),"")</f>
        <v/>
      </c>
      <c r="F67" s="1" t="str">
        <f t="array" ref="F67">IF(NOT(ISBLANK($A67)), (_xlfn.XLOOKUP($A67,Index!$B$2:$B$995,Index!$E$2:$E$995,"Not Found")),"")</f>
        <v/>
      </c>
      <c r="G67" s="1" t="str">
        <f t="array" ref="G67">IF(NOT(ISBLANK(A67)), ((_xlfn.XLOOKUP(A67,Index!$B$2:$B$995,Index!$F$2:$F$995,"Not Found"))*B67),"")</f>
        <v/>
      </c>
    </row>
    <row r="68">
      <c r="C68" s="1" t="str">
        <f t="array" ref="C68">IF(NOT(ISBLANK($A68)), (_xlfn.XLOOKUP($A68,Index!$B$2:$B$995,Index!$C$2:$C$995,"Not Found")),"")</f>
        <v/>
      </c>
      <c r="D68" s="1" t="str">
        <f t="array" ref="D68">IF(NOT(ISBLANK(A68)), (_xlfn.XLOOKUP($A68,Index!$B$2:B$995,Index!$A$2:$A$995,"Not Found")),"")</f>
        <v/>
      </c>
      <c r="E68" s="3" t="str">
        <f t="array" ref="E68">IF(NOT(ISBLANK($A68)), (_xlfn.XLOOKUP($A68,Index!$B$2:$B$995,Index!$D$2:$D$995,"Not Found")),"")</f>
        <v/>
      </c>
      <c r="F68" s="1" t="str">
        <f t="array" ref="F68">IF(NOT(ISBLANK($A68)), (_xlfn.XLOOKUP($A68,Index!$B$2:$B$995,Index!$E$2:$E$995,"Not Found")),"")</f>
        <v/>
      </c>
      <c r="G68" s="1" t="str">
        <f t="array" ref="G68">IF(NOT(ISBLANK(A68)), ((_xlfn.XLOOKUP(A68,Index!$B$2:$B$995,Index!$F$2:$F$995,"Not Found"))*B68),"")</f>
        <v/>
      </c>
    </row>
    <row r="69">
      <c r="C69" s="1" t="str">
        <f t="array" ref="C69">IF(NOT(ISBLANK($A69)), (_xlfn.XLOOKUP($A69,Index!$B$2:$B$995,Index!$C$2:$C$995,"Not Found")),"")</f>
        <v/>
      </c>
      <c r="D69" s="1" t="str">
        <f t="array" ref="D69">IF(NOT(ISBLANK(A69)), (_xlfn.XLOOKUP($A69,Index!$B$2:B$995,Index!$A$2:$A$995,"Not Found")),"")</f>
        <v/>
      </c>
      <c r="E69" s="3" t="str">
        <f t="array" ref="E69">IF(NOT(ISBLANK($A69)), (_xlfn.XLOOKUP($A69,Index!$B$2:$B$995,Index!$D$2:$D$995,"Not Found")),"")</f>
        <v/>
      </c>
      <c r="F69" s="1" t="str">
        <f t="array" ref="F69">IF(NOT(ISBLANK($A69)), (_xlfn.XLOOKUP($A69,Index!$B$2:$B$995,Index!$E$2:$E$995,"Not Found")),"")</f>
        <v/>
      </c>
      <c r="G69" s="1" t="str">
        <f t="array" ref="G69">IF(NOT(ISBLANK(A69)), ((_xlfn.XLOOKUP(A69,Index!$B$2:$B$995,Index!$F$2:$F$995,"Not Found"))*B69),"")</f>
        <v/>
      </c>
    </row>
    <row r="70">
      <c r="C70" s="1" t="str">
        <f t="array" ref="C70">IF(NOT(ISBLANK($A70)), (_xlfn.XLOOKUP($A70,Index!$B$2:$B$995,Index!$C$2:$C$995,"Not Found")),"")</f>
        <v/>
      </c>
      <c r="D70" s="1" t="str">
        <f t="array" ref="D70">IF(NOT(ISBLANK(A70)), (_xlfn.XLOOKUP($A70,Index!$B$2:B$995,Index!$A$2:$A$995,"Not Found")),"")</f>
        <v/>
      </c>
      <c r="E70" s="3" t="str">
        <f t="array" ref="E70">IF(NOT(ISBLANK($A70)), (_xlfn.XLOOKUP($A70,Index!$B$2:$B$995,Index!$D$2:$D$995,"Not Found")),"")</f>
        <v/>
      </c>
      <c r="F70" s="1" t="str">
        <f t="array" ref="F70">IF(NOT(ISBLANK($A70)), (_xlfn.XLOOKUP($A70,Index!$B$2:$B$995,Index!$E$2:$E$995,"Not Found")),"")</f>
        <v/>
      </c>
      <c r="G70" s="1" t="str">
        <f t="array" ref="G70">IF(NOT(ISBLANK(A70)), ((_xlfn.XLOOKUP(A70,Index!$B$2:$B$995,Index!$F$2:$F$995,"Not Found"))*B70),"")</f>
        <v/>
      </c>
    </row>
    <row r="71">
      <c r="C71" s="1" t="str">
        <f t="array" ref="C71">IF(NOT(ISBLANK($A71)), (_xlfn.XLOOKUP($A71,Index!$B$2:$B$995,Index!$C$2:$C$995,"Not Found")),"")</f>
        <v/>
      </c>
      <c r="D71" s="1" t="str">
        <f t="array" ref="D71">IF(NOT(ISBLANK(A71)), (_xlfn.XLOOKUP($A71,Index!$B$2:B$995,Index!$A$2:$A$995,"Not Found")),"")</f>
        <v/>
      </c>
      <c r="E71" s="3" t="str">
        <f t="array" ref="E71">IF(NOT(ISBLANK($A71)), (_xlfn.XLOOKUP($A71,Index!$B$2:$B$995,Index!$D$2:$D$995,"Not Found")),"")</f>
        <v/>
      </c>
      <c r="F71" s="1" t="str">
        <f t="array" ref="F71">IF(NOT(ISBLANK($A71)), (_xlfn.XLOOKUP($A71,Index!$B$2:$B$995,Index!$E$2:$E$995,"Not Found")),"")</f>
        <v/>
      </c>
      <c r="G71" s="1" t="str">
        <f t="array" ref="G71">IF(NOT(ISBLANK(A71)), ((_xlfn.XLOOKUP(A71,Index!$B$2:$B$995,Index!$F$2:$F$995,"Not Found"))*B71),"")</f>
        <v/>
      </c>
    </row>
    <row r="72">
      <c r="C72" s="1" t="str">
        <f t="array" ref="C72">IF(NOT(ISBLANK($A72)), (_xlfn.XLOOKUP($A72,Index!$B$2:$B$995,Index!$C$2:$C$995,"Not Found")),"")</f>
        <v/>
      </c>
      <c r="D72" s="1" t="str">
        <f t="array" ref="D72">IF(NOT(ISBLANK(A72)), (_xlfn.XLOOKUP($A72,Index!$B$2:B$995,Index!$A$2:$A$995,"Not Found")),"")</f>
        <v/>
      </c>
      <c r="E72" s="3" t="str">
        <f t="array" ref="E72">IF(NOT(ISBLANK($A72)), (_xlfn.XLOOKUP($A72,Index!$B$2:$B$995,Index!$D$2:$D$995,"Not Found")),"")</f>
        <v/>
      </c>
      <c r="F72" s="1" t="str">
        <f t="array" ref="F72">IF(NOT(ISBLANK($A72)), (_xlfn.XLOOKUP($A72,Index!$B$2:$B$995,Index!$E$2:$E$995,"Not Found")),"")</f>
        <v/>
      </c>
      <c r="G72" s="1" t="str">
        <f t="array" ref="G72">IF(NOT(ISBLANK(A72)), ((_xlfn.XLOOKUP(A72,Index!$B$2:$B$995,Index!$F$2:$F$995,"Not Found"))*B72),"")</f>
        <v/>
      </c>
    </row>
    <row r="73">
      <c r="C73" s="1" t="str">
        <f t="array" ref="C73">IF(NOT(ISBLANK($A73)), (_xlfn.XLOOKUP($A73,Index!$B$2:$B$995,Index!$C$2:$C$995,"Not Found")),"")</f>
        <v/>
      </c>
      <c r="D73" s="1" t="str">
        <f t="array" ref="D73">IF(NOT(ISBLANK(A73)), (_xlfn.XLOOKUP($A73,Index!$B$2:B$995,Index!$A$2:$A$995,"Not Found")),"")</f>
        <v/>
      </c>
      <c r="E73" s="3" t="str">
        <f t="array" ref="E73">IF(NOT(ISBLANK($A73)), (_xlfn.XLOOKUP($A73,Index!$B$2:$B$995,Index!$D$2:$D$995,"Not Found")),"")</f>
        <v/>
      </c>
      <c r="F73" s="1" t="str">
        <f t="array" ref="F73">IF(NOT(ISBLANK($A73)), (_xlfn.XLOOKUP($A73,Index!$B$2:$B$995,Index!$E$2:$E$995,"Not Found")),"")</f>
        <v/>
      </c>
      <c r="G73" s="1" t="str">
        <f t="array" ref="G73">IF(NOT(ISBLANK(A73)), ((_xlfn.XLOOKUP(A73,Index!$B$2:$B$995,Index!$F$2:$F$995,"Not Found"))*B73),"")</f>
        <v/>
      </c>
    </row>
    <row r="74">
      <c r="C74" s="1" t="str">
        <f t="array" ref="C74">IF(NOT(ISBLANK($A74)), (_xlfn.XLOOKUP($A74,Index!$B$2:$B$995,Index!$C$2:$C$995,"Not Found")),"")</f>
        <v/>
      </c>
      <c r="D74" s="1" t="str">
        <f t="array" ref="D74">IF(NOT(ISBLANK(A74)), (_xlfn.XLOOKUP($A74,Index!$B$2:B$995,Index!$A$2:$A$995,"Not Found")),"")</f>
        <v/>
      </c>
      <c r="E74" s="3" t="str">
        <f t="array" ref="E74">IF(NOT(ISBLANK($A74)), (_xlfn.XLOOKUP($A74,Index!$B$2:$B$995,Index!$D$2:$D$995,"Not Found")),"")</f>
        <v/>
      </c>
      <c r="F74" s="1" t="str">
        <f t="array" ref="F74">IF(NOT(ISBLANK($A74)), (_xlfn.XLOOKUP($A74,Index!$B$2:$B$995,Index!$E$2:$E$995,"Not Found")),"")</f>
        <v/>
      </c>
      <c r="G74" s="1" t="str">
        <f t="array" ref="G74">IF(NOT(ISBLANK(A74)), ((_xlfn.XLOOKUP(A74,Index!$B$2:$B$995,Index!$F$2:$F$995,"Not Found"))*B74),"")</f>
        <v/>
      </c>
    </row>
    <row r="75">
      <c r="C75" s="1" t="str">
        <f t="array" ref="C75">IF(NOT(ISBLANK($A75)), (_xlfn.XLOOKUP($A75,Index!$B$2:$B$995,Index!$C$2:$C$995,"Not Found")),"")</f>
        <v/>
      </c>
      <c r="D75" s="1" t="str">
        <f t="array" ref="D75">IF(NOT(ISBLANK(A75)), (_xlfn.XLOOKUP($A75,Index!$B$2:B$995,Index!$A$2:$A$995,"Not Found")),"")</f>
        <v/>
      </c>
      <c r="E75" s="3" t="str">
        <f t="array" ref="E75">IF(NOT(ISBLANK($A75)), (_xlfn.XLOOKUP($A75,Index!$B$2:$B$995,Index!$D$2:$D$995,"Not Found")),"")</f>
        <v/>
      </c>
      <c r="F75" s="1" t="str">
        <f t="array" ref="F75">IF(NOT(ISBLANK($A75)), (_xlfn.XLOOKUP($A75,Index!$B$2:$B$995,Index!$E$2:$E$995,"Not Found")),"")</f>
        <v/>
      </c>
      <c r="G75" s="1" t="str">
        <f t="array" ref="G75">IF(NOT(ISBLANK(A75)), ((_xlfn.XLOOKUP(A75,Index!$B$2:$B$995,Index!$F$2:$F$995,"Not Found"))*B75),"")</f>
        <v/>
      </c>
    </row>
    <row r="76">
      <c r="C76" s="1" t="str">
        <f t="array" ref="C76">IF(NOT(ISBLANK($A76)), (_xlfn.XLOOKUP($A76,Index!$B$2:$B$995,Index!$C$2:$C$995,"Not Found")),"")</f>
        <v/>
      </c>
      <c r="D76" s="1" t="str">
        <f t="array" ref="D76">IF(NOT(ISBLANK(A76)), (_xlfn.XLOOKUP($A76,Index!$B$2:B$995,Index!$A$2:$A$995,"Not Found")),"")</f>
        <v/>
      </c>
      <c r="E76" s="3" t="str">
        <f t="array" ref="E76">IF(NOT(ISBLANK($A76)), (_xlfn.XLOOKUP($A76,Index!$B$2:$B$995,Index!$D$2:$D$995,"Not Found")),"")</f>
        <v/>
      </c>
      <c r="F76" s="1" t="str">
        <f t="array" ref="F76">IF(NOT(ISBLANK($A76)), (_xlfn.XLOOKUP($A76,Index!$B$2:$B$995,Index!$E$2:$E$995,"Not Found")),"")</f>
        <v/>
      </c>
      <c r="G76" s="1" t="str">
        <f t="array" ref="G76">IF(NOT(ISBLANK(A76)), ((_xlfn.XLOOKUP(A76,Index!$B$2:$B$995,Index!$F$2:$F$995,"Not Found"))*B76),"")</f>
        <v/>
      </c>
    </row>
    <row r="77">
      <c r="C77" s="1" t="str">
        <f t="array" ref="C77">IF(NOT(ISBLANK($A77)), (_xlfn.XLOOKUP($A77,Index!$B$2:$B$995,Index!$C$2:$C$995,"Not Found")),"")</f>
        <v/>
      </c>
      <c r="D77" s="1" t="str">
        <f t="array" ref="D77">IF(NOT(ISBLANK(A77)), (_xlfn.XLOOKUP($A77,Index!$B$2:B$995,Index!$A$2:$A$995,"Not Found")),"")</f>
        <v/>
      </c>
      <c r="E77" s="3" t="str">
        <f t="array" ref="E77">IF(NOT(ISBLANK($A77)), (_xlfn.XLOOKUP($A77,Index!$B$2:$B$995,Index!$D$2:$D$995,"Not Found")),"")</f>
        <v/>
      </c>
      <c r="F77" s="1" t="str">
        <f t="array" ref="F77">IF(NOT(ISBLANK($A77)), (_xlfn.XLOOKUP($A77,Index!$B$2:$B$995,Index!$E$2:$E$995,"Not Found")),"")</f>
        <v/>
      </c>
      <c r="G77" s="1" t="str">
        <f t="array" ref="G77">IF(NOT(ISBLANK(A77)), ((_xlfn.XLOOKUP(A77,Index!$B$2:$B$995,Index!$F$2:$F$995,"Not Found"))*B77),"")</f>
        <v/>
      </c>
    </row>
    <row r="78">
      <c r="E78" s="11"/>
    </row>
    <row r="79">
      <c r="E79" s="11"/>
    </row>
    <row r="80">
      <c r="E80" s="11"/>
    </row>
    <row r="81">
      <c r="E81" s="11"/>
    </row>
    <row r="82">
      <c r="E82" s="11"/>
    </row>
    <row r="83">
      <c r="E83" s="11"/>
    </row>
    <row r="84">
      <c r="E84" s="11"/>
    </row>
    <row r="85">
      <c r="E85" s="11"/>
    </row>
    <row r="86">
      <c r="E86" s="11"/>
    </row>
    <row r="87">
      <c r="E87" s="11"/>
    </row>
    <row r="88">
      <c r="E88" s="11"/>
    </row>
    <row r="89">
      <c r="E89" s="11"/>
    </row>
    <row r="90">
      <c r="E90" s="11"/>
    </row>
    <row r="91">
      <c r="E91" s="11"/>
    </row>
    <row r="92">
      <c r="E92" s="11"/>
    </row>
    <row r="93">
      <c r="E93" s="11"/>
    </row>
    <row r="94">
      <c r="E94" s="11"/>
    </row>
    <row r="95">
      <c r="E95" s="11"/>
    </row>
    <row r="96">
      <c r="E96" s="11"/>
    </row>
    <row r="97">
      <c r="E97" s="11"/>
    </row>
    <row r="98">
      <c r="E98" s="11"/>
    </row>
    <row r="99">
      <c r="E99" s="11"/>
    </row>
    <row r="100">
      <c r="E100" s="11"/>
    </row>
    <row r="101">
      <c r="E101" s="11"/>
    </row>
    <row r="102">
      <c r="E102" s="11"/>
    </row>
    <row r="103">
      <c r="E103" s="11"/>
    </row>
    <row r="104">
      <c r="E104" s="11"/>
    </row>
    <row r="105">
      <c r="E105" s="11"/>
    </row>
    <row r="106">
      <c r="E106" s="11"/>
    </row>
    <row r="107">
      <c r="E107" s="11"/>
    </row>
    <row r="108">
      <c r="E108" s="11"/>
    </row>
    <row r="109">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