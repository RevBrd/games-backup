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Template" sheetId="2" r:id="rId6"/>
    <sheet state="visible" name="Lightning" sheetId="3" r:id="rId7"/>
    <sheet state="visible" name="Fighting" sheetId="4" r:id="rId8"/>
    <sheet state="visible" name="Grass" sheetId="5" r:id="rId9"/>
    <sheet state="visible" name="Psychic" sheetId="6" r:id="rId10"/>
    <sheet state="visible" name="Fire" sheetId="7" r:id="rId11"/>
    <sheet state="visible" name="Water" sheetId="8" r:id="rId12"/>
    <sheet state="visible" name="Colorless" sheetId="9" r:id="rId13"/>
  </sheets>
  <definedNames/>
  <calcPr/>
</workbook>
</file>

<file path=xl/sharedStrings.xml><?xml version="1.0" encoding="utf-8"?>
<sst xmlns="http://schemas.openxmlformats.org/spreadsheetml/2006/main" count="1915" uniqueCount="733">
  <si>
    <t>Card</t>
  </si>
  <si>
    <t>ID</t>
  </si>
  <si>
    <t>Quantity</t>
  </si>
  <si>
    <t>Type</t>
  </si>
  <si>
    <t>Stage / Rarity</t>
  </si>
  <si>
    <t>Stage / Rarity (trainer)</t>
  </si>
  <si>
    <t>Remaining Evo</t>
  </si>
  <si>
    <t>Feature Weight</t>
  </si>
  <si>
    <t>Deck Feature Tier</t>
  </si>
  <si>
    <t>Card Total</t>
  </si>
  <si>
    <t>Opener Archetype</t>
  </si>
  <si>
    <t>Num</t>
  </si>
  <si>
    <t>Pressure</t>
  </si>
  <si>
    <t>Basic</t>
  </si>
  <si>
    <t>S1 Max</t>
  </si>
  <si>
    <t>S1 Mid</t>
  </si>
  <si>
    <t>S2</t>
  </si>
  <si>
    <t>No Evolve</t>
  </si>
  <si>
    <t>F Energy</t>
  </si>
  <si>
    <t>Wants</t>
  </si>
  <si>
    <t>Possible CPU Deck Block?</t>
  </si>
  <si>
    <t>Included in opp Deck?</t>
  </si>
  <si>
    <t>Gated Until (promo only)</t>
  </si>
  <si>
    <t>Feature Tier Key</t>
  </si>
  <si>
    <t>base1-3</t>
  </si>
  <si>
    <t>Chansey</t>
  </si>
  <si>
    <t>C</t>
  </si>
  <si>
    <t>b</t>
  </si>
  <si>
    <t>E Energy</t>
  </si>
  <si>
    <t>n</t>
  </si>
  <si>
    <t>t</t>
  </si>
  <si>
    <t>WP</t>
  </si>
  <si>
    <t>Power up Scrunch and then tank</t>
  </si>
  <si>
    <t>Not shown</t>
  </si>
  <si>
    <t>Not worth noting</t>
  </si>
  <si>
    <t>base2-1</t>
  </si>
  <si>
    <t>Clefable</t>
  </si>
  <si>
    <t>HD</t>
  </si>
  <si>
    <t>A turn to copy a high damage opp pokemon's move</t>
  </si>
  <si>
    <t>Strategic Opener / Tank / Other utility</t>
  </si>
  <si>
    <t>base2-17</t>
  </si>
  <si>
    <t>Clefable NH</t>
  </si>
  <si>
    <t>Secondary Feature</t>
  </si>
  <si>
    <t>base1-5</t>
  </si>
  <si>
    <t>Clefairy</t>
  </si>
  <si>
    <t>y</t>
  </si>
  <si>
    <t>Primary Feature</t>
  </si>
  <si>
    <t>basep-15</t>
  </si>
  <si>
    <t>Cool Porygon</t>
  </si>
  <si>
    <t>To change its resistance to the defending pokemon's attack type</t>
  </si>
  <si>
    <t>Challenge 1</t>
  </si>
  <si>
    <t>Elite Feature</t>
  </si>
  <si>
    <t>basep-17</t>
  </si>
  <si>
    <t>Dark Persian CH</t>
  </si>
  <si>
    <t>Team Rocket</t>
  </si>
  <si>
    <t>base3-3</t>
  </si>
  <si>
    <t>Ditto</t>
  </si>
  <si>
    <t>A low energy cost, high damage or otherwise pesky opponent to copy</t>
  </si>
  <si>
    <t>base3-18</t>
  </si>
  <si>
    <t>Ditto NH</t>
  </si>
  <si>
    <t>Tier ranking is only for last of evolution line and select useful others. Partially based in subjectivity and play experience</t>
  </si>
  <si>
    <t>base2-34</t>
  </si>
  <si>
    <t>Dodrio</t>
  </si>
  <si>
    <t>To stay in when it takes high damage and is capable of using Rage</t>
  </si>
  <si>
    <t>Remaining Evo only applies to Basic and Stage 1. All stage 2 are assumed to not have evolutions remaining</t>
  </si>
  <si>
    <t>base1-48</t>
  </si>
  <si>
    <t>Doduo</t>
  </si>
  <si>
    <t>a</t>
  </si>
  <si>
    <t>Labels here are used for the lookup table on the deck tabs, but we can possibly get utility from it as well with the AI</t>
  </si>
  <si>
    <t>base1-18</t>
  </si>
  <si>
    <t>Dragonair</t>
  </si>
  <si>
    <t>Trainer rarity is used to gauge usefulness in decks</t>
  </si>
  <si>
    <t>base3-4</t>
  </si>
  <si>
    <t>Dragonite</t>
  </si>
  <si>
    <t>HD, PC</t>
  </si>
  <si>
    <t>To wait on the bench and use its Pokemon Power to Step In at opportune times</t>
  </si>
  <si>
    <t>Half steps are used. Consider those candidates for the next tier with proper support</t>
  </si>
  <si>
    <t>basep-5</t>
  </si>
  <si>
    <t>Dragonite MS</t>
  </si>
  <si>
    <t>BG</t>
  </si>
  <si>
    <t>To sit on the bench and use its Pokemon Power when needed</t>
  </si>
  <si>
    <t>Jungle</t>
  </si>
  <si>
    <t>Opener archetypes per card are tracked. I don't know if we'll need these but it's cheap to do while going through the set anyway. Unlabeled ones should be deferred as openers when possible, but usually committed to once they're in. Based on battle utility, not whether they can evolve, etc</t>
  </si>
  <si>
    <t>base3-19</t>
  </si>
  <si>
    <t>Dragonite NH</t>
  </si>
  <si>
    <t>Numbers added to the end of names is for differentiation purposes between cards with the same name. Ex: B2 means base2/Jungle</t>
  </si>
  <si>
    <t>base1-26</t>
  </si>
  <si>
    <t>Dratini</t>
  </si>
  <si>
    <t>Nonholo duplicates are tagged with NH after their name. It helps the lookup table</t>
  </si>
  <si>
    <t>base2-51</t>
  </si>
  <si>
    <t>Eevee</t>
  </si>
  <si>
    <t>e</t>
  </si>
  <si>
    <t>AP, SL</t>
  </si>
  <si>
    <t>Trainer Function Key, Pressure, and Wants were added at the advice of #15 and haven't been fully applied retroactively yet</t>
  </si>
  <si>
    <t>basep-11</t>
  </si>
  <si>
    <t>Eevee CH</t>
  </si>
  <si>
    <t>To jump in play and evolve quickly</t>
  </si>
  <si>
    <t>Fossil</t>
  </si>
  <si>
    <t>Opener archetypes are only applied to basic pokemon here</t>
  </si>
  <si>
    <t>base1-27</t>
  </si>
  <si>
    <t>Farfetch'd</t>
  </si>
  <si>
    <t>base2-36</t>
  </si>
  <si>
    <t>Fearow</t>
  </si>
  <si>
    <t>To use Agility unless Drill Peck can kill</t>
  </si>
  <si>
    <t>base2-54</t>
  </si>
  <si>
    <t>Jigglypuff</t>
  </si>
  <si>
    <t>SL</t>
  </si>
  <si>
    <t>Opener Archetype Key:</t>
  </si>
  <si>
    <t>basep-7</t>
  </si>
  <si>
    <t>Jigglypuff GP</t>
  </si>
  <si>
    <t>To evolve before fighting</t>
  </si>
  <si>
    <t>base2-5</t>
  </si>
  <si>
    <t>Kangaskhan</t>
  </si>
  <si>
    <t>To go first/stall while using Fetch. Only rarely wants to use Comet Punch</t>
  </si>
  <si>
    <t>A</t>
  </si>
  <si>
    <t>Attack Opener. Openers that use stalling attacks, low damage attacks w/ high HP, or build up to damage quickly without evo. Should be weighted high for starter selection or stalling jobs, lower for retreat. Can sometimes also build up to stronger moves while stalling. Ex: Onix, Jynx</t>
  </si>
  <si>
    <t>base2-21</t>
  </si>
  <si>
    <t>Kangaskhan NH</t>
  </si>
  <si>
    <t>T</t>
  </si>
  <si>
    <t>Tanks. Usually used as openers but attacks are usually defensive stalling or card drawing. Usually weighted higher than other openers. Ex: Chansey</t>
  </si>
  <si>
    <t>base2-38</t>
  </si>
  <si>
    <t>Lickitung</t>
  </si>
  <si>
    <t>An opening role</t>
  </si>
  <si>
    <t>F</t>
  </si>
  <si>
    <t>Fallback opener. Good cheap attack option during game, not a main weapon but capable of bridging gaps. Good opener if other options aren't available. Ex: Mewtwo (1-10)</t>
  </si>
  <si>
    <t>base2-56</t>
  </si>
  <si>
    <t>Meowth</t>
  </si>
  <si>
    <t>To go first/early and use Pay Day</t>
  </si>
  <si>
    <t>E</t>
  </si>
  <si>
    <t>Evo openerer. Lower weight when it comes to opening due to evolution possibility but does have stalling moves or can do damage, and should be prioritized when stalling is needed and no other options available. Higher priority if evolution exists in hand and is realistic to survive long enough to evolve. Ex: Squirtle</t>
  </si>
  <si>
    <t>basep-10</t>
  </si>
  <si>
    <t>Meowth CH</t>
  </si>
  <si>
    <t>BD</t>
  </si>
  <si>
    <t>To open and disrupt</t>
  </si>
  <si>
    <t>N</t>
  </si>
  <si>
    <t>Avoid using as an opener when possible. Should be weighted lower than the baseline and possibly even switched out when other options become available. Ex: Magikarp</t>
  </si>
  <si>
    <t>base2-42</t>
  </si>
  <si>
    <t>Persian</t>
  </si>
  <si>
    <t>H</t>
  </si>
  <si>
    <t xml:space="preserve">HP staller. A high HP card that would normally be used as an attacker is substituted as a tank due to lack of other options. Committed to once in, not retreated or powered up unless smart to do so. A complete sacrifice. Ex: Zapdos </t>
  </si>
  <si>
    <t>base2-8</t>
  </si>
  <si>
    <t>Pidgeot</t>
  </si>
  <si>
    <t>PC</t>
  </si>
  <si>
    <t>base2-24</t>
  </si>
  <si>
    <t>Pidgeot NH</t>
  </si>
  <si>
    <t>base1-22</t>
  </si>
  <si>
    <t>Pidgeotto</t>
  </si>
  <si>
    <t>base1-57</t>
  </si>
  <si>
    <t>Pidgey</t>
  </si>
  <si>
    <t>Trainer Function Key:</t>
  </si>
  <si>
    <t>base1-39</t>
  </si>
  <si>
    <t>Porygon</t>
  </si>
  <si>
    <t>D</t>
  </si>
  <si>
    <t>Draw. Cards are picked up from the top of the deck</t>
  </si>
  <si>
    <t>base1-40</t>
  </si>
  <si>
    <t>Raticate</t>
  </si>
  <si>
    <t>S</t>
  </si>
  <si>
    <t>Search. Search for a card in the deck</t>
  </si>
  <si>
    <t>base1-61</t>
  </si>
  <si>
    <t>Rattata</t>
  </si>
  <si>
    <t>P</t>
  </si>
  <si>
    <t>Disruption. Interferes with the opponent or the status of the board</t>
  </si>
  <si>
    <t>base2-11</t>
  </si>
  <si>
    <t>Snorlax</t>
  </si>
  <si>
    <t>To stall, not attack or retreat</t>
  </si>
  <si>
    <t>Heal. Removes damage from Pokemon</t>
  </si>
  <si>
    <t>base2-27</t>
  </si>
  <si>
    <t>Snorlax NH</t>
  </si>
  <si>
    <t>M</t>
  </si>
  <si>
    <t>Movement. Moves someone from somewhere to somewhere</t>
  </si>
  <si>
    <t>base2-62</t>
  </si>
  <si>
    <t>Spearow</t>
  </si>
  <si>
    <t>R</t>
  </si>
  <si>
    <t>Recovery. Removes status conditions</t>
  </si>
  <si>
    <t>base2-47</t>
  </si>
  <si>
    <t>Tauros</t>
  </si>
  <si>
    <t>f</t>
  </si>
  <si>
    <t>To stay in and use Rampage when highly damaged</t>
  </si>
  <si>
    <t>Exclude from baseline. Doesn't fall in with the other functions but should be excluded from baseline readings</t>
  </si>
  <si>
    <t>basep-18</t>
  </si>
  <si>
    <t>Team Rocket's Meowth</t>
  </si>
  <si>
    <t>To enter play when a lot of pokemon occupy both benches and kamazake itself for high damage</t>
  </si>
  <si>
    <t>Gym Challenge</t>
  </si>
  <si>
    <t>base2-16</t>
  </si>
  <si>
    <t>Wigglytuff</t>
  </si>
  <si>
    <t>HD, SL</t>
  </si>
  <si>
    <t>Many bench pokemon</t>
  </si>
  <si>
    <t>base2-32</t>
  </si>
  <si>
    <t>Wigglytuff NH</t>
  </si>
  <si>
    <t>base1-20</t>
  </si>
  <si>
    <t>Electabuzz</t>
  </si>
  <si>
    <t>basep-2</t>
  </si>
  <si>
    <t>Electabuzz MS</t>
  </si>
  <si>
    <t>base1</t>
  </si>
  <si>
    <t>ED</t>
  </si>
  <si>
    <t>Energy Denial - Strips the investement you already made</t>
  </si>
  <si>
    <t>base1-21</t>
  </si>
  <si>
    <t>Electrode</t>
  </si>
  <si>
    <t>Bench Damage - Your cards aren't safe</t>
  </si>
  <si>
    <t>base2-2</t>
  </si>
  <si>
    <t>Electrode B2</t>
  </si>
  <si>
    <t>Opponent bench pokemon of the same type ass opponent. Different type pokemon for its own bench</t>
  </si>
  <si>
    <t>Position Control - You fight with the wrong pokemon</t>
  </si>
  <si>
    <t>base2-18</t>
  </si>
  <si>
    <t>Electrode B2 NH</t>
  </si>
  <si>
    <t>Status Lock - It takes your turns away</t>
  </si>
  <si>
    <t>basep-25</t>
  </si>
  <si>
    <t>Flying Pikachu</t>
  </si>
  <si>
    <t>SL, DP</t>
  </si>
  <si>
    <t>To stall as long as possible</t>
  </si>
  <si>
    <t>HT</t>
  </si>
  <si>
    <t>Hand/Trainer Denial - Your outs stop arriving</t>
  </si>
  <si>
    <t>base2-4</t>
  </si>
  <si>
    <t>Jolteon</t>
  </si>
  <si>
    <t>Wall/Prevention - Your damage stops landing</t>
  </si>
  <si>
    <t>base2-20</t>
  </si>
  <si>
    <t>Jolteon NH</t>
  </si>
  <si>
    <t>AP</t>
  </si>
  <si>
    <t>Attrition/Recovery - It refuses to run out</t>
  </si>
  <si>
    <t>base1-53</t>
  </si>
  <si>
    <t>Magnemite</t>
  </si>
  <si>
    <t>High Damage - Hits you harder than you can absorb</t>
  </si>
  <si>
    <t>base1-9</t>
  </si>
  <si>
    <t>Magneton</t>
  </si>
  <si>
    <t>Bench Growth - Your opponent is able to build up their reserves more quickly</t>
  </si>
  <si>
    <t>base3-11</t>
  </si>
  <si>
    <t>Magneton B3</t>
  </si>
  <si>
    <t>HD, BD</t>
  </si>
  <si>
    <t>To use Self Destruct when low HP or otherwise close to death</t>
  </si>
  <si>
    <t>base3-26</t>
  </si>
  <si>
    <t>Magneton B3 NH</t>
  </si>
  <si>
    <t>Order matters for pokemon with multiple pressures listed. The first has priority</t>
  </si>
  <si>
    <t>base1-58</t>
  </si>
  <si>
    <t>Pikachu</t>
  </si>
  <si>
    <t>base2-60</t>
  </si>
  <si>
    <t>Pikachu B2</t>
  </si>
  <si>
    <t>Vulnerable opponent bench pokemon</t>
  </si>
  <si>
    <t>basep-1</t>
  </si>
  <si>
    <t>Pikachu GP</t>
  </si>
  <si>
    <t>SL, WP</t>
  </si>
  <si>
    <t>Priority start if Raichu is in hand</t>
  </si>
  <si>
    <t>Promo cards become available in *all* packs after the one it's gated until</t>
  </si>
  <si>
    <t>basep-26</t>
  </si>
  <si>
    <t>Pikachu GP 2</t>
  </si>
  <si>
    <t>To surprise an opponent's opener with a high damage attack</t>
  </si>
  <si>
    <t>Promo Card gate order contains judgement calls for balance and is not always released in order for us</t>
  </si>
  <si>
    <t>basep-27</t>
  </si>
  <si>
    <t>Pikachu GP 3</t>
  </si>
  <si>
    <t>Promo suffexes are for differentiation in the spreadsheet, not necessarily in-game</t>
  </si>
  <si>
    <t>basep-4</t>
  </si>
  <si>
    <t>Pikachu MS</t>
  </si>
  <si>
    <t>To start and use Recharge to quickly generate energy for Thunderbolt</t>
  </si>
  <si>
    <t>base1-14</t>
  </si>
  <si>
    <t>Raichu</t>
  </si>
  <si>
    <t>Promo Suffix Key</t>
  </si>
  <si>
    <t>base3-14</t>
  </si>
  <si>
    <t>Raichu B3</t>
  </si>
  <si>
    <t>Many opp. bench pokemon</t>
  </si>
  <si>
    <t>GP</t>
  </si>
  <si>
    <t>General Promo release</t>
  </si>
  <si>
    <t>base3-29</t>
  </si>
  <si>
    <t>Raichu B3 NH</t>
  </si>
  <si>
    <t>MS</t>
  </si>
  <si>
    <t>Movie Stamp - Special visual stamp from movie release</t>
  </si>
  <si>
    <t>basep-28</t>
  </si>
  <si>
    <t>Surfing Pikachu</t>
  </si>
  <si>
    <t>To play in a Water type deck instead of Lightning type</t>
  </si>
  <si>
    <t>CH</t>
  </si>
  <si>
    <t>Cosmos Holo - A special holo promo card</t>
  </si>
  <si>
    <t>basep-24</t>
  </si>
  <si>
    <t>Trevor's Pikachu</t>
  </si>
  <si>
    <t>To deal bonus damage every July 31</t>
  </si>
  <si>
    <t>Gym Heroes</t>
  </si>
  <si>
    <t>base1-67</t>
  </si>
  <si>
    <t>Voltorb</t>
  </si>
  <si>
    <t>base1-16</t>
  </si>
  <si>
    <t>Zapdos</t>
  </si>
  <si>
    <t>h</t>
  </si>
  <si>
    <t>base3-15</t>
  </si>
  <si>
    <t>Zapdos B3</t>
  </si>
  <si>
    <t>base3-30</t>
  </si>
  <si>
    <t>Zapdos B3 NH</t>
  </si>
  <si>
    <t>Per WotC rulings: Promo Cool Porygon *can* evolve (when Porygon2 is introduced), but the [adjective] Pikachu variants *cannot* evolve</t>
  </si>
  <si>
    <t>basep-23</t>
  </si>
  <si>
    <t>Zapdos GP</t>
  </si>
  <si>
    <t>Challenge 2</t>
  </si>
  <si>
    <t>"Trevor's Pikachu" was originally "_____'s Pikachu" that has variable attack damage based on its owner's birthday. Rather than building in a birthday system, I decided to use mine as a placeholder</t>
  </si>
  <si>
    <t>base1-96</t>
  </si>
  <si>
    <t>DC Energy</t>
  </si>
  <si>
    <t>Energy</t>
  </si>
  <si>
    <t>base1-100</t>
  </si>
  <si>
    <t>base1-97</t>
  </si>
  <si>
    <t>base1-99</t>
  </si>
  <si>
    <t>G Energy</t>
  </si>
  <si>
    <t>base1-101</t>
  </si>
  <si>
    <t>P Energy</t>
  </si>
  <si>
    <t>base1-98</t>
  </si>
  <si>
    <t>R Energy</t>
  </si>
  <si>
    <t>base1-102</t>
  </si>
  <si>
    <t>W Energy</t>
  </si>
  <si>
    <t>base3-1</t>
  </si>
  <si>
    <t>Aerodactyl</t>
  </si>
  <si>
    <t>To evolve before most opponent pokemon</t>
  </si>
  <si>
    <t>base3-16</t>
  </si>
  <si>
    <t>Aerodactyl NH</t>
  </si>
  <si>
    <t>base2-50</t>
  </si>
  <si>
    <t>Cubone</t>
  </si>
  <si>
    <t>To open or stall using Snivel</t>
  </si>
  <si>
    <t>base1-47</t>
  </si>
  <si>
    <t>Diglett</t>
  </si>
  <si>
    <t>base1-19</t>
  </si>
  <si>
    <t>Dugtrio</t>
  </si>
  <si>
    <t>base3-47</t>
  </si>
  <si>
    <t>Geodude</t>
  </si>
  <si>
    <t>Coin luck</t>
  </si>
  <si>
    <t>base3-36</t>
  </si>
  <si>
    <t>Golem</t>
  </si>
  <si>
    <t>base3-37</t>
  </si>
  <si>
    <t>Graveler</t>
  </si>
  <si>
    <t>base1-7</t>
  </si>
  <si>
    <t>Hitmonchan</t>
  </si>
  <si>
    <t>A stalling or opening role</t>
  </si>
  <si>
    <t>base3-7</t>
  </si>
  <si>
    <t>Hitmonlee</t>
  </si>
  <si>
    <t>BD, HD</t>
  </si>
  <si>
    <t>base3-22</t>
  </si>
  <si>
    <t>Hitmonlee NH</t>
  </si>
  <si>
    <t>base3-50</t>
  </si>
  <si>
    <t>Kabuto</t>
  </si>
  <si>
    <t>To sit on the bench and wait for an evolution</t>
  </si>
  <si>
    <t>base3-9</t>
  </si>
  <si>
    <t>Kabutops</t>
  </si>
  <si>
    <t>base3-24</t>
  </si>
  <si>
    <t>Kabutops NH</t>
  </si>
  <si>
    <t>base1-8</t>
  </si>
  <si>
    <t>Machamp</t>
  </si>
  <si>
    <t>base1-34</t>
  </si>
  <si>
    <t>Machoke</t>
  </si>
  <si>
    <t>base1-52</t>
  </si>
  <si>
    <t>Machop</t>
  </si>
  <si>
    <t>base2-55</t>
  </si>
  <si>
    <t>Mankey</t>
  </si>
  <si>
    <t>base2-39</t>
  </si>
  <si>
    <t>Marowak</t>
  </si>
  <si>
    <t>To use Bonemerang primarily</t>
  </si>
  <si>
    <t>base1-56</t>
  </si>
  <si>
    <t>Onix</t>
  </si>
  <si>
    <t>base2-43</t>
  </si>
  <si>
    <t>Primeape</t>
  </si>
  <si>
    <t>base2-45</t>
  </si>
  <si>
    <t>Rhydon</t>
  </si>
  <si>
    <t>base2-61</t>
  </si>
  <si>
    <t>Rhyhorn</t>
  </si>
  <si>
    <t>base1-62</t>
  </si>
  <si>
    <t>Sandshrew</t>
  </si>
  <si>
    <t>base3-41</t>
  </si>
  <si>
    <t>Sandslash</t>
  </si>
  <si>
    <t>A quick evolution for a Sandshrew that opened the game</t>
  </si>
  <si>
    <t>base3-31</t>
  </si>
  <si>
    <t>Arbok</t>
  </si>
  <si>
    <t>G</t>
  </si>
  <si>
    <t>SL, PC</t>
  </si>
  <si>
    <t>base1-17</t>
  </si>
  <si>
    <t>Beedrill</t>
  </si>
  <si>
    <t>base2-49</t>
  </si>
  <si>
    <t>Bellsprout</t>
  </si>
  <si>
    <t>base1-44</t>
  </si>
  <si>
    <t>Bulbasaur</t>
  </si>
  <si>
    <t>base2-33</t>
  </si>
  <si>
    <t>Butterfree</t>
  </si>
  <si>
    <t>PC, AP</t>
  </si>
  <si>
    <t>To move dangerous pokemon away with Whirlwind</t>
  </si>
  <si>
    <t>base1-45</t>
  </si>
  <si>
    <t>Caterpie</t>
  </si>
  <si>
    <t>base3-46</t>
  </si>
  <si>
    <t>Ekans</t>
  </si>
  <si>
    <t>base2-52</t>
  </si>
  <si>
    <t>Exeggcute</t>
  </si>
  <si>
    <t>base2-35</t>
  </si>
  <si>
    <t>Exeggutor</t>
  </si>
  <si>
    <t>To run away with Teleport when Big Eggsplosion doesn't have enough energy to carry a strong attack</t>
  </si>
  <si>
    <t>base2-37</t>
  </si>
  <si>
    <t>Gloom</t>
  </si>
  <si>
    <t>To confuse the defending pokemon (and itself) and then evolve out of its confusion</t>
  </si>
  <si>
    <t>base3-34</t>
  </si>
  <si>
    <t>Golbat</t>
  </si>
  <si>
    <t>base3-48</t>
  </si>
  <si>
    <t>Grimer</t>
  </si>
  <si>
    <t>To almost never use Minimize</t>
  </si>
  <si>
    <t>base1-30</t>
  </si>
  <si>
    <t>Ivysaur</t>
  </si>
  <si>
    <t>base1-33</t>
  </si>
  <si>
    <t>Kakuna</t>
  </si>
  <si>
    <t>base1-51</t>
  </si>
  <si>
    <t>Koffing</t>
  </si>
  <si>
    <t>base1-54</t>
  </si>
  <si>
    <t>Metapod</t>
  </si>
  <si>
    <t>base3-13</t>
  </si>
  <si>
    <t>Muk</t>
  </si>
  <si>
    <t>To suppress dangerous Pokemon Powers</t>
  </si>
  <si>
    <t>base3-28</t>
  </si>
  <si>
    <t>Muk NH</t>
  </si>
  <si>
    <t>base1-11</t>
  </si>
  <si>
    <t>Nidoking</t>
  </si>
  <si>
    <t>base2-7</t>
  </si>
  <si>
    <t>Nidoqueen</t>
  </si>
  <si>
    <t>Many Nidokings on the bench</t>
  </si>
  <si>
    <t>base2-23</t>
  </si>
  <si>
    <t>Nidoqueen NH</t>
  </si>
  <si>
    <t>base2-57</t>
  </si>
  <si>
    <t>Nidoran ♀</t>
  </si>
  <si>
    <t>base1-55</t>
  </si>
  <si>
    <t>Nidoran ♂</t>
  </si>
  <si>
    <t>base2-40</t>
  </si>
  <si>
    <t>Nidorina</t>
  </si>
  <si>
    <t>base1-37</t>
  </si>
  <si>
    <t>Nidorino</t>
  </si>
  <si>
    <t>base2-58</t>
  </si>
  <si>
    <t>Oddish</t>
  </si>
  <si>
    <t>base2-59</t>
  </si>
  <si>
    <t>Paras</t>
  </si>
  <si>
    <t>To use Scratch instead of Spore in most cases</t>
  </si>
  <si>
    <t>base2-41</t>
  </si>
  <si>
    <t>Parasect</t>
  </si>
  <si>
    <t>base2-9</t>
  </si>
  <si>
    <t>Pinsir</t>
  </si>
  <si>
    <t>base2-25</t>
  </si>
  <si>
    <t>Pinsir NH</t>
  </si>
  <si>
    <t>base2-10</t>
  </si>
  <si>
    <t>Scyther</t>
  </si>
  <si>
    <t>To use Swords Dance with two energies so it can use Slash on the next turn with 3</t>
  </si>
  <si>
    <t>base2-26</t>
  </si>
  <si>
    <t>Scyther NH</t>
  </si>
  <si>
    <t>base1-66</t>
  </si>
  <si>
    <t>Tangela</t>
  </si>
  <si>
    <t>base2-13</t>
  </si>
  <si>
    <t>Venomoth</t>
  </si>
  <si>
    <t>To use its Pokemon Power to avoid being weak to its opponent</t>
  </si>
  <si>
    <t>base2-29</t>
  </si>
  <si>
    <t>Venomoth NH</t>
  </si>
  <si>
    <t>base2-63</t>
  </si>
  <si>
    <t>Venonat</t>
  </si>
  <si>
    <t>To use Stun Spore primarily</t>
  </si>
  <si>
    <t>base1-15</t>
  </si>
  <si>
    <t>Venusaur</t>
  </si>
  <si>
    <t>basep-13</t>
  </si>
  <si>
    <t>Venusaur CH</t>
  </si>
  <si>
    <t>To sit on the bench against status-pressure opponents, and fight anything that doesn't deal high damage</t>
  </si>
  <si>
    <t>base2-14</t>
  </si>
  <si>
    <t>Victreebel</t>
  </si>
  <si>
    <t>base2-30</t>
  </si>
  <si>
    <t>Victreebel NH</t>
  </si>
  <si>
    <t>base2-15</t>
  </si>
  <si>
    <t>Vileplume</t>
  </si>
  <si>
    <t>AP, HD</t>
  </si>
  <si>
    <t>To heal damaged G pokemon</t>
  </si>
  <si>
    <t>base2-31</t>
  </si>
  <si>
    <t>Vileplume NH</t>
  </si>
  <si>
    <t>base1-69</t>
  </si>
  <si>
    <t>Weedle</t>
  </si>
  <si>
    <t>base2-48</t>
  </si>
  <si>
    <t>Weepinbell</t>
  </si>
  <si>
    <t>base3-45</t>
  </si>
  <si>
    <t>Weezing</t>
  </si>
  <si>
    <t>base3-57</t>
  </si>
  <si>
    <t>Zubat</t>
  </si>
  <si>
    <t>SL, AP</t>
  </si>
  <si>
    <t>To confuse and then use Leech Life</t>
  </si>
  <si>
    <t>base1-43</t>
  </si>
  <si>
    <t>Abra</t>
  </si>
  <si>
    <t>base1-1</t>
  </si>
  <si>
    <t>Alakazam</t>
  </si>
  <si>
    <t>Tanks on the bench to move damage to</t>
  </si>
  <si>
    <t>base1-49</t>
  </si>
  <si>
    <t>Drowzee</t>
  </si>
  <si>
    <t>base1-50</t>
  </si>
  <si>
    <t>Gastly</t>
  </si>
  <si>
    <t>base3-33</t>
  </si>
  <si>
    <t>Gastly B3</t>
  </si>
  <si>
    <t>SL, BG</t>
  </si>
  <si>
    <t>base3-5</t>
  </si>
  <si>
    <t>Gengar</t>
  </si>
  <si>
    <t>To sneaky knock out opponents using bench damage or its Pokemon Power</t>
  </si>
  <si>
    <t>base3-20</t>
  </si>
  <si>
    <t>Gengar NH</t>
  </si>
  <si>
    <t>base1-29</t>
  </si>
  <si>
    <t>Haunter</t>
  </si>
  <si>
    <t>base3-6</t>
  </si>
  <si>
    <t>Haunter B3</t>
  </si>
  <si>
    <t>WP, SL</t>
  </si>
  <si>
    <t>To punch above its weight while stalling for an evolution</t>
  </si>
  <si>
    <t>base3-21</t>
  </si>
  <si>
    <t>Haunter B3 NH</t>
  </si>
  <si>
    <t>base3-8</t>
  </si>
  <si>
    <t>Hypno</t>
  </si>
  <si>
    <t>To target vulnerable, weak, or high value pokemon on the bench for its bench damage</t>
  </si>
  <si>
    <t>base3-23</t>
  </si>
  <si>
    <t>Hypno NH</t>
  </si>
  <si>
    <t>base1-31</t>
  </si>
  <si>
    <t>Jynx</t>
  </si>
  <si>
    <t>base1-32</t>
  </si>
  <si>
    <t>Kadabra</t>
  </si>
  <si>
    <t>basep-8</t>
  </si>
  <si>
    <t>Mew GP</t>
  </si>
  <si>
    <t>To deal cheap damage to an opponent with a lot of energy. Might strategically un-evolve a damaged pokemon to kill it</t>
  </si>
  <si>
    <t>basep-9</t>
  </si>
  <si>
    <t>Mew GP CH</t>
  </si>
  <si>
    <t>base1-10</t>
  </si>
  <si>
    <t>Mewtwo</t>
  </si>
  <si>
    <t>basep-12</t>
  </si>
  <si>
    <t>Mewtwo GP</t>
  </si>
  <si>
    <t>BD, ED</t>
  </si>
  <si>
    <t>To disrupt with Energy Control before it's ready to use Telekinesis to hurt the bench</t>
  </si>
  <si>
    <t>basep-14</t>
  </si>
  <si>
    <t>Mewtwo GP 2</t>
  </si>
  <si>
    <t>To come in mid-game with energy in the discard pile, especially if it has/can have 1 energy by the end of the turn</t>
  </si>
  <si>
    <t>basep-3</t>
  </si>
  <si>
    <t>Mewtwo MS</t>
  </si>
  <si>
    <t>base2-6</t>
  </si>
  <si>
    <t>Mr. Mime</t>
  </si>
  <si>
    <t>To go against medium-high damage pokemon w/ no attacks 20 dmg or below</t>
  </si>
  <si>
    <t>base2-22</t>
  </si>
  <si>
    <t>Mr. Mime NH</t>
  </si>
  <si>
    <t>basep-19</t>
  </si>
  <si>
    <t>Sabrina's Abra</t>
  </si>
  <si>
    <t>To land lucky hits against low-HP pokemon when their energy number matches its own</t>
  </si>
  <si>
    <t>base3-43</t>
  </si>
  <si>
    <t>Slowbro</t>
  </si>
  <si>
    <t>To hide on the bench and take damage away from the active pokemon</t>
  </si>
  <si>
    <t>base3-55</t>
  </si>
  <si>
    <t>Slowpoke</t>
  </si>
  <si>
    <t>base1-23</t>
  </si>
  <si>
    <t>Arcanine</t>
  </si>
  <si>
    <t>basep-6</t>
  </si>
  <si>
    <t>Arcanine GP</t>
  </si>
  <si>
    <t>To use Quick Attack until about to die, then use Flames of Rage for high damage</t>
  </si>
  <si>
    <t>base1-4</t>
  </si>
  <si>
    <t>Charizard</t>
  </si>
  <si>
    <t>Replace 4x R energy with DCE in deck</t>
  </si>
  <si>
    <t>base1-46</t>
  </si>
  <si>
    <t>Charmander</t>
  </si>
  <si>
    <t>base1-24</t>
  </si>
  <si>
    <t>Charmeleon</t>
  </si>
  <si>
    <t>base2-3</t>
  </si>
  <si>
    <t>Flareon</t>
  </si>
  <si>
    <t>base2-19</t>
  </si>
  <si>
    <t>Flareon NH</t>
  </si>
  <si>
    <t>base1-28</t>
  </si>
  <si>
    <t>Growlithe</t>
  </si>
  <si>
    <t>base1-36</t>
  </si>
  <si>
    <t>Magmar</t>
  </si>
  <si>
    <t>base3-39</t>
  </si>
  <si>
    <t>Magmar B3</t>
  </si>
  <si>
    <t>base3-12</t>
  </si>
  <si>
    <t>Moltres</t>
  </si>
  <si>
    <t>basep-21</t>
  </si>
  <si>
    <t>Moltres GP</t>
  </si>
  <si>
    <t>To deal quick damage and be sacrificed</t>
  </si>
  <si>
    <t>base3-27</t>
  </si>
  <si>
    <t>Moltres NH</t>
  </si>
  <si>
    <t>base1-12</t>
  </si>
  <si>
    <t>Ninetales</t>
  </si>
  <si>
    <t>base1-60</t>
  </si>
  <si>
    <t>Ponyta</t>
  </si>
  <si>
    <t>base2-44</t>
  </si>
  <si>
    <t>Rapidash</t>
  </si>
  <si>
    <t>To use Agility whenever possible</t>
  </si>
  <si>
    <t>base1-68</t>
  </si>
  <si>
    <t>Vulpix</t>
  </si>
  <si>
    <t>base1-91</t>
  </si>
  <si>
    <t>Bill</t>
  </si>
  <si>
    <t>c</t>
  </si>
  <si>
    <t>d</t>
  </si>
  <si>
    <t>base1-92</t>
  </si>
  <si>
    <t>Energy Removal</t>
  </si>
  <si>
    <t>p</t>
  </si>
  <si>
    <t>base3-59</t>
  </si>
  <si>
    <t>Energy Search</t>
  </si>
  <si>
    <t>s</t>
  </si>
  <si>
    <t>base3-60</t>
  </si>
  <si>
    <t>Gambler</t>
  </si>
  <si>
    <t>base1-93</t>
  </si>
  <si>
    <t>Gust of Wind</t>
  </si>
  <si>
    <t>m</t>
  </si>
  <si>
    <t>base3-62</t>
  </si>
  <si>
    <t>Mysterious Fossil</t>
  </si>
  <si>
    <t>base2-64</t>
  </si>
  <si>
    <t>Poke Ball</t>
  </si>
  <si>
    <t>base1-94</t>
  </si>
  <si>
    <t>Potion</t>
  </si>
  <si>
    <t>base3-61</t>
  </si>
  <si>
    <t>Recycle</t>
  </si>
  <si>
    <t>base1-95</t>
  </si>
  <si>
    <t>Switch</t>
  </si>
  <si>
    <t>base1-70</t>
  </si>
  <si>
    <t>Clefairy Doll</t>
  </si>
  <si>
    <t>r</t>
  </si>
  <si>
    <t>basep-16</t>
  </si>
  <si>
    <t>Computer Error</t>
  </si>
  <si>
    <t>base1-71</t>
  </si>
  <si>
    <t>Computer Search</t>
  </si>
  <si>
    <t>base1-72</t>
  </si>
  <si>
    <t>Devolution Spray</t>
  </si>
  <si>
    <t>base1-73</t>
  </si>
  <si>
    <t>Impostor Professor Oak</t>
  </si>
  <si>
    <t>base1-74</t>
  </si>
  <si>
    <t>Item Finder</t>
  </si>
  <si>
    <t>base1-75</t>
  </si>
  <si>
    <t>Lass</t>
  </si>
  <si>
    <t>base1-76</t>
  </si>
  <si>
    <t>Pokemon Breeder</t>
  </si>
  <si>
    <t>base1-77</t>
  </si>
  <si>
    <t>Pokemon Trader</t>
  </si>
  <si>
    <t>base1-78</t>
  </si>
  <si>
    <t>Scoop Up</t>
  </si>
  <si>
    <t>base1-79</t>
  </si>
  <si>
    <t>Super Energy Removal</t>
  </si>
  <si>
    <t>base1-80</t>
  </si>
  <si>
    <t>Defender</t>
  </si>
  <si>
    <t>u</t>
  </si>
  <si>
    <t>base1-81</t>
  </si>
  <si>
    <t>Energy Retrieval</t>
  </si>
  <si>
    <t>base1-82</t>
  </si>
  <si>
    <t>Full Heal</t>
  </si>
  <si>
    <t>base1-83</t>
  </si>
  <si>
    <t>Maintenance</t>
  </si>
  <si>
    <t>base3-58</t>
  </si>
  <si>
    <t>Mr. Fuji</t>
  </si>
  <si>
    <t>m, r</t>
  </si>
  <si>
    <t>base1-84</t>
  </si>
  <si>
    <t>PlusPower</t>
  </si>
  <si>
    <t>base1-87</t>
  </si>
  <si>
    <t>Pokedex</t>
  </si>
  <si>
    <t>base1-85</t>
  </si>
  <si>
    <t>Pokemon Center</t>
  </si>
  <si>
    <t>base1-86</t>
  </si>
  <si>
    <t>Pokemon Flute</t>
  </si>
  <si>
    <t>base1-88</t>
  </si>
  <si>
    <t>Professor Oak</t>
  </si>
  <si>
    <t>base1-89</t>
  </si>
  <si>
    <t>Revive</t>
  </si>
  <si>
    <t>base1-90</t>
  </si>
  <si>
    <t>Super Potion</t>
  </si>
  <si>
    <t>base3-2</t>
  </si>
  <si>
    <t>Articuno</t>
  </si>
  <si>
    <t>W</t>
  </si>
  <si>
    <t>SL, BD</t>
  </si>
  <si>
    <t>basep-22</t>
  </si>
  <si>
    <t>Articuno GP</t>
  </si>
  <si>
    <t>BD, SL</t>
  </si>
  <si>
    <t>base3-17</t>
  </si>
  <si>
    <t>Articuno NH</t>
  </si>
  <si>
    <t>base1-2</t>
  </si>
  <si>
    <t>Blastoise</t>
  </si>
  <si>
    <t>5-ish extra W energy in deck, 2 extra W energy attached</t>
  </si>
  <si>
    <t>base3-32</t>
  </si>
  <si>
    <t>Cloyster</t>
  </si>
  <si>
    <t>To mainly use Clamp</t>
  </si>
  <si>
    <t>base1-25</t>
  </si>
  <si>
    <t>Dewgong</t>
  </si>
  <si>
    <t>base2-53</t>
  </si>
  <si>
    <t>Goldeen</t>
  </si>
  <si>
    <t>base3-35</t>
  </si>
  <si>
    <t>Golduck</t>
  </si>
  <si>
    <t>A combined P/W deck, but doesn't need one</t>
  </si>
  <si>
    <t>base1-6</t>
  </si>
  <si>
    <t>Gyarados</t>
  </si>
  <si>
    <t>Magikarp kept safe enough to evolve</t>
  </si>
  <si>
    <t>base3-49</t>
  </si>
  <si>
    <t>Horsea</t>
  </si>
  <si>
    <t>base3-38</t>
  </si>
  <si>
    <t>Kingler</t>
  </si>
  <si>
    <t>base3-51</t>
  </si>
  <si>
    <t>Krabby</t>
  </si>
  <si>
    <t>base3-10</t>
  </si>
  <si>
    <t>Lapras</t>
  </si>
  <si>
    <t>2 extra W energy attached, and to use Confuse Ray when smart</t>
  </si>
  <si>
    <t>base3-25</t>
  </si>
  <si>
    <t>Lapras NH</t>
  </si>
  <si>
    <t>base1-35</t>
  </si>
  <si>
    <t>Magikarp</t>
  </si>
  <si>
    <t>base3-52</t>
  </si>
  <si>
    <t>Omanyte</t>
  </si>
  <si>
    <t>base3-40</t>
  </si>
  <si>
    <t>Omastar</t>
  </si>
  <si>
    <t>base1-59</t>
  </si>
  <si>
    <t>Poliwag</t>
  </si>
  <si>
    <t>base1-38</t>
  </si>
  <si>
    <t>Poliwhirl</t>
  </si>
  <si>
    <t>base1-13</t>
  </si>
  <si>
    <t>Poliwrath</t>
  </si>
  <si>
    <t>base3-53</t>
  </si>
  <si>
    <t>Psyduck</t>
  </si>
  <si>
    <t>To play in a Psychic deck if Golduck (from this set) is there too</t>
  </si>
  <si>
    <t>basep-20</t>
  </si>
  <si>
    <t>Psyduck GP</t>
  </si>
  <si>
    <t>base3-42</t>
  </si>
  <si>
    <t>Seadra</t>
  </si>
  <si>
    <t>To hide behind Agility until Water Gun will kill</t>
  </si>
  <si>
    <t>base2-46</t>
  </si>
  <si>
    <t>Seaking</t>
  </si>
  <si>
    <t>base1-41</t>
  </si>
  <si>
    <t>Seel</t>
  </si>
  <si>
    <t>base3-54</t>
  </si>
  <si>
    <t>Shellder</t>
  </si>
  <si>
    <t>base1-63</t>
  </si>
  <si>
    <t>Squirtle</t>
  </si>
  <si>
    <t>base1-64</t>
  </si>
  <si>
    <t>Starmie</t>
  </si>
  <si>
    <t>base1-65</t>
  </si>
  <si>
    <t>Staryu</t>
  </si>
  <si>
    <t>base3-56</t>
  </si>
  <si>
    <t>Tentacool</t>
  </si>
  <si>
    <t>To escape to the player's hand when the situation looks bad for it</t>
  </si>
  <si>
    <t>base3-44</t>
  </si>
  <si>
    <t>Tentacruel</t>
  </si>
  <si>
    <t>base2-12</t>
  </si>
  <si>
    <t>Vaporeon</t>
  </si>
  <si>
    <t>Two extra W energy attached</t>
  </si>
  <si>
    <t>base2-28</t>
  </si>
  <si>
    <t>Vaporeon NH</t>
  </si>
  <si>
    <t>base1-42</t>
  </si>
  <si>
    <t>Wartortle</t>
  </si>
  <si>
    <t>PIkachu GP 2</t>
  </si>
  <si>
    <t>Total</t>
  </si>
  <si>
    <t>Common</t>
  </si>
  <si>
    <t>Uncommon</t>
  </si>
  <si>
    <t>Rare</t>
  </si>
  <si>
    <t>Trainer</t>
  </si>
  <si>
    <t>Pokemon</t>
  </si>
  <si>
    <t>Feature Weight:</t>
  </si>
  <si>
    <t>Total:</t>
  </si>
  <si>
    <t xml:space="preserve">Cover Card: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</si>
</sst>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readingOrder="0" vertical="bottom"/>
    </xf>
    <xf borderId="0" fillId="0" fontId="1" numFmtId="0" xfId="0" applyFont="1"/>
    <xf borderId="0" fillId="0" fontId="1" numFmtId="0" xfId="0" applyAlignment="1" applyFont="1">
      <alignment horizontal="left"/>
    </xf>
  </cellXfs>
  <cellStyles count="1">
    <cellStyle xfId="0" name="Normal" builtinId="0"/>
  </cellStyles>
  <dxfs count="3">
    <dxf>
      <font/>
      <fill>
        <patternFill patternType="solid">
          <fgColor rgb="FFF4CCCC"/>
          <bgColor rgb="FFF4CCCC"/>
        </patternFill>
      </fill>
      <border/>
    </dxf>
    <dxf>
      <font>
        <color theme="0"/>
      </font>
      <fill>
        <patternFill patternType="none"/>
      </fill>
      <border/>
    </dxf>
    <dxf>
      <font>
        <color rgb="FFFFFFF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1</v>
      </c>
      <c r="B1" s="1" t="s">
        <v>0</v>
      </c>
      <c r="C1" s="1" t="s">
        <v>3</v>
      </c>
      <c r="D1" s="2" t="s">
        <v>5</v>
      </c>
      <c r="E1" s="1" t="s">
        <v>6</v>
      </c>
      <c r="F1" s="1" t="s">
        <v>8</v>
      </c>
      <c r="G1" s="1" t="s">
        <v>10</v>
      </c>
      <c r="H1" s="3" t="s">
        <v>12</v>
      </c>
      <c r="I1" s="3" t="s">
        <v>19</v>
      </c>
      <c r="J1" s="1" t="s">
        <v>20</v>
      </c>
      <c r="K1" s="1" t="s">
        <v>21</v>
      </c>
      <c r="L1" s="1" t="s">
        <v>22</v>
      </c>
      <c r="M1" s="1"/>
      <c r="N1" s="1" t="s">
        <v>23</v>
      </c>
    </row>
    <row r="2">
      <c r="A2" s="4" t="s">
        <v>24</v>
      </c>
      <c r="B2" s="4" t="s">
        <v>25</v>
      </c>
      <c r="C2" s="1" t="s">
        <v>26</v>
      </c>
      <c r="D2" s="2" t="s">
        <v>27</v>
      </c>
      <c r="E2" s="1" t="s">
        <v>29</v>
      </c>
      <c r="F2" s="1">
        <v>1.0</v>
      </c>
      <c r="G2" s="1" t="s">
        <v>30</v>
      </c>
      <c r="H2" s="3" t="s">
        <v>31</v>
      </c>
      <c r="I2" s="3" t="s">
        <v>32</v>
      </c>
      <c r="J2" s="4"/>
      <c r="K2" s="1" t="b">
        <v>1</v>
      </c>
      <c r="M2" s="1"/>
      <c r="N2" s="1" t="s">
        <v>33</v>
      </c>
      <c r="O2" s="1" t="s">
        <v>34</v>
      </c>
    </row>
    <row r="3">
      <c r="A3" s="4" t="s">
        <v>35</v>
      </c>
      <c r="B3" s="4" t="s">
        <v>36</v>
      </c>
      <c r="C3" s="1" t="s">
        <v>26</v>
      </c>
      <c r="D3" s="2">
        <v>1.0</v>
      </c>
      <c r="E3" s="1" t="s">
        <v>29</v>
      </c>
      <c r="F3" s="1">
        <v>2.0</v>
      </c>
      <c r="H3" s="1" t="s">
        <v>37</v>
      </c>
      <c r="I3" s="1" t="s">
        <v>38</v>
      </c>
      <c r="K3" s="1" t="b">
        <v>1</v>
      </c>
      <c r="M3" s="1"/>
      <c r="N3" s="1">
        <v>1.0</v>
      </c>
      <c r="O3" s="1" t="s">
        <v>39</v>
      </c>
    </row>
    <row r="4">
      <c r="A4" s="4" t="s">
        <v>40</v>
      </c>
      <c r="B4" s="5" t="s">
        <v>41</v>
      </c>
      <c r="C4" s="1" t="s">
        <v>26</v>
      </c>
      <c r="D4" s="2">
        <v>1.0</v>
      </c>
      <c r="E4" s="1" t="s">
        <v>29</v>
      </c>
      <c r="F4" s="1">
        <v>2.0</v>
      </c>
      <c r="H4" s="1" t="s">
        <v>37</v>
      </c>
      <c r="I4" s="1" t="s">
        <v>38</v>
      </c>
      <c r="K4" s="1" t="b">
        <v>1</v>
      </c>
      <c r="M4" s="1"/>
      <c r="N4" s="1">
        <v>2.0</v>
      </c>
      <c r="O4" s="1" t="s">
        <v>42</v>
      </c>
    </row>
    <row r="5">
      <c r="A5" s="4" t="s">
        <v>43</v>
      </c>
      <c r="B5" s="4" t="s">
        <v>44</v>
      </c>
      <c r="C5" s="1" t="s">
        <v>26</v>
      </c>
      <c r="D5" s="2" t="s">
        <v>27</v>
      </c>
      <c r="E5" s="1" t="s">
        <v>45</v>
      </c>
      <c r="F5" s="1">
        <v>0.5</v>
      </c>
      <c r="H5" s="4"/>
      <c r="I5" s="4"/>
      <c r="J5" s="4"/>
      <c r="K5" s="1" t="b">
        <v>1</v>
      </c>
      <c r="M5" s="1"/>
      <c r="N5" s="1">
        <v>3.0</v>
      </c>
      <c r="O5" s="1" t="s">
        <v>46</v>
      </c>
    </row>
    <row r="6">
      <c r="A6" s="1" t="s">
        <v>47</v>
      </c>
      <c r="B6" s="1" t="s">
        <v>48</v>
      </c>
      <c r="C6" s="1" t="s">
        <v>26</v>
      </c>
      <c r="D6" s="2" t="s">
        <v>27</v>
      </c>
      <c r="E6" s="1" t="s">
        <v>29</v>
      </c>
      <c r="G6" s="1" t="s">
        <v>29</v>
      </c>
      <c r="H6" s="1" t="s">
        <v>31</v>
      </c>
      <c r="I6" s="1" t="s">
        <v>49</v>
      </c>
      <c r="K6" s="1" t="b">
        <v>0</v>
      </c>
      <c r="L6" s="1" t="s">
        <v>50</v>
      </c>
      <c r="M6" s="1"/>
      <c r="N6" s="1">
        <v>4.0</v>
      </c>
      <c r="O6" s="1" t="s">
        <v>51</v>
      </c>
    </row>
    <row r="7">
      <c r="A7" s="1" t="s">
        <v>52</v>
      </c>
      <c r="B7" s="1" t="s">
        <v>53</v>
      </c>
      <c r="C7" s="1" t="s">
        <v>26</v>
      </c>
      <c r="D7" s="2">
        <v>1.0</v>
      </c>
      <c r="E7" s="1" t="s">
        <v>29</v>
      </c>
      <c r="K7" s="1" t="b">
        <v>0</v>
      </c>
      <c r="L7" s="1" t="s">
        <v>54</v>
      </c>
    </row>
    <row r="8">
      <c r="A8" s="4" t="s">
        <v>55</v>
      </c>
      <c r="B8" s="4" t="s">
        <v>56</v>
      </c>
      <c r="C8" s="1" t="s">
        <v>26</v>
      </c>
      <c r="D8" s="2" t="s">
        <v>27</v>
      </c>
      <c r="E8" s="1" t="s">
        <v>29</v>
      </c>
      <c r="F8" s="1">
        <v>0.5</v>
      </c>
      <c r="I8" s="1" t="s">
        <v>57</v>
      </c>
      <c r="K8" s="1" t="b">
        <v>1</v>
      </c>
    </row>
    <row r="9">
      <c r="A9" s="4" t="s">
        <v>58</v>
      </c>
      <c r="B9" s="5" t="s">
        <v>59</v>
      </c>
      <c r="C9" s="1" t="s">
        <v>26</v>
      </c>
      <c r="D9" s="2" t="s">
        <v>27</v>
      </c>
      <c r="E9" s="1" t="s">
        <v>29</v>
      </c>
      <c r="F9" s="1">
        <v>0.5</v>
      </c>
      <c r="I9" s="1" t="s">
        <v>57</v>
      </c>
      <c r="K9" s="1" t="b">
        <v>1</v>
      </c>
      <c r="M9" s="1"/>
      <c r="N9" s="1" t="s">
        <v>60</v>
      </c>
    </row>
    <row r="10">
      <c r="A10" s="4" t="s">
        <v>61</v>
      </c>
      <c r="B10" s="4" t="s">
        <v>62</v>
      </c>
      <c r="C10" s="1" t="s">
        <v>26</v>
      </c>
      <c r="D10" s="2">
        <v>1.0</v>
      </c>
      <c r="E10" s="1" t="s">
        <v>29</v>
      </c>
      <c r="F10" s="1">
        <v>1.0</v>
      </c>
      <c r="I10" s="1" t="s">
        <v>63</v>
      </c>
      <c r="K10" s="1" t="b">
        <v>1</v>
      </c>
      <c r="M10" s="1"/>
      <c r="N10" s="1" t="s">
        <v>64</v>
      </c>
    </row>
    <row r="11">
      <c r="A11" s="4" t="s">
        <v>65</v>
      </c>
      <c r="B11" s="4" t="s">
        <v>66</v>
      </c>
      <c r="C11" s="1" t="s">
        <v>26</v>
      </c>
      <c r="D11" s="2" t="s">
        <v>27</v>
      </c>
      <c r="E11" s="1" t="s">
        <v>45</v>
      </c>
      <c r="G11" s="1" t="s">
        <v>67</v>
      </c>
      <c r="H11" s="1"/>
      <c r="I11" s="1"/>
      <c r="K11" s="1" t="b">
        <v>1</v>
      </c>
      <c r="M11" s="1"/>
      <c r="N11" s="1" t="s">
        <v>68</v>
      </c>
    </row>
    <row r="12">
      <c r="A12" s="4" t="s">
        <v>69</v>
      </c>
      <c r="B12" s="4" t="s">
        <v>70</v>
      </c>
      <c r="C12" s="1" t="s">
        <v>26</v>
      </c>
      <c r="D12" s="2">
        <v>1.0</v>
      </c>
      <c r="E12" s="1" t="s">
        <v>45</v>
      </c>
      <c r="F12" s="1">
        <v>1.0</v>
      </c>
      <c r="K12" s="1" t="b">
        <v>1</v>
      </c>
      <c r="M12" s="1"/>
      <c r="N12" s="1" t="s">
        <v>71</v>
      </c>
    </row>
    <row r="13">
      <c r="A13" s="4" t="s">
        <v>72</v>
      </c>
      <c r="B13" s="4" t="s">
        <v>73</v>
      </c>
      <c r="C13" s="1" t="s">
        <v>26</v>
      </c>
      <c r="D13" s="2">
        <v>2.0</v>
      </c>
      <c r="F13" s="1">
        <v>3.0</v>
      </c>
      <c r="H13" s="1" t="s">
        <v>74</v>
      </c>
      <c r="I13" s="1" t="s">
        <v>75</v>
      </c>
      <c r="K13" s="1" t="b">
        <v>1</v>
      </c>
      <c r="M13" s="1"/>
      <c r="N13" s="1" t="s">
        <v>76</v>
      </c>
    </row>
    <row r="14">
      <c r="A14" s="1" t="s">
        <v>77</v>
      </c>
      <c r="B14" s="1" t="s">
        <v>78</v>
      </c>
      <c r="C14" s="1" t="s">
        <v>26</v>
      </c>
      <c r="D14" s="2">
        <v>2.0</v>
      </c>
      <c r="F14" s="1">
        <v>1.5</v>
      </c>
      <c r="H14" s="1" t="s">
        <v>79</v>
      </c>
      <c r="I14" s="1" t="s">
        <v>80</v>
      </c>
      <c r="K14" s="1" t="b">
        <v>0</v>
      </c>
      <c r="L14" s="1" t="s">
        <v>81</v>
      </c>
      <c r="M14" s="1"/>
      <c r="N14" s="1" t="s">
        <v>82</v>
      </c>
    </row>
    <row r="15">
      <c r="A15" s="4" t="s">
        <v>83</v>
      </c>
      <c r="B15" s="5" t="s">
        <v>84</v>
      </c>
      <c r="C15" s="1" t="s">
        <v>26</v>
      </c>
      <c r="D15" s="2">
        <v>2.0</v>
      </c>
      <c r="F15" s="1">
        <v>3.0</v>
      </c>
      <c r="H15" s="1" t="s">
        <v>74</v>
      </c>
      <c r="I15" s="1" t="s">
        <v>75</v>
      </c>
      <c r="K15" s="1" t="b">
        <v>1</v>
      </c>
      <c r="M15" s="1"/>
      <c r="N15" s="1" t="s">
        <v>85</v>
      </c>
    </row>
    <row r="16">
      <c r="A16" s="4" t="s">
        <v>86</v>
      </c>
      <c r="B16" s="4" t="s">
        <v>87</v>
      </c>
      <c r="C16" s="1" t="s">
        <v>26</v>
      </c>
      <c r="D16" s="2" t="s">
        <v>27</v>
      </c>
      <c r="E16" s="1" t="s">
        <v>45</v>
      </c>
      <c r="K16" s="1" t="b">
        <v>1</v>
      </c>
      <c r="M16" s="1"/>
      <c r="N16" s="1" t="s">
        <v>88</v>
      </c>
    </row>
    <row r="17">
      <c r="A17" s="4" t="s">
        <v>89</v>
      </c>
      <c r="B17" s="4" t="s">
        <v>90</v>
      </c>
      <c r="C17" s="1" t="s">
        <v>26</v>
      </c>
      <c r="D17" s="2" t="s">
        <v>27</v>
      </c>
      <c r="E17" s="1" t="s">
        <v>45</v>
      </c>
      <c r="G17" s="1" t="s">
        <v>91</v>
      </c>
      <c r="H17" s="1" t="s">
        <v>92</v>
      </c>
      <c r="I17" s="1"/>
      <c r="K17" s="1" t="b">
        <v>1</v>
      </c>
      <c r="M17" s="1"/>
      <c r="N17" s="1" t="s">
        <v>93</v>
      </c>
    </row>
    <row r="18">
      <c r="A18" s="1" t="s">
        <v>94</v>
      </c>
      <c r="B18" s="1" t="s">
        <v>95</v>
      </c>
      <c r="C18" s="1" t="s">
        <v>26</v>
      </c>
      <c r="D18" s="2" t="s">
        <v>27</v>
      </c>
      <c r="E18" s="1" t="s">
        <v>45</v>
      </c>
      <c r="F18" s="1">
        <v>0.5</v>
      </c>
      <c r="G18" s="1" t="s">
        <v>91</v>
      </c>
      <c r="H18" s="1" t="s">
        <v>79</v>
      </c>
      <c r="I18" s="1" t="s">
        <v>96</v>
      </c>
      <c r="K18" s="1" t="b">
        <v>0</v>
      </c>
      <c r="L18" s="1" t="s">
        <v>97</v>
      </c>
      <c r="M18" s="1"/>
      <c r="N18" s="1" t="s">
        <v>98</v>
      </c>
    </row>
    <row r="19">
      <c r="A19" s="4" t="s">
        <v>99</v>
      </c>
      <c r="B19" s="4" t="s">
        <v>100</v>
      </c>
      <c r="C19" s="1" t="s">
        <v>26</v>
      </c>
      <c r="D19" s="2" t="s">
        <v>27</v>
      </c>
      <c r="E19" s="1" t="s">
        <v>29</v>
      </c>
      <c r="G19" s="1" t="s">
        <v>67</v>
      </c>
      <c r="H19" s="1"/>
      <c r="I19" s="1"/>
      <c r="K19" s="1" t="b">
        <v>1</v>
      </c>
    </row>
    <row r="20">
      <c r="A20" s="4" t="s">
        <v>101</v>
      </c>
      <c r="B20" s="4" t="s">
        <v>102</v>
      </c>
      <c r="C20" s="1" t="s">
        <v>26</v>
      </c>
      <c r="D20" s="2">
        <v>1.0</v>
      </c>
      <c r="E20" s="1" t="s">
        <v>29</v>
      </c>
      <c r="F20" s="1">
        <v>1.0</v>
      </c>
      <c r="H20" s="1" t="s">
        <v>31</v>
      </c>
      <c r="I20" s="1" t="s">
        <v>103</v>
      </c>
      <c r="K20" s="1" t="b">
        <v>1</v>
      </c>
    </row>
    <row r="21">
      <c r="A21" s="4" t="s">
        <v>104</v>
      </c>
      <c r="B21" s="4" t="s">
        <v>105</v>
      </c>
      <c r="C21" s="1" t="s">
        <v>26</v>
      </c>
      <c r="D21" s="2" t="s">
        <v>27</v>
      </c>
      <c r="E21" s="1" t="s">
        <v>45</v>
      </c>
      <c r="G21" s="1" t="s">
        <v>67</v>
      </c>
      <c r="H21" s="1" t="s">
        <v>106</v>
      </c>
      <c r="I21" s="1"/>
      <c r="K21" s="1" t="b">
        <v>1</v>
      </c>
      <c r="M21" s="1"/>
      <c r="N21" s="1" t="s">
        <v>107</v>
      </c>
    </row>
    <row r="22">
      <c r="A22" s="1" t="s">
        <v>108</v>
      </c>
      <c r="B22" s="1" t="s">
        <v>109</v>
      </c>
      <c r="C22" s="1" t="s">
        <v>26</v>
      </c>
      <c r="D22" s="2" t="s">
        <v>27</v>
      </c>
      <c r="E22" s="1" t="s">
        <v>29</v>
      </c>
      <c r="I22" s="1" t="s">
        <v>110</v>
      </c>
      <c r="K22" s="1" t="b">
        <v>0</v>
      </c>
      <c r="L22" s="1" t="s">
        <v>97</v>
      </c>
    </row>
    <row r="23">
      <c r="A23" s="4" t="s">
        <v>111</v>
      </c>
      <c r="B23" s="4" t="s">
        <v>112</v>
      </c>
      <c r="C23" s="1" t="s">
        <v>26</v>
      </c>
      <c r="D23" s="2" t="s">
        <v>27</v>
      </c>
      <c r="E23" s="1" t="s">
        <v>29</v>
      </c>
      <c r="F23" s="1">
        <v>1.5</v>
      </c>
      <c r="G23" s="1" t="s">
        <v>30</v>
      </c>
      <c r="H23" s="1" t="s">
        <v>79</v>
      </c>
      <c r="I23" s="1" t="s">
        <v>113</v>
      </c>
      <c r="K23" s="1" t="b">
        <v>1</v>
      </c>
      <c r="M23" s="1"/>
      <c r="N23" s="1" t="s">
        <v>114</v>
      </c>
      <c r="O23" s="1" t="s">
        <v>115</v>
      </c>
    </row>
    <row r="24">
      <c r="A24" s="4" t="s">
        <v>116</v>
      </c>
      <c r="B24" s="5" t="s">
        <v>117</v>
      </c>
      <c r="C24" s="1" t="s">
        <v>26</v>
      </c>
      <c r="D24" s="2" t="s">
        <v>27</v>
      </c>
      <c r="E24" s="1" t="s">
        <v>29</v>
      </c>
      <c r="F24" s="1">
        <v>1.5</v>
      </c>
      <c r="G24" s="1" t="s">
        <v>30</v>
      </c>
      <c r="H24" s="1" t="s">
        <v>79</v>
      </c>
      <c r="I24" s="1" t="s">
        <v>113</v>
      </c>
      <c r="K24" s="1" t="b">
        <v>1</v>
      </c>
      <c r="M24" s="1"/>
      <c r="N24" s="1" t="s">
        <v>118</v>
      </c>
      <c r="O24" s="1" t="s">
        <v>119</v>
      </c>
    </row>
    <row r="25">
      <c r="A25" s="4" t="s">
        <v>120</v>
      </c>
      <c r="B25" s="4" t="s">
        <v>121</v>
      </c>
      <c r="C25" s="1" t="s">
        <v>26</v>
      </c>
      <c r="D25" s="2" t="s">
        <v>27</v>
      </c>
      <c r="E25" s="1" t="s">
        <v>29</v>
      </c>
      <c r="F25" s="1">
        <v>0.5</v>
      </c>
      <c r="G25" s="1" t="s">
        <v>30</v>
      </c>
      <c r="H25" s="1" t="s">
        <v>106</v>
      </c>
      <c r="I25" s="1" t="s">
        <v>122</v>
      </c>
      <c r="K25" s="1" t="b">
        <v>1</v>
      </c>
      <c r="M25" s="1"/>
      <c r="N25" s="1" t="s">
        <v>123</v>
      </c>
      <c r="O25" s="1" t="s">
        <v>124</v>
      </c>
    </row>
    <row r="26">
      <c r="A26" s="4" t="s">
        <v>125</v>
      </c>
      <c r="B26" s="4" t="s">
        <v>126</v>
      </c>
      <c r="C26" s="1" t="s">
        <v>26</v>
      </c>
      <c r="D26" s="2" t="s">
        <v>27</v>
      </c>
      <c r="E26" s="1" t="s">
        <v>45</v>
      </c>
      <c r="G26" s="1" t="s">
        <v>67</v>
      </c>
      <c r="H26" s="1" t="s">
        <v>79</v>
      </c>
      <c r="I26" s="1" t="s">
        <v>127</v>
      </c>
      <c r="K26" s="1" t="b">
        <v>1</v>
      </c>
      <c r="M26" s="1"/>
      <c r="N26" s="1" t="s">
        <v>128</v>
      </c>
      <c r="O26" s="1" t="s">
        <v>129</v>
      </c>
    </row>
    <row r="27">
      <c r="A27" s="1" t="s">
        <v>130</v>
      </c>
      <c r="B27" s="1" t="s">
        <v>131</v>
      </c>
      <c r="C27" s="1" t="s">
        <v>26</v>
      </c>
      <c r="D27" s="2" t="s">
        <v>27</v>
      </c>
      <c r="E27" s="1" t="s">
        <v>45</v>
      </c>
      <c r="G27" s="1" t="s">
        <v>67</v>
      </c>
      <c r="H27" s="1" t="s">
        <v>132</v>
      </c>
      <c r="I27" s="1" t="s">
        <v>133</v>
      </c>
      <c r="K27" s="1" t="b">
        <v>0</v>
      </c>
      <c r="L27" s="1" t="s">
        <v>97</v>
      </c>
      <c r="M27" s="1"/>
      <c r="N27" s="1" t="s">
        <v>134</v>
      </c>
      <c r="O27" s="1" t="s">
        <v>135</v>
      </c>
    </row>
    <row r="28">
      <c r="A28" s="4" t="s">
        <v>136</v>
      </c>
      <c r="B28" s="4" t="s">
        <v>137</v>
      </c>
      <c r="C28" s="1" t="s">
        <v>26</v>
      </c>
      <c r="D28" s="2">
        <v>1.0</v>
      </c>
      <c r="E28" s="1" t="s">
        <v>29</v>
      </c>
      <c r="F28" s="1">
        <v>1.0</v>
      </c>
      <c r="H28" s="1" t="s">
        <v>31</v>
      </c>
      <c r="K28" s="1" t="b">
        <v>1</v>
      </c>
      <c r="M28" s="1"/>
      <c r="N28" s="1" t="s">
        <v>138</v>
      </c>
      <c r="O28" s="1" t="s">
        <v>139</v>
      </c>
    </row>
    <row r="29">
      <c r="A29" s="4" t="s">
        <v>140</v>
      </c>
      <c r="B29" s="4" t="s">
        <v>141</v>
      </c>
      <c r="C29" s="1" t="s">
        <v>26</v>
      </c>
      <c r="D29" s="2">
        <v>2.0</v>
      </c>
      <c r="F29" s="1">
        <v>3.0</v>
      </c>
      <c r="H29" s="1" t="s">
        <v>142</v>
      </c>
      <c r="K29" s="1" t="b">
        <v>1</v>
      </c>
    </row>
    <row r="30">
      <c r="A30" s="4" t="s">
        <v>143</v>
      </c>
      <c r="B30" s="5" t="s">
        <v>144</v>
      </c>
      <c r="C30" s="1" t="s">
        <v>26</v>
      </c>
      <c r="D30" s="2">
        <v>2.0</v>
      </c>
      <c r="F30" s="1">
        <v>3.0</v>
      </c>
      <c r="H30" s="1" t="s">
        <v>142</v>
      </c>
      <c r="K30" s="1" t="b">
        <v>1</v>
      </c>
    </row>
    <row r="31">
      <c r="A31" s="4" t="s">
        <v>145</v>
      </c>
      <c r="B31" s="4" t="s">
        <v>146</v>
      </c>
      <c r="C31" s="1" t="s">
        <v>26</v>
      </c>
      <c r="D31" s="2">
        <v>1.0</v>
      </c>
      <c r="E31" s="1" t="s">
        <v>45</v>
      </c>
      <c r="K31" s="1" t="b">
        <v>1</v>
      </c>
    </row>
    <row r="32">
      <c r="A32" s="4" t="s">
        <v>147</v>
      </c>
      <c r="B32" s="4" t="s">
        <v>148</v>
      </c>
      <c r="C32" s="1" t="s">
        <v>26</v>
      </c>
      <c r="D32" s="2" t="s">
        <v>27</v>
      </c>
      <c r="E32" s="1" t="s">
        <v>45</v>
      </c>
      <c r="K32" s="1" t="b">
        <v>1</v>
      </c>
      <c r="M32" s="4"/>
      <c r="N32" s="4" t="s">
        <v>149</v>
      </c>
      <c r="O32" s="4"/>
      <c r="P32" s="4"/>
      <c r="Q32" s="4"/>
      <c r="R32" s="4"/>
    </row>
    <row r="33">
      <c r="A33" s="4" t="s">
        <v>150</v>
      </c>
      <c r="B33" s="4" t="s">
        <v>151</v>
      </c>
      <c r="C33" s="1" t="s">
        <v>26</v>
      </c>
      <c r="D33" s="2" t="s">
        <v>27</v>
      </c>
      <c r="E33" s="1" t="s">
        <v>29</v>
      </c>
      <c r="G33" s="1" t="s">
        <v>67</v>
      </c>
      <c r="H33" s="1"/>
      <c r="I33" s="1"/>
      <c r="K33" s="1" t="b">
        <v>1</v>
      </c>
      <c r="M33" s="4"/>
      <c r="N33" s="4" t="s">
        <v>152</v>
      </c>
      <c r="O33" s="4" t="s">
        <v>153</v>
      </c>
      <c r="P33" s="4"/>
      <c r="Q33" s="4"/>
      <c r="R33" s="4"/>
    </row>
    <row r="34">
      <c r="A34" s="4" t="s">
        <v>154</v>
      </c>
      <c r="B34" s="4" t="s">
        <v>155</v>
      </c>
      <c r="C34" s="1" t="s">
        <v>26</v>
      </c>
      <c r="D34" s="2">
        <v>1.0</v>
      </c>
      <c r="E34" s="1" t="s">
        <v>29</v>
      </c>
      <c r="K34" s="1" t="b">
        <v>1</v>
      </c>
      <c r="M34" s="4"/>
      <c r="N34" s="4" t="s">
        <v>156</v>
      </c>
      <c r="O34" s="4" t="s">
        <v>157</v>
      </c>
      <c r="P34" s="4"/>
      <c r="Q34" s="4"/>
      <c r="R34" s="4"/>
    </row>
    <row r="35">
      <c r="A35" s="4" t="s">
        <v>158</v>
      </c>
      <c r="B35" s="4" t="s">
        <v>159</v>
      </c>
      <c r="C35" s="1" t="s">
        <v>26</v>
      </c>
      <c r="D35" s="2" t="s">
        <v>27</v>
      </c>
      <c r="E35" s="1" t="s">
        <v>45</v>
      </c>
      <c r="K35" s="1" t="b">
        <v>1</v>
      </c>
      <c r="M35" s="4"/>
      <c r="N35" s="4" t="s">
        <v>160</v>
      </c>
      <c r="O35" s="4" t="s">
        <v>161</v>
      </c>
      <c r="P35" s="4"/>
      <c r="Q35" s="4"/>
      <c r="R35" s="4"/>
    </row>
    <row r="36">
      <c r="A36" s="4" t="s">
        <v>162</v>
      </c>
      <c r="B36" s="4" t="s">
        <v>163</v>
      </c>
      <c r="C36" s="1" t="s">
        <v>26</v>
      </c>
      <c r="D36" s="2" t="s">
        <v>27</v>
      </c>
      <c r="E36" s="1" t="s">
        <v>29</v>
      </c>
      <c r="F36" s="1">
        <v>1.0</v>
      </c>
      <c r="G36" s="1" t="s">
        <v>30</v>
      </c>
      <c r="H36" s="1" t="s">
        <v>31</v>
      </c>
      <c r="I36" s="1" t="s">
        <v>164</v>
      </c>
      <c r="K36" s="1" t="b">
        <v>1</v>
      </c>
      <c r="M36" s="4"/>
      <c r="N36" s="4" t="s">
        <v>138</v>
      </c>
      <c r="O36" s="4" t="s">
        <v>165</v>
      </c>
      <c r="P36" s="4"/>
      <c r="Q36" s="4"/>
      <c r="R36" s="4"/>
    </row>
    <row r="37">
      <c r="A37" s="4" t="s">
        <v>166</v>
      </c>
      <c r="B37" s="5" t="s">
        <v>167</v>
      </c>
      <c r="C37" s="1" t="s">
        <v>26</v>
      </c>
      <c r="D37" s="2" t="s">
        <v>27</v>
      </c>
      <c r="E37" s="1" t="s">
        <v>29</v>
      </c>
      <c r="F37" s="1">
        <v>1.0</v>
      </c>
      <c r="G37" s="1" t="s">
        <v>30</v>
      </c>
      <c r="H37" s="1" t="s">
        <v>31</v>
      </c>
      <c r="I37" s="1" t="s">
        <v>164</v>
      </c>
      <c r="K37" s="1" t="b">
        <v>1</v>
      </c>
      <c r="M37" s="4"/>
      <c r="N37" s="4" t="s">
        <v>168</v>
      </c>
      <c r="O37" s="4" t="s">
        <v>169</v>
      </c>
      <c r="P37" s="4"/>
      <c r="Q37" s="4"/>
      <c r="R37" s="4"/>
    </row>
    <row r="38">
      <c r="A38" s="4" t="s">
        <v>170</v>
      </c>
      <c r="B38" s="4" t="s">
        <v>171</v>
      </c>
      <c r="C38" s="1" t="s">
        <v>26</v>
      </c>
      <c r="D38" s="2" t="s">
        <v>27</v>
      </c>
      <c r="E38" s="1" t="s">
        <v>45</v>
      </c>
      <c r="K38" s="1" t="b">
        <v>1</v>
      </c>
      <c r="M38" s="4"/>
      <c r="N38" s="4" t="s">
        <v>172</v>
      </c>
      <c r="O38" s="4" t="s">
        <v>173</v>
      </c>
      <c r="P38" s="4"/>
      <c r="Q38" s="4"/>
      <c r="R38" s="4"/>
    </row>
    <row r="39">
      <c r="A39" s="4" t="s">
        <v>174</v>
      </c>
      <c r="B39" s="4" t="s">
        <v>175</v>
      </c>
      <c r="C39" s="1" t="s">
        <v>26</v>
      </c>
      <c r="D39" s="2" t="s">
        <v>27</v>
      </c>
      <c r="E39" s="1" t="s">
        <v>29</v>
      </c>
      <c r="G39" s="1" t="s">
        <v>176</v>
      </c>
      <c r="H39" s="1"/>
      <c r="I39" s="1" t="s">
        <v>177</v>
      </c>
      <c r="K39" s="1" t="b">
        <v>1</v>
      </c>
      <c r="M39" s="5"/>
      <c r="N39" s="5" t="s">
        <v>128</v>
      </c>
      <c r="O39" s="5" t="s">
        <v>178</v>
      </c>
      <c r="P39" s="4"/>
      <c r="Q39" s="4"/>
      <c r="R39" s="4"/>
    </row>
    <row r="40">
      <c r="A40" s="1" t="s">
        <v>179</v>
      </c>
      <c r="B40" s="1" t="s">
        <v>180</v>
      </c>
      <c r="C40" s="1" t="s">
        <v>26</v>
      </c>
      <c r="D40" s="2" t="s">
        <v>27</v>
      </c>
      <c r="E40" s="1" t="s">
        <v>45</v>
      </c>
      <c r="G40" s="1" t="s">
        <v>176</v>
      </c>
      <c r="H40" s="1" t="s">
        <v>37</v>
      </c>
      <c r="I40" s="1" t="s">
        <v>181</v>
      </c>
      <c r="K40" s="1" t="b">
        <v>0</v>
      </c>
      <c r="L40" s="1" t="s">
        <v>182</v>
      </c>
      <c r="M40" s="4"/>
      <c r="N40" s="4"/>
      <c r="O40" s="4"/>
      <c r="P40" s="4"/>
      <c r="Q40" s="4"/>
      <c r="R40" s="4"/>
    </row>
    <row r="41">
      <c r="A41" s="4" t="s">
        <v>183</v>
      </c>
      <c r="B41" s="4" t="s">
        <v>184</v>
      </c>
      <c r="C41" s="1" t="s">
        <v>26</v>
      </c>
      <c r="D41" s="2">
        <v>1.0</v>
      </c>
      <c r="E41" s="1" t="s">
        <v>29</v>
      </c>
      <c r="F41" s="1">
        <v>3.0</v>
      </c>
      <c r="H41" s="1" t="s">
        <v>185</v>
      </c>
      <c r="I41" s="1" t="s">
        <v>186</v>
      </c>
      <c r="K41" s="1" t="b">
        <v>1</v>
      </c>
      <c r="M41" s="4"/>
      <c r="N41" s="4"/>
      <c r="O41" s="4"/>
      <c r="P41" s="4"/>
      <c r="Q41" s="4"/>
      <c r="R41" s="4"/>
    </row>
    <row r="42">
      <c r="A42" s="4" t="s">
        <v>187</v>
      </c>
      <c r="B42" s="5" t="s">
        <v>188</v>
      </c>
      <c r="C42" s="1" t="s">
        <v>26</v>
      </c>
      <c r="D42" s="2">
        <v>1.0</v>
      </c>
      <c r="E42" s="1" t="s">
        <v>29</v>
      </c>
      <c r="F42" s="1">
        <v>3.0</v>
      </c>
      <c r="H42" s="1" t="s">
        <v>185</v>
      </c>
      <c r="I42" s="1" t="s">
        <v>186</v>
      </c>
      <c r="K42" s="1" t="b">
        <v>1</v>
      </c>
      <c r="M42" s="4"/>
      <c r="N42" s="4"/>
      <c r="O42" s="4"/>
      <c r="P42" s="4"/>
      <c r="Q42" s="4"/>
      <c r="R42" s="4"/>
    </row>
    <row r="43">
      <c r="A43" s="4" t="s">
        <v>189</v>
      </c>
      <c r="B43" s="4" t="s">
        <v>190</v>
      </c>
      <c r="C43" s="1" t="s">
        <v>128</v>
      </c>
      <c r="D43" s="2" t="s">
        <v>27</v>
      </c>
      <c r="E43" s="1" t="s">
        <v>29</v>
      </c>
      <c r="F43" s="1">
        <v>1.0</v>
      </c>
      <c r="K43" s="1" t="b">
        <v>1</v>
      </c>
      <c r="M43" s="4"/>
      <c r="N43" s="4" t="s">
        <v>12</v>
      </c>
      <c r="O43" s="4"/>
      <c r="P43" s="4"/>
      <c r="Q43" s="4"/>
      <c r="R43" s="4"/>
    </row>
    <row r="44">
      <c r="A44" s="1" t="s">
        <v>191</v>
      </c>
      <c r="B44" s="1" t="s">
        <v>192</v>
      </c>
      <c r="C44" s="1" t="s">
        <v>128</v>
      </c>
      <c r="D44" s="2" t="s">
        <v>27</v>
      </c>
      <c r="E44" s="1" t="s">
        <v>29</v>
      </c>
      <c r="G44" s="1" t="s">
        <v>67</v>
      </c>
      <c r="K44" s="1" t="b">
        <v>0</v>
      </c>
      <c r="L44" s="1" t="s">
        <v>193</v>
      </c>
      <c r="M44" s="4"/>
      <c r="N44" s="4" t="s">
        <v>194</v>
      </c>
      <c r="O44" s="4" t="s">
        <v>195</v>
      </c>
      <c r="P44" s="4"/>
      <c r="Q44" s="4"/>
      <c r="R44" s="4"/>
    </row>
    <row r="45">
      <c r="A45" s="4" t="s">
        <v>196</v>
      </c>
      <c r="B45" s="4" t="s">
        <v>197</v>
      </c>
      <c r="C45" s="1" t="s">
        <v>128</v>
      </c>
      <c r="D45" s="2">
        <v>1.0</v>
      </c>
      <c r="E45" s="1" t="s">
        <v>29</v>
      </c>
      <c r="F45" s="1">
        <v>2.0</v>
      </c>
      <c r="J45" s="1" t="s">
        <v>45</v>
      </c>
      <c r="K45" s="1" t="b">
        <v>1</v>
      </c>
      <c r="M45" s="4"/>
      <c r="N45" s="4" t="s">
        <v>132</v>
      </c>
      <c r="O45" s="4" t="s">
        <v>198</v>
      </c>
      <c r="P45" s="4"/>
      <c r="Q45" s="4"/>
      <c r="R45" s="4"/>
    </row>
    <row r="46">
      <c r="A46" s="4" t="s">
        <v>199</v>
      </c>
      <c r="B46" s="5" t="s">
        <v>200</v>
      </c>
      <c r="C46" s="1" t="s">
        <v>128</v>
      </c>
      <c r="D46" s="2">
        <v>1.0</v>
      </c>
      <c r="E46" s="1" t="s">
        <v>29</v>
      </c>
      <c r="F46" s="1">
        <v>1.5</v>
      </c>
      <c r="H46" s="1" t="s">
        <v>132</v>
      </c>
      <c r="I46" s="1" t="s">
        <v>201</v>
      </c>
      <c r="K46" s="1" t="b">
        <v>1</v>
      </c>
      <c r="M46" s="4"/>
      <c r="N46" s="4" t="s">
        <v>142</v>
      </c>
      <c r="O46" s="4" t="s">
        <v>202</v>
      </c>
      <c r="P46" s="4"/>
      <c r="Q46" s="4"/>
      <c r="R46" s="4"/>
    </row>
    <row r="47">
      <c r="A47" s="4" t="s">
        <v>203</v>
      </c>
      <c r="B47" s="5" t="s">
        <v>204</v>
      </c>
      <c r="C47" s="1" t="s">
        <v>128</v>
      </c>
      <c r="D47" s="2">
        <v>1.0</v>
      </c>
      <c r="E47" s="1" t="s">
        <v>29</v>
      </c>
      <c r="F47" s="1">
        <v>1.5</v>
      </c>
      <c r="H47" s="1" t="s">
        <v>132</v>
      </c>
      <c r="I47" s="1" t="s">
        <v>201</v>
      </c>
      <c r="K47" s="1" t="b">
        <v>1</v>
      </c>
      <c r="M47" s="4"/>
      <c r="N47" s="4" t="s">
        <v>106</v>
      </c>
      <c r="O47" s="4" t="s">
        <v>205</v>
      </c>
      <c r="P47" s="4"/>
      <c r="Q47" s="4"/>
      <c r="R47" s="4"/>
    </row>
    <row r="48">
      <c r="A48" s="1" t="s">
        <v>206</v>
      </c>
      <c r="B48" s="1" t="s">
        <v>207</v>
      </c>
      <c r="C48" s="1" t="s">
        <v>128</v>
      </c>
      <c r="D48" s="2" t="s">
        <v>27</v>
      </c>
      <c r="E48" s="1" t="s">
        <v>29</v>
      </c>
      <c r="F48" s="1">
        <v>0.5</v>
      </c>
      <c r="G48" s="1" t="s">
        <v>67</v>
      </c>
      <c r="H48" s="1" t="s">
        <v>208</v>
      </c>
      <c r="I48" s="1" t="s">
        <v>209</v>
      </c>
      <c r="K48" s="1" t="b">
        <v>0</v>
      </c>
      <c r="L48" s="1" t="s">
        <v>50</v>
      </c>
      <c r="M48" s="4"/>
      <c r="N48" s="4" t="s">
        <v>210</v>
      </c>
      <c r="O48" s="4" t="s">
        <v>211</v>
      </c>
      <c r="P48" s="4"/>
      <c r="Q48" s="4"/>
      <c r="R48" s="4"/>
    </row>
    <row r="49">
      <c r="A49" s="4" t="s">
        <v>212</v>
      </c>
      <c r="B49" s="4" t="s">
        <v>213</v>
      </c>
      <c r="C49" s="1" t="s">
        <v>128</v>
      </c>
      <c r="D49" s="2">
        <v>1.0</v>
      </c>
      <c r="E49" s="1" t="s">
        <v>29</v>
      </c>
      <c r="F49" s="1">
        <v>2.0</v>
      </c>
      <c r="K49" s="1" t="b">
        <v>1</v>
      </c>
      <c r="M49" s="4"/>
      <c r="N49" s="4" t="s">
        <v>31</v>
      </c>
      <c r="O49" s="4" t="s">
        <v>214</v>
      </c>
      <c r="P49" s="4"/>
      <c r="Q49" s="4"/>
      <c r="R49" s="4"/>
    </row>
    <row r="50">
      <c r="A50" s="4" t="s">
        <v>215</v>
      </c>
      <c r="B50" s="5" t="s">
        <v>216</v>
      </c>
      <c r="C50" s="1" t="s">
        <v>128</v>
      </c>
      <c r="D50" s="2">
        <v>1.0</v>
      </c>
      <c r="E50" s="1" t="s">
        <v>29</v>
      </c>
      <c r="F50" s="1">
        <v>2.0</v>
      </c>
      <c r="K50" s="1" t="b">
        <v>1</v>
      </c>
      <c r="M50" s="4"/>
      <c r="N50" s="4" t="s">
        <v>217</v>
      </c>
      <c r="O50" s="4" t="s">
        <v>218</v>
      </c>
      <c r="P50" s="4"/>
      <c r="Q50" s="4"/>
      <c r="R50" s="4"/>
    </row>
    <row r="51">
      <c r="A51" s="4" t="s">
        <v>219</v>
      </c>
      <c r="B51" s="4" t="s">
        <v>220</v>
      </c>
      <c r="C51" s="1" t="s">
        <v>128</v>
      </c>
      <c r="D51" s="2" t="s">
        <v>27</v>
      </c>
      <c r="E51" s="1" t="s">
        <v>45</v>
      </c>
      <c r="G51" s="1" t="s">
        <v>91</v>
      </c>
      <c r="H51" s="1"/>
      <c r="I51" s="1"/>
      <c r="K51" s="1" t="b">
        <v>1</v>
      </c>
      <c r="M51" s="4"/>
      <c r="N51" s="4" t="s">
        <v>37</v>
      </c>
      <c r="O51" s="4" t="s">
        <v>221</v>
      </c>
    </row>
    <row r="52">
      <c r="A52" s="4" t="s">
        <v>222</v>
      </c>
      <c r="B52" s="4" t="s">
        <v>223</v>
      </c>
      <c r="C52" s="1" t="s">
        <v>128</v>
      </c>
      <c r="D52" s="2">
        <v>1.0</v>
      </c>
      <c r="E52" s="1" t="s">
        <v>29</v>
      </c>
      <c r="F52" s="1">
        <v>2.0</v>
      </c>
      <c r="K52" s="1" t="b">
        <v>1</v>
      </c>
      <c r="M52" s="1"/>
      <c r="N52" s="1" t="s">
        <v>79</v>
      </c>
      <c r="O52" s="1" t="s">
        <v>224</v>
      </c>
    </row>
    <row r="53">
      <c r="A53" s="4" t="s">
        <v>225</v>
      </c>
      <c r="B53" s="5" t="s">
        <v>226</v>
      </c>
      <c r="C53" s="1" t="s">
        <v>128</v>
      </c>
      <c r="D53" s="2">
        <v>1.0</v>
      </c>
      <c r="E53" s="1" t="s">
        <v>29</v>
      </c>
      <c r="F53" s="1">
        <v>2.0</v>
      </c>
      <c r="H53" s="1" t="s">
        <v>227</v>
      </c>
      <c r="I53" s="1" t="s">
        <v>228</v>
      </c>
      <c r="K53" s="1" t="b">
        <v>1</v>
      </c>
    </row>
    <row r="54">
      <c r="A54" s="4" t="s">
        <v>229</v>
      </c>
      <c r="B54" s="5" t="s">
        <v>230</v>
      </c>
      <c r="C54" s="1" t="s">
        <v>128</v>
      </c>
      <c r="D54" s="2">
        <v>1.0</v>
      </c>
      <c r="E54" s="1" t="s">
        <v>29</v>
      </c>
      <c r="F54" s="1">
        <v>2.0</v>
      </c>
      <c r="H54" s="1" t="s">
        <v>37</v>
      </c>
      <c r="I54" s="1" t="s">
        <v>228</v>
      </c>
      <c r="K54" s="1" t="b">
        <v>1</v>
      </c>
      <c r="N54" s="5" t="s">
        <v>231</v>
      </c>
    </row>
    <row r="55">
      <c r="A55" s="4" t="s">
        <v>232</v>
      </c>
      <c r="B55" s="4" t="s">
        <v>233</v>
      </c>
      <c r="C55" s="1" t="s">
        <v>128</v>
      </c>
      <c r="D55" s="2" t="s">
        <v>27</v>
      </c>
      <c r="E55" s="1" t="s">
        <v>45</v>
      </c>
      <c r="K55" s="1" t="b">
        <v>1</v>
      </c>
    </row>
    <row r="56">
      <c r="A56" s="4" t="s">
        <v>234</v>
      </c>
      <c r="B56" s="5" t="s">
        <v>235</v>
      </c>
      <c r="C56" s="1" t="s">
        <v>128</v>
      </c>
      <c r="D56" s="2" t="s">
        <v>27</v>
      </c>
      <c r="E56" s="1" t="s">
        <v>45</v>
      </c>
      <c r="G56" s="1" t="s">
        <v>67</v>
      </c>
      <c r="H56" s="1" t="s">
        <v>132</v>
      </c>
      <c r="I56" s="1" t="s">
        <v>236</v>
      </c>
      <c r="K56" s="1" t="b">
        <v>1</v>
      </c>
      <c r="M56" s="5"/>
      <c r="N56" s="5"/>
    </row>
    <row r="57">
      <c r="A57" s="1" t="s">
        <v>237</v>
      </c>
      <c r="B57" s="1" t="s">
        <v>238</v>
      </c>
      <c r="C57" s="1" t="s">
        <v>128</v>
      </c>
      <c r="D57" s="2" t="s">
        <v>27</v>
      </c>
      <c r="E57" s="1" t="s">
        <v>45</v>
      </c>
      <c r="G57" s="1" t="s">
        <v>67</v>
      </c>
      <c r="H57" s="1" t="s">
        <v>239</v>
      </c>
      <c r="I57" s="1" t="s">
        <v>240</v>
      </c>
      <c r="K57" s="1" t="b">
        <v>1</v>
      </c>
      <c r="L57" s="1" t="s">
        <v>193</v>
      </c>
      <c r="N57" s="1" t="s">
        <v>241</v>
      </c>
    </row>
    <row r="58">
      <c r="A58" s="1" t="s">
        <v>242</v>
      </c>
      <c r="B58" s="1" t="s">
        <v>243</v>
      </c>
      <c r="C58" s="1" t="s">
        <v>128</v>
      </c>
      <c r="D58" s="2" t="s">
        <v>27</v>
      </c>
      <c r="E58" s="1" t="s">
        <v>45</v>
      </c>
      <c r="G58" s="1" t="s">
        <v>91</v>
      </c>
      <c r="H58" s="1" t="s">
        <v>37</v>
      </c>
      <c r="I58" s="1" t="s">
        <v>244</v>
      </c>
      <c r="K58" s="1" t="b">
        <v>1</v>
      </c>
      <c r="L58" s="1" t="s">
        <v>97</v>
      </c>
      <c r="N58" s="1" t="s">
        <v>245</v>
      </c>
    </row>
    <row r="59">
      <c r="A59" s="1" t="s">
        <v>246</v>
      </c>
      <c r="B59" s="1" t="s">
        <v>247</v>
      </c>
      <c r="C59" s="1" t="s">
        <v>128</v>
      </c>
      <c r="D59" s="2" t="s">
        <v>27</v>
      </c>
      <c r="E59" s="1" t="s">
        <v>45</v>
      </c>
      <c r="H59" s="1" t="s">
        <v>208</v>
      </c>
      <c r="K59" s="1" t="b">
        <v>0</v>
      </c>
      <c r="L59" s="1" t="s">
        <v>182</v>
      </c>
      <c r="N59" s="1" t="s">
        <v>248</v>
      </c>
    </row>
    <row r="60">
      <c r="A60" s="1" t="s">
        <v>249</v>
      </c>
      <c r="B60" s="1" t="s">
        <v>250</v>
      </c>
      <c r="C60" s="1" t="s">
        <v>128</v>
      </c>
      <c r="D60" s="2" t="s">
        <v>27</v>
      </c>
      <c r="E60" s="1" t="s">
        <v>45</v>
      </c>
      <c r="F60" s="1">
        <v>0.5</v>
      </c>
      <c r="G60" s="1" t="s">
        <v>67</v>
      </c>
      <c r="H60" s="1" t="s">
        <v>37</v>
      </c>
      <c r="I60" s="1" t="s">
        <v>251</v>
      </c>
      <c r="K60" s="1" t="b">
        <v>0</v>
      </c>
      <c r="L60" s="1" t="s">
        <v>81</v>
      </c>
    </row>
    <row r="61">
      <c r="A61" s="4" t="s">
        <v>252</v>
      </c>
      <c r="B61" s="4" t="s">
        <v>253</v>
      </c>
      <c r="C61" s="1" t="s">
        <v>128</v>
      </c>
      <c r="D61" s="2">
        <v>1.0</v>
      </c>
      <c r="E61" s="1" t="s">
        <v>29</v>
      </c>
      <c r="F61" s="1">
        <v>2.0</v>
      </c>
      <c r="K61" s="1" t="b">
        <v>1</v>
      </c>
      <c r="N61" s="1" t="s">
        <v>254</v>
      </c>
    </row>
    <row r="62">
      <c r="A62" s="4" t="s">
        <v>255</v>
      </c>
      <c r="B62" s="5" t="s">
        <v>256</v>
      </c>
      <c r="C62" s="1" t="s">
        <v>128</v>
      </c>
      <c r="D62" s="2">
        <v>1.0</v>
      </c>
      <c r="E62" s="1" t="s">
        <v>29</v>
      </c>
      <c r="F62" s="1">
        <v>2.0</v>
      </c>
      <c r="H62" s="1" t="s">
        <v>132</v>
      </c>
      <c r="I62" s="1" t="s">
        <v>257</v>
      </c>
      <c r="K62" s="1" t="b">
        <v>1</v>
      </c>
      <c r="N62" s="1" t="s">
        <v>258</v>
      </c>
      <c r="O62" s="1" t="s">
        <v>259</v>
      </c>
    </row>
    <row r="63">
      <c r="A63" s="4" t="s">
        <v>260</v>
      </c>
      <c r="B63" s="5" t="s">
        <v>261</v>
      </c>
      <c r="C63" s="1" t="s">
        <v>128</v>
      </c>
      <c r="D63" s="2">
        <v>1.0</v>
      </c>
      <c r="E63" s="1" t="s">
        <v>29</v>
      </c>
      <c r="F63" s="1">
        <v>2.0</v>
      </c>
      <c r="H63" s="1" t="s">
        <v>132</v>
      </c>
      <c r="I63" s="1" t="s">
        <v>257</v>
      </c>
      <c r="K63" s="1" t="b">
        <v>1</v>
      </c>
      <c r="N63" s="1" t="s">
        <v>262</v>
      </c>
      <c r="O63" s="1" t="s">
        <v>263</v>
      </c>
    </row>
    <row r="64">
      <c r="A64" s="1" t="s">
        <v>264</v>
      </c>
      <c r="B64" s="1" t="s">
        <v>265</v>
      </c>
      <c r="C64" s="1" t="s">
        <v>128</v>
      </c>
      <c r="D64" s="2" t="s">
        <v>27</v>
      </c>
      <c r="E64" s="1" t="s">
        <v>29</v>
      </c>
      <c r="I64" s="1" t="s">
        <v>266</v>
      </c>
      <c r="K64" s="1" t="b">
        <v>0</v>
      </c>
      <c r="L64" s="1" t="s">
        <v>50</v>
      </c>
      <c r="N64" s="1" t="s">
        <v>267</v>
      </c>
      <c r="O64" s="1" t="s">
        <v>268</v>
      </c>
    </row>
    <row r="65">
      <c r="A65" s="1" t="s">
        <v>269</v>
      </c>
      <c r="B65" s="1" t="s">
        <v>270</v>
      </c>
      <c r="C65" s="1" t="s">
        <v>128</v>
      </c>
      <c r="D65" s="2" t="s">
        <v>27</v>
      </c>
      <c r="E65" s="1" t="s">
        <v>29</v>
      </c>
      <c r="G65" s="1" t="s">
        <v>67</v>
      </c>
      <c r="I65" s="1" t="s">
        <v>271</v>
      </c>
      <c r="K65" s="1" t="b">
        <v>0</v>
      </c>
      <c r="L65" s="1" t="s">
        <v>272</v>
      </c>
    </row>
    <row r="66">
      <c r="A66" s="4" t="s">
        <v>273</v>
      </c>
      <c r="B66" s="4" t="s">
        <v>274</v>
      </c>
      <c r="C66" s="1" t="s">
        <v>128</v>
      </c>
      <c r="D66" s="2" t="s">
        <v>27</v>
      </c>
      <c r="E66" s="1" t="s">
        <v>45</v>
      </c>
      <c r="K66" s="1" t="b">
        <v>1</v>
      </c>
    </row>
    <row r="67">
      <c r="A67" s="4" t="s">
        <v>275</v>
      </c>
      <c r="B67" s="4" t="s">
        <v>276</v>
      </c>
      <c r="C67" s="1" t="s">
        <v>128</v>
      </c>
      <c r="D67" s="2" t="s">
        <v>27</v>
      </c>
      <c r="E67" s="1" t="s">
        <v>29</v>
      </c>
      <c r="F67" s="1">
        <v>1.5</v>
      </c>
      <c r="G67" s="1" t="s">
        <v>277</v>
      </c>
      <c r="H67" s="1"/>
      <c r="I67" s="1"/>
      <c r="K67" s="1" t="b">
        <v>1</v>
      </c>
    </row>
    <row r="68">
      <c r="A68" s="4" t="s">
        <v>278</v>
      </c>
      <c r="B68" s="5" t="s">
        <v>279</v>
      </c>
      <c r="C68" s="1" t="s">
        <v>128</v>
      </c>
      <c r="D68" s="2" t="s">
        <v>27</v>
      </c>
      <c r="E68" s="1" t="s">
        <v>29</v>
      </c>
      <c r="F68" s="1">
        <v>2.0</v>
      </c>
      <c r="G68" s="1" t="s">
        <v>277</v>
      </c>
      <c r="H68" s="1" t="s">
        <v>132</v>
      </c>
      <c r="I68" s="1"/>
      <c r="K68" s="6" t="b">
        <v>0</v>
      </c>
    </row>
    <row r="69">
      <c r="A69" s="4" t="s">
        <v>280</v>
      </c>
      <c r="B69" s="5" t="s">
        <v>281</v>
      </c>
      <c r="C69" s="1" t="s">
        <v>128</v>
      </c>
      <c r="D69" s="2" t="s">
        <v>27</v>
      </c>
      <c r="E69" s="1" t="s">
        <v>29</v>
      </c>
      <c r="F69" s="1">
        <v>2.0</v>
      </c>
      <c r="G69" s="1" t="s">
        <v>277</v>
      </c>
      <c r="H69" s="1" t="s">
        <v>132</v>
      </c>
      <c r="I69" s="1"/>
      <c r="K69" s="6" t="b">
        <v>0</v>
      </c>
      <c r="N69" s="1" t="s">
        <v>282</v>
      </c>
    </row>
    <row r="70">
      <c r="A70" s="1" t="s">
        <v>283</v>
      </c>
      <c r="B70" s="1" t="s">
        <v>284</v>
      </c>
      <c r="C70" s="1" t="s">
        <v>128</v>
      </c>
      <c r="D70" s="2" t="s">
        <v>27</v>
      </c>
      <c r="E70" s="1" t="s">
        <v>29</v>
      </c>
      <c r="F70" s="1">
        <v>2.0</v>
      </c>
      <c r="G70" s="1" t="s">
        <v>277</v>
      </c>
      <c r="H70" s="1" t="s">
        <v>132</v>
      </c>
      <c r="K70" s="1" t="b">
        <v>0</v>
      </c>
      <c r="L70" s="1" t="s">
        <v>285</v>
      </c>
      <c r="N70" s="1" t="s">
        <v>286</v>
      </c>
    </row>
    <row r="71">
      <c r="A71" s="4" t="s">
        <v>287</v>
      </c>
      <c r="B71" s="5" t="s">
        <v>288</v>
      </c>
      <c r="C71" s="1" t="s">
        <v>289</v>
      </c>
      <c r="D71" s="7"/>
      <c r="K71" s="1" t="b">
        <v>1</v>
      </c>
    </row>
    <row r="72">
      <c r="A72" s="4" t="s">
        <v>290</v>
      </c>
      <c r="B72" s="5" t="s">
        <v>28</v>
      </c>
      <c r="C72" s="1" t="s">
        <v>289</v>
      </c>
      <c r="D72" s="7"/>
      <c r="K72" s="1" t="b">
        <v>1</v>
      </c>
    </row>
    <row r="73">
      <c r="A73" s="4" t="s">
        <v>291</v>
      </c>
      <c r="B73" s="5" t="s">
        <v>18</v>
      </c>
      <c r="C73" s="1" t="s">
        <v>289</v>
      </c>
      <c r="D73" s="7"/>
      <c r="K73" s="1" t="b">
        <v>1</v>
      </c>
    </row>
    <row r="74">
      <c r="A74" s="4" t="s">
        <v>292</v>
      </c>
      <c r="B74" s="5" t="s">
        <v>293</v>
      </c>
      <c r="C74" s="1" t="s">
        <v>289</v>
      </c>
      <c r="D74" s="7"/>
      <c r="K74" s="1" t="b">
        <v>1</v>
      </c>
    </row>
    <row r="75">
      <c r="A75" s="4" t="s">
        <v>294</v>
      </c>
      <c r="B75" s="5" t="s">
        <v>295</v>
      </c>
      <c r="C75" s="1" t="s">
        <v>289</v>
      </c>
      <c r="D75" s="7"/>
      <c r="K75" s="1" t="b">
        <v>1</v>
      </c>
    </row>
    <row r="76">
      <c r="A76" s="4" t="s">
        <v>296</v>
      </c>
      <c r="B76" s="5" t="s">
        <v>297</v>
      </c>
      <c r="C76" s="1" t="s">
        <v>289</v>
      </c>
      <c r="D76" s="7"/>
      <c r="K76" s="1" t="b">
        <v>1</v>
      </c>
    </row>
    <row r="77">
      <c r="A77" s="4" t="s">
        <v>298</v>
      </c>
      <c r="B77" s="5" t="s">
        <v>299</v>
      </c>
      <c r="C77" s="1" t="s">
        <v>289</v>
      </c>
      <c r="D77" s="7"/>
      <c r="K77" s="1" t="b">
        <v>1</v>
      </c>
    </row>
    <row r="78">
      <c r="A78" s="4" t="s">
        <v>300</v>
      </c>
      <c r="B78" s="4" t="s">
        <v>301</v>
      </c>
      <c r="C78" s="1" t="s">
        <v>123</v>
      </c>
      <c r="D78" s="2">
        <v>1.0</v>
      </c>
      <c r="E78" s="1" t="s">
        <v>29</v>
      </c>
      <c r="F78" s="1">
        <v>3.0</v>
      </c>
      <c r="H78" s="1" t="s">
        <v>210</v>
      </c>
      <c r="I78" s="1" t="s">
        <v>302</v>
      </c>
      <c r="K78" s="1" t="b">
        <v>1</v>
      </c>
    </row>
    <row r="79">
      <c r="A79" s="4" t="s">
        <v>303</v>
      </c>
      <c r="B79" s="5" t="s">
        <v>304</v>
      </c>
      <c r="C79" s="1" t="s">
        <v>123</v>
      </c>
      <c r="D79" s="2">
        <v>1.0</v>
      </c>
      <c r="E79" s="1" t="s">
        <v>29</v>
      </c>
      <c r="F79" s="1">
        <v>3.0</v>
      </c>
      <c r="H79" s="1" t="s">
        <v>210</v>
      </c>
      <c r="I79" s="1" t="s">
        <v>302</v>
      </c>
      <c r="K79" s="1" t="b">
        <v>1</v>
      </c>
    </row>
    <row r="80">
      <c r="A80" s="4" t="s">
        <v>305</v>
      </c>
      <c r="B80" s="4" t="s">
        <v>306</v>
      </c>
      <c r="C80" s="1" t="s">
        <v>123</v>
      </c>
      <c r="D80" s="2" t="s">
        <v>27</v>
      </c>
      <c r="E80" s="1" t="s">
        <v>45</v>
      </c>
      <c r="G80" s="1" t="s">
        <v>67</v>
      </c>
      <c r="H80" s="1" t="s">
        <v>31</v>
      </c>
      <c r="I80" s="1" t="s">
        <v>307</v>
      </c>
      <c r="K80" s="1" t="b">
        <v>1</v>
      </c>
    </row>
    <row r="81">
      <c r="A81" s="4" t="s">
        <v>308</v>
      </c>
      <c r="B81" s="4" t="s">
        <v>309</v>
      </c>
      <c r="C81" s="1" t="s">
        <v>123</v>
      </c>
      <c r="D81" s="2" t="s">
        <v>27</v>
      </c>
      <c r="E81" s="1" t="s">
        <v>45</v>
      </c>
      <c r="G81" s="1" t="s">
        <v>91</v>
      </c>
      <c r="H81" s="1"/>
      <c r="I81" s="1"/>
      <c r="K81" s="1" t="b">
        <v>1</v>
      </c>
    </row>
    <row r="82">
      <c r="A82" s="4" t="s">
        <v>310</v>
      </c>
      <c r="B82" s="4" t="s">
        <v>311</v>
      </c>
      <c r="C82" s="1" t="s">
        <v>123</v>
      </c>
      <c r="D82" s="2">
        <v>1.0</v>
      </c>
      <c r="E82" s="1" t="s">
        <v>29</v>
      </c>
      <c r="F82" s="1">
        <v>2.0</v>
      </c>
      <c r="K82" s="1" t="b">
        <v>1</v>
      </c>
    </row>
    <row r="83">
      <c r="A83" s="4" t="s">
        <v>312</v>
      </c>
      <c r="B83" s="4" t="s">
        <v>313</v>
      </c>
      <c r="C83" s="1" t="s">
        <v>123</v>
      </c>
      <c r="D83" s="2" t="s">
        <v>27</v>
      </c>
      <c r="E83" s="1" t="s">
        <v>45</v>
      </c>
      <c r="I83" s="1" t="s">
        <v>314</v>
      </c>
      <c r="K83" s="1" t="b">
        <v>1</v>
      </c>
    </row>
    <row r="84">
      <c r="A84" s="4" t="s">
        <v>315</v>
      </c>
      <c r="B84" s="4" t="s">
        <v>316</v>
      </c>
      <c r="C84" s="1" t="s">
        <v>123</v>
      </c>
      <c r="D84" s="2">
        <v>2.0</v>
      </c>
      <c r="F84" s="1">
        <v>3.0</v>
      </c>
      <c r="H84" s="1" t="s">
        <v>37</v>
      </c>
      <c r="K84" s="1" t="b">
        <v>1</v>
      </c>
    </row>
    <row r="85">
      <c r="A85" s="4" t="s">
        <v>317</v>
      </c>
      <c r="B85" s="4" t="s">
        <v>318</v>
      </c>
      <c r="C85" s="1" t="s">
        <v>123</v>
      </c>
      <c r="D85" s="2">
        <v>1.0</v>
      </c>
      <c r="E85" s="1" t="s">
        <v>45</v>
      </c>
      <c r="H85" s="1" t="s">
        <v>31</v>
      </c>
      <c r="K85" s="1" t="b">
        <v>1</v>
      </c>
    </row>
    <row r="86">
      <c r="A86" s="4" t="s">
        <v>319</v>
      </c>
      <c r="B86" s="4" t="s">
        <v>320</v>
      </c>
      <c r="C86" s="1" t="s">
        <v>123</v>
      </c>
      <c r="D86" s="2" t="s">
        <v>27</v>
      </c>
      <c r="E86" s="1" t="s">
        <v>29</v>
      </c>
      <c r="F86" s="1">
        <v>0.5</v>
      </c>
      <c r="G86" s="1" t="s">
        <v>67</v>
      </c>
      <c r="H86" s="3"/>
      <c r="I86" s="3" t="s">
        <v>321</v>
      </c>
      <c r="J86" s="4"/>
      <c r="K86" s="1" t="b">
        <v>1</v>
      </c>
    </row>
    <row r="87">
      <c r="A87" s="4" t="s">
        <v>322</v>
      </c>
      <c r="B87" s="4" t="s">
        <v>323</v>
      </c>
      <c r="C87" s="1" t="s">
        <v>123</v>
      </c>
      <c r="D87" s="2" t="s">
        <v>27</v>
      </c>
      <c r="E87" s="1" t="s">
        <v>29</v>
      </c>
      <c r="F87" s="1">
        <v>1.0</v>
      </c>
      <c r="G87" s="1" t="s">
        <v>176</v>
      </c>
      <c r="H87" s="1" t="s">
        <v>324</v>
      </c>
      <c r="I87" s="1"/>
      <c r="K87" s="1" t="b">
        <v>1</v>
      </c>
    </row>
    <row r="88">
      <c r="A88" s="4" t="s">
        <v>325</v>
      </c>
      <c r="B88" s="5" t="s">
        <v>326</v>
      </c>
      <c r="C88" s="1" t="s">
        <v>123</v>
      </c>
      <c r="D88" s="2" t="s">
        <v>27</v>
      </c>
      <c r="E88" s="1" t="s">
        <v>29</v>
      </c>
      <c r="F88" s="1">
        <v>1.0</v>
      </c>
      <c r="G88" s="1" t="s">
        <v>176</v>
      </c>
      <c r="H88" s="1" t="s">
        <v>324</v>
      </c>
      <c r="I88" s="1"/>
      <c r="K88" s="1" t="b">
        <v>1</v>
      </c>
    </row>
    <row r="89">
      <c r="A89" s="4" t="s">
        <v>327</v>
      </c>
      <c r="B89" s="4" t="s">
        <v>328</v>
      </c>
      <c r="C89" s="1" t="s">
        <v>123</v>
      </c>
      <c r="D89" s="2">
        <v>1.0</v>
      </c>
      <c r="E89" s="1" t="s">
        <v>45</v>
      </c>
      <c r="H89" s="1" t="s">
        <v>31</v>
      </c>
      <c r="I89" s="1" t="s">
        <v>329</v>
      </c>
      <c r="K89" s="1" t="b">
        <v>1</v>
      </c>
    </row>
    <row r="90">
      <c r="A90" s="4" t="s">
        <v>330</v>
      </c>
      <c r="B90" s="4" t="s">
        <v>331</v>
      </c>
      <c r="C90" s="1" t="s">
        <v>123</v>
      </c>
      <c r="D90" s="2">
        <v>2.0</v>
      </c>
      <c r="F90" s="1">
        <v>2.0</v>
      </c>
      <c r="H90" s="1" t="s">
        <v>217</v>
      </c>
      <c r="K90" s="1" t="b">
        <v>1</v>
      </c>
    </row>
    <row r="91">
      <c r="A91" s="4" t="s">
        <v>332</v>
      </c>
      <c r="B91" s="5" t="s">
        <v>333</v>
      </c>
      <c r="C91" s="1" t="s">
        <v>123</v>
      </c>
      <c r="D91" s="2">
        <v>2.0</v>
      </c>
      <c r="F91" s="1">
        <v>2.0</v>
      </c>
      <c r="H91" s="1" t="s">
        <v>217</v>
      </c>
      <c r="K91" s="1" t="b">
        <v>1</v>
      </c>
    </row>
    <row r="92">
      <c r="A92" s="4" t="s">
        <v>334</v>
      </c>
      <c r="B92" s="4" t="s">
        <v>335</v>
      </c>
      <c r="C92" s="1" t="s">
        <v>123</v>
      </c>
      <c r="D92" s="2">
        <v>2.0</v>
      </c>
      <c r="F92" s="1">
        <v>3.0</v>
      </c>
      <c r="K92" s="1" t="b">
        <v>1</v>
      </c>
    </row>
    <row r="93">
      <c r="A93" s="4" t="s">
        <v>336</v>
      </c>
      <c r="B93" s="4" t="s">
        <v>337</v>
      </c>
      <c r="C93" s="1" t="s">
        <v>123</v>
      </c>
      <c r="D93" s="2">
        <v>1.0</v>
      </c>
      <c r="E93" s="1" t="s">
        <v>45</v>
      </c>
      <c r="K93" s="1" t="b">
        <v>1</v>
      </c>
    </row>
    <row r="94">
      <c r="A94" s="4" t="s">
        <v>338</v>
      </c>
      <c r="B94" s="4" t="s">
        <v>339</v>
      </c>
      <c r="C94" s="1" t="s">
        <v>123</v>
      </c>
      <c r="D94" s="2" t="s">
        <v>27</v>
      </c>
      <c r="E94" s="1" t="s">
        <v>45</v>
      </c>
      <c r="G94" s="1" t="s">
        <v>91</v>
      </c>
      <c r="H94" s="1"/>
      <c r="I94" s="1"/>
      <c r="K94" s="1" t="b">
        <v>1</v>
      </c>
    </row>
    <row r="95">
      <c r="A95" s="4" t="s">
        <v>340</v>
      </c>
      <c r="B95" s="4" t="s">
        <v>341</v>
      </c>
      <c r="C95" s="1" t="s">
        <v>123</v>
      </c>
      <c r="D95" s="2" t="s">
        <v>27</v>
      </c>
      <c r="E95" s="1" t="s">
        <v>45</v>
      </c>
      <c r="G95" s="1" t="s">
        <v>29</v>
      </c>
      <c r="H95" s="1"/>
      <c r="I95" s="1"/>
      <c r="K95" s="1" t="b">
        <v>1</v>
      </c>
    </row>
    <row r="96">
      <c r="A96" s="4" t="s">
        <v>342</v>
      </c>
      <c r="B96" s="4" t="s">
        <v>343</v>
      </c>
      <c r="C96" s="1" t="s">
        <v>123</v>
      </c>
      <c r="D96" s="2">
        <v>1.0</v>
      </c>
      <c r="E96" s="1" t="s">
        <v>29</v>
      </c>
      <c r="F96" s="1">
        <v>1.0</v>
      </c>
      <c r="I96" s="1" t="s">
        <v>344</v>
      </c>
      <c r="K96" s="1" t="b">
        <v>1</v>
      </c>
    </row>
    <row r="97">
      <c r="A97" s="4" t="s">
        <v>345</v>
      </c>
      <c r="B97" s="4" t="s">
        <v>346</v>
      </c>
      <c r="C97" s="1" t="s">
        <v>123</v>
      </c>
      <c r="D97" s="2" t="s">
        <v>27</v>
      </c>
      <c r="E97" s="1" t="s">
        <v>29</v>
      </c>
      <c r="G97" s="1" t="s">
        <v>30</v>
      </c>
      <c r="H97" s="1"/>
      <c r="I97" s="1"/>
      <c r="K97" s="1" t="b">
        <v>1</v>
      </c>
    </row>
    <row r="98">
      <c r="A98" s="4" t="s">
        <v>347</v>
      </c>
      <c r="B98" s="4" t="s">
        <v>348</v>
      </c>
      <c r="C98" s="1" t="s">
        <v>123</v>
      </c>
      <c r="D98" s="2">
        <v>1.0</v>
      </c>
      <c r="E98" s="1" t="s">
        <v>29</v>
      </c>
      <c r="F98" s="1">
        <v>1.0</v>
      </c>
      <c r="H98" s="1" t="s">
        <v>37</v>
      </c>
      <c r="K98" s="1" t="b">
        <v>1</v>
      </c>
    </row>
    <row r="99">
      <c r="A99" s="4" t="s">
        <v>349</v>
      </c>
      <c r="B99" s="4" t="s">
        <v>350</v>
      </c>
      <c r="C99" s="1" t="s">
        <v>123</v>
      </c>
      <c r="D99" s="2">
        <v>1.0</v>
      </c>
      <c r="E99" s="1" t="s">
        <v>29</v>
      </c>
      <c r="F99" s="1">
        <v>2.0</v>
      </c>
      <c r="H99" s="1" t="s">
        <v>142</v>
      </c>
      <c r="K99" s="1" t="b">
        <v>1</v>
      </c>
    </row>
    <row r="100">
      <c r="A100" s="4" t="s">
        <v>351</v>
      </c>
      <c r="B100" s="4" t="s">
        <v>352</v>
      </c>
      <c r="C100" s="1" t="s">
        <v>123</v>
      </c>
      <c r="D100" s="2" t="s">
        <v>27</v>
      </c>
      <c r="E100" s="1" t="s">
        <v>45</v>
      </c>
      <c r="G100" s="1" t="s">
        <v>67</v>
      </c>
      <c r="H100" s="1" t="s">
        <v>31</v>
      </c>
      <c r="I100" s="1"/>
      <c r="K100" s="1" t="b">
        <v>1</v>
      </c>
    </row>
    <row r="101">
      <c r="A101" s="4" t="s">
        <v>353</v>
      </c>
      <c r="B101" s="4" t="s">
        <v>354</v>
      </c>
      <c r="C101" s="1" t="s">
        <v>123</v>
      </c>
      <c r="D101" s="2" t="s">
        <v>27</v>
      </c>
      <c r="E101" s="1" t="s">
        <v>45</v>
      </c>
      <c r="G101" s="1" t="s">
        <v>67</v>
      </c>
      <c r="H101" s="1"/>
      <c r="I101" s="1"/>
      <c r="K101" s="1" t="b">
        <v>1</v>
      </c>
    </row>
    <row r="102">
      <c r="A102" s="4" t="s">
        <v>355</v>
      </c>
      <c r="B102" s="4" t="s">
        <v>356</v>
      </c>
      <c r="C102" s="1" t="s">
        <v>123</v>
      </c>
      <c r="D102" s="2">
        <v>1.0</v>
      </c>
      <c r="E102" s="1" t="s">
        <v>29</v>
      </c>
      <c r="F102" s="1">
        <v>1.0</v>
      </c>
      <c r="I102" s="1" t="s">
        <v>357</v>
      </c>
      <c r="K102" s="1" t="b">
        <v>1</v>
      </c>
    </row>
    <row r="103">
      <c r="A103" s="4" t="s">
        <v>358</v>
      </c>
      <c r="B103" s="4" t="s">
        <v>359</v>
      </c>
      <c r="C103" s="1" t="s">
        <v>360</v>
      </c>
      <c r="D103" s="2">
        <v>1.0</v>
      </c>
      <c r="E103" s="1" t="s">
        <v>29</v>
      </c>
      <c r="F103" s="1">
        <v>1.5</v>
      </c>
      <c r="H103" s="1" t="s">
        <v>361</v>
      </c>
      <c r="K103" s="1" t="b">
        <v>1</v>
      </c>
    </row>
    <row r="104">
      <c r="A104" s="4" t="s">
        <v>362</v>
      </c>
      <c r="B104" s="4" t="s">
        <v>363</v>
      </c>
      <c r="C104" s="1" t="s">
        <v>360</v>
      </c>
      <c r="D104" s="2">
        <v>2.0</v>
      </c>
      <c r="F104" s="1">
        <v>3.0</v>
      </c>
      <c r="K104" s="1" t="b">
        <v>1</v>
      </c>
    </row>
    <row r="105">
      <c r="A105" s="4" t="s">
        <v>364</v>
      </c>
      <c r="B105" s="4" t="s">
        <v>365</v>
      </c>
      <c r="C105" s="1" t="s">
        <v>360</v>
      </c>
      <c r="D105" s="2" t="s">
        <v>27</v>
      </c>
      <c r="E105" s="1" t="s">
        <v>45</v>
      </c>
      <c r="K105" s="1" t="b">
        <v>1</v>
      </c>
    </row>
    <row r="106">
      <c r="A106" s="4" t="s">
        <v>366</v>
      </c>
      <c r="B106" s="4" t="s">
        <v>367</v>
      </c>
      <c r="C106" s="1" t="s">
        <v>360</v>
      </c>
      <c r="D106" s="2" t="s">
        <v>27</v>
      </c>
      <c r="E106" s="1" t="s">
        <v>45</v>
      </c>
      <c r="K106" s="1" t="b">
        <v>1</v>
      </c>
    </row>
    <row r="107">
      <c r="A107" s="4" t="s">
        <v>368</v>
      </c>
      <c r="B107" s="4" t="s">
        <v>369</v>
      </c>
      <c r="C107" s="1" t="s">
        <v>360</v>
      </c>
      <c r="D107" s="2">
        <v>2.0</v>
      </c>
      <c r="F107" s="1">
        <v>2.5</v>
      </c>
      <c r="H107" s="1" t="s">
        <v>370</v>
      </c>
      <c r="I107" s="1" t="s">
        <v>371</v>
      </c>
      <c r="K107" s="1" t="b">
        <v>1</v>
      </c>
    </row>
    <row r="108">
      <c r="A108" s="4" t="s">
        <v>372</v>
      </c>
      <c r="B108" s="4" t="s">
        <v>373</v>
      </c>
      <c r="C108" s="1" t="s">
        <v>360</v>
      </c>
      <c r="D108" s="2" t="s">
        <v>27</v>
      </c>
      <c r="E108" s="1" t="s">
        <v>45</v>
      </c>
      <c r="K108" s="1" t="b">
        <v>1</v>
      </c>
    </row>
    <row r="109">
      <c r="A109" s="4" t="s">
        <v>374</v>
      </c>
      <c r="B109" s="4" t="s">
        <v>375</v>
      </c>
      <c r="C109" s="1" t="s">
        <v>360</v>
      </c>
      <c r="D109" s="2" t="s">
        <v>27</v>
      </c>
      <c r="E109" s="1" t="s">
        <v>45</v>
      </c>
      <c r="G109" s="1" t="s">
        <v>91</v>
      </c>
      <c r="H109" s="1" t="s">
        <v>106</v>
      </c>
      <c r="K109" s="1" t="b">
        <v>1</v>
      </c>
    </row>
    <row r="110">
      <c r="A110" s="4" t="s">
        <v>376</v>
      </c>
      <c r="B110" s="4" t="s">
        <v>377</v>
      </c>
      <c r="C110" s="1" t="s">
        <v>360</v>
      </c>
      <c r="D110" s="2" t="s">
        <v>27</v>
      </c>
      <c r="E110" s="1" t="s">
        <v>45</v>
      </c>
      <c r="G110" s="1" t="s">
        <v>91</v>
      </c>
      <c r="H110" s="1"/>
      <c r="I110" s="1"/>
      <c r="K110" s="1" t="b">
        <v>1</v>
      </c>
    </row>
    <row r="111">
      <c r="A111" s="4" t="s">
        <v>378</v>
      </c>
      <c r="B111" s="4" t="s">
        <v>379</v>
      </c>
      <c r="C111" s="1" t="s">
        <v>360</v>
      </c>
      <c r="D111" s="2">
        <v>1.0</v>
      </c>
      <c r="E111" s="1" t="s">
        <v>29</v>
      </c>
      <c r="F111" s="1">
        <v>2.0</v>
      </c>
      <c r="H111" s="1" t="s">
        <v>74</v>
      </c>
      <c r="I111" s="1" t="s">
        <v>380</v>
      </c>
      <c r="K111" s="1" t="b">
        <v>1</v>
      </c>
    </row>
    <row r="112">
      <c r="A112" s="4" t="s">
        <v>381</v>
      </c>
      <c r="B112" s="4" t="s">
        <v>382</v>
      </c>
      <c r="C112" s="1" t="s">
        <v>360</v>
      </c>
      <c r="D112" s="2">
        <v>1.0</v>
      </c>
      <c r="E112" s="1" t="s">
        <v>45</v>
      </c>
      <c r="H112" s="1" t="s">
        <v>106</v>
      </c>
      <c r="I112" s="1" t="s">
        <v>383</v>
      </c>
      <c r="K112" s="1" t="b">
        <v>1</v>
      </c>
    </row>
    <row r="113">
      <c r="A113" s="4" t="s">
        <v>384</v>
      </c>
      <c r="B113" s="4" t="s">
        <v>385</v>
      </c>
      <c r="C113" s="1" t="s">
        <v>360</v>
      </c>
      <c r="D113" s="2">
        <v>1.0</v>
      </c>
      <c r="E113" s="1" t="s">
        <v>29</v>
      </c>
      <c r="F113" s="1">
        <v>1.0</v>
      </c>
      <c r="H113" s="1" t="s">
        <v>217</v>
      </c>
      <c r="K113" s="1" t="b">
        <v>1</v>
      </c>
    </row>
    <row r="114">
      <c r="A114" s="4" t="s">
        <v>386</v>
      </c>
      <c r="B114" s="4" t="s">
        <v>387</v>
      </c>
      <c r="C114" s="1" t="s">
        <v>360</v>
      </c>
      <c r="D114" s="2" t="s">
        <v>27</v>
      </c>
      <c r="E114" s="1" t="s">
        <v>45</v>
      </c>
      <c r="G114" s="1" t="s">
        <v>67</v>
      </c>
      <c r="H114" s="1" t="s">
        <v>106</v>
      </c>
      <c r="I114" s="1" t="s">
        <v>388</v>
      </c>
      <c r="K114" s="1" t="b">
        <v>1</v>
      </c>
    </row>
    <row r="115">
      <c r="A115" s="4" t="s">
        <v>389</v>
      </c>
      <c r="B115" s="4" t="s">
        <v>390</v>
      </c>
      <c r="C115" s="1" t="s">
        <v>360</v>
      </c>
      <c r="D115" s="2">
        <v>1.0</v>
      </c>
      <c r="E115" s="1" t="s">
        <v>45</v>
      </c>
      <c r="K115" s="1" t="b">
        <v>1</v>
      </c>
    </row>
    <row r="116">
      <c r="A116" s="4" t="s">
        <v>391</v>
      </c>
      <c r="B116" s="4" t="s">
        <v>392</v>
      </c>
      <c r="C116" s="1" t="s">
        <v>360</v>
      </c>
      <c r="D116" s="2">
        <v>1.0</v>
      </c>
      <c r="E116" s="1" t="s">
        <v>45</v>
      </c>
      <c r="K116" s="1" t="b">
        <v>1</v>
      </c>
    </row>
    <row r="117">
      <c r="A117" s="4" t="s">
        <v>393</v>
      </c>
      <c r="B117" s="4" t="s">
        <v>394</v>
      </c>
      <c r="C117" s="1" t="s">
        <v>360</v>
      </c>
      <c r="D117" s="2" t="s">
        <v>27</v>
      </c>
      <c r="E117" s="1" t="s">
        <v>45</v>
      </c>
      <c r="G117" s="1" t="s">
        <v>67</v>
      </c>
      <c r="H117" s="1"/>
      <c r="I117" s="1"/>
      <c r="K117" s="1" t="b">
        <v>1</v>
      </c>
    </row>
    <row r="118">
      <c r="A118" s="4" t="s">
        <v>395</v>
      </c>
      <c r="B118" s="4" t="s">
        <v>396</v>
      </c>
      <c r="C118" s="1" t="s">
        <v>360</v>
      </c>
      <c r="D118" s="2">
        <v>1.0</v>
      </c>
      <c r="E118" s="1" t="s">
        <v>45</v>
      </c>
      <c r="K118" s="1" t="b">
        <v>1</v>
      </c>
    </row>
    <row r="119">
      <c r="A119" s="4" t="s">
        <v>397</v>
      </c>
      <c r="B119" s="4" t="s">
        <v>398</v>
      </c>
      <c r="C119" s="1" t="s">
        <v>360</v>
      </c>
      <c r="D119" s="2">
        <v>1.0</v>
      </c>
      <c r="E119" s="1" t="s">
        <v>29</v>
      </c>
      <c r="F119" s="1">
        <v>2.0</v>
      </c>
      <c r="H119" s="1" t="s">
        <v>106</v>
      </c>
      <c r="I119" s="1" t="s">
        <v>399</v>
      </c>
      <c r="K119" s="1" t="b">
        <v>1</v>
      </c>
    </row>
    <row r="120">
      <c r="A120" s="4" t="s">
        <v>400</v>
      </c>
      <c r="B120" s="5" t="s">
        <v>401</v>
      </c>
      <c r="C120" s="1" t="s">
        <v>360</v>
      </c>
      <c r="D120" s="2">
        <v>1.0</v>
      </c>
      <c r="E120" s="1" t="s">
        <v>29</v>
      </c>
      <c r="F120" s="1">
        <v>2.0</v>
      </c>
      <c r="H120" s="1" t="s">
        <v>106</v>
      </c>
      <c r="I120" s="1" t="s">
        <v>399</v>
      </c>
      <c r="K120" s="1" t="b">
        <v>1</v>
      </c>
    </row>
    <row r="121">
      <c r="A121" s="4" t="s">
        <v>402</v>
      </c>
      <c r="B121" s="4" t="s">
        <v>403</v>
      </c>
      <c r="C121" s="1" t="s">
        <v>360</v>
      </c>
      <c r="D121" s="2">
        <v>2.0</v>
      </c>
      <c r="F121" s="1">
        <v>3.0</v>
      </c>
      <c r="K121" s="1" t="b">
        <v>1</v>
      </c>
    </row>
    <row r="122">
      <c r="A122" s="4" t="s">
        <v>404</v>
      </c>
      <c r="B122" s="4" t="s">
        <v>405</v>
      </c>
      <c r="C122" s="1" t="s">
        <v>360</v>
      </c>
      <c r="D122" s="2">
        <v>2.0</v>
      </c>
      <c r="F122" s="1">
        <v>2.0</v>
      </c>
      <c r="I122" s="1" t="s">
        <v>406</v>
      </c>
      <c r="K122" s="1" t="b">
        <v>1</v>
      </c>
    </row>
    <row r="123">
      <c r="A123" s="4" t="s">
        <v>407</v>
      </c>
      <c r="B123" s="5" t="s">
        <v>408</v>
      </c>
      <c r="C123" s="1" t="s">
        <v>360</v>
      </c>
      <c r="D123" s="2">
        <v>2.0</v>
      </c>
      <c r="F123" s="1">
        <v>2.0</v>
      </c>
      <c r="I123" s="1" t="s">
        <v>406</v>
      </c>
      <c r="K123" s="1" t="b">
        <v>1</v>
      </c>
    </row>
    <row r="124">
      <c r="A124" s="4" t="s">
        <v>409</v>
      </c>
      <c r="B124" s="4" t="s">
        <v>410</v>
      </c>
      <c r="C124" s="1" t="s">
        <v>360</v>
      </c>
      <c r="D124" s="2" t="s">
        <v>27</v>
      </c>
      <c r="E124" s="1" t="s">
        <v>45</v>
      </c>
      <c r="G124" s="1" t="s">
        <v>176</v>
      </c>
      <c r="H124" s="1"/>
      <c r="I124" s="1"/>
      <c r="K124" s="1" t="b">
        <v>1</v>
      </c>
    </row>
    <row r="125">
      <c r="A125" s="4" t="s">
        <v>411</v>
      </c>
      <c r="B125" s="4" t="s">
        <v>412</v>
      </c>
      <c r="C125" s="1" t="s">
        <v>360</v>
      </c>
      <c r="D125" s="2">
        <v>1.0</v>
      </c>
      <c r="E125" s="1" t="s">
        <v>45</v>
      </c>
      <c r="G125" s="1" t="s">
        <v>67</v>
      </c>
      <c r="H125" s="1"/>
      <c r="I125" s="1"/>
      <c r="K125" s="1" t="b">
        <v>1</v>
      </c>
    </row>
    <row r="126">
      <c r="A126" s="4" t="s">
        <v>413</v>
      </c>
      <c r="B126" s="4" t="s">
        <v>414</v>
      </c>
      <c r="C126" s="1" t="s">
        <v>360</v>
      </c>
      <c r="D126" s="2">
        <v>1.0</v>
      </c>
      <c r="E126" s="1" t="s">
        <v>45</v>
      </c>
      <c r="K126" s="1" t="b">
        <v>1</v>
      </c>
    </row>
    <row r="127">
      <c r="A127" s="4" t="s">
        <v>415</v>
      </c>
      <c r="B127" s="4" t="s">
        <v>416</v>
      </c>
      <c r="C127" s="1" t="s">
        <v>360</v>
      </c>
      <c r="D127" s="2">
        <v>1.0</v>
      </c>
      <c r="E127" s="1" t="s">
        <v>45</v>
      </c>
      <c r="K127" s="1" t="b">
        <v>1</v>
      </c>
    </row>
    <row r="128">
      <c r="A128" s="4" t="s">
        <v>417</v>
      </c>
      <c r="B128" s="4" t="s">
        <v>418</v>
      </c>
      <c r="C128" s="1" t="s">
        <v>360</v>
      </c>
      <c r="D128" s="2" t="s">
        <v>27</v>
      </c>
      <c r="E128" s="1" t="s">
        <v>45</v>
      </c>
      <c r="G128" s="1" t="s">
        <v>67</v>
      </c>
      <c r="H128" s="1" t="s">
        <v>106</v>
      </c>
      <c r="I128" s="1"/>
      <c r="K128" s="1" t="b">
        <v>1</v>
      </c>
    </row>
    <row r="129">
      <c r="A129" s="4" t="s">
        <v>419</v>
      </c>
      <c r="B129" s="4" t="s">
        <v>420</v>
      </c>
      <c r="C129" s="1" t="s">
        <v>360</v>
      </c>
      <c r="D129" s="2" t="s">
        <v>27</v>
      </c>
      <c r="E129" s="1" t="s">
        <v>45</v>
      </c>
      <c r="I129" s="1" t="s">
        <v>421</v>
      </c>
      <c r="K129" s="1" t="b">
        <v>1</v>
      </c>
    </row>
    <row r="130">
      <c r="A130" s="4" t="s">
        <v>422</v>
      </c>
      <c r="B130" s="4" t="s">
        <v>423</v>
      </c>
      <c r="C130" s="1" t="s">
        <v>360</v>
      </c>
      <c r="D130" s="2">
        <v>1.0</v>
      </c>
      <c r="E130" s="1" t="s">
        <v>29</v>
      </c>
      <c r="F130" s="1">
        <v>1.0</v>
      </c>
      <c r="K130" s="1" t="b">
        <v>1</v>
      </c>
    </row>
    <row r="131">
      <c r="A131" s="4" t="s">
        <v>424</v>
      </c>
      <c r="B131" s="4" t="s">
        <v>425</v>
      </c>
      <c r="C131" s="1" t="s">
        <v>360</v>
      </c>
      <c r="D131" s="2" t="s">
        <v>27</v>
      </c>
      <c r="E131" s="1" t="s">
        <v>29</v>
      </c>
      <c r="F131" s="1">
        <v>1.0</v>
      </c>
      <c r="H131" s="1" t="s">
        <v>106</v>
      </c>
      <c r="K131" s="1" t="b">
        <v>1</v>
      </c>
    </row>
    <row r="132">
      <c r="A132" s="4" t="s">
        <v>426</v>
      </c>
      <c r="B132" s="5" t="s">
        <v>427</v>
      </c>
      <c r="C132" s="1" t="s">
        <v>360</v>
      </c>
      <c r="D132" s="2" t="s">
        <v>27</v>
      </c>
      <c r="E132" s="1" t="s">
        <v>29</v>
      </c>
      <c r="F132" s="1">
        <v>1.0</v>
      </c>
      <c r="H132" s="1" t="s">
        <v>106</v>
      </c>
      <c r="K132" s="1" t="b">
        <v>1</v>
      </c>
    </row>
    <row r="133">
      <c r="A133" s="4" t="s">
        <v>428</v>
      </c>
      <c r="B133" s="4" t="s">
        <v>429</v>
      </c>
      <c r="C133" s="1" t="s">
        <v>360</v>
      </c>
      <c r="D133" s="2" t="s">
        <v>27</v>
      </c>
      <c r="E133" s="1" t="s">
        <v>29</v>
      </c>
      <c r="I133" s="1" t="s">
        <v>430</v>
      </c>
      <c r="K133" s="1" t="b">
        <v>1</v>
      </c>
    </row>
    <row r="134">
      <c r="A134" s="4" t="s">
        <v>431</v>
      </c>
      <c r="B134" s="5" t="s">
        <v>432</v>
      </c>
      <c r="C134" s="1" t="s">
        <v>360</v>
      </c>
      <c r="D134" s="2" t="s">
        <v>27</v>
      </c>
      <c r="E134" s="1" t="s">
        <v>29</v>
      </c>
      <c r="G134" s="1" t="s">
        <v>176</v>
      </c>
      <c r="I134" s="1" t="s">
        <v>430</v>
      </c>
      <c r="K134" s="1" t="b">
        <v>1</v>
      </c>
    </row>
    <row r="135">
      <c r="A135" s="4" t="s">
        <v>433</v>
      </c>
      <c r="B135" s="4" t="s">
        <v>434</v>
      </c>
      <c r="C135" s="1" t="s">
        <v>360</v>
      </c>
      <c r="D135" s="2" t="s">
        <v>27</v>
      </c>
      <c r="E135" s="1" t="s">
        <v>29</v>
      </c>
      <c r="G135" s="1" t="s">
        <v>176</v>
      </c>
      <c r="H135" s="1"/>
      <c r="I135" s="1"/>
      <c r="K135" s="1" t="b">
        <v>1</v>
      </c>
    </row>
    <row r="136">
      <c r="A136" s="4" t="s">
        <v>435</v>
      </c>
      <c r="B136" s="4" t="s">
        <v>436</v>
      </c>
      <c r="C136" s="1" t="s">
        <v>360</v>
      </c>
      <c r="D136" s="2">
        <v>1.0</v>
      </c>
      <c r="E136" s="1" t="s">
        <v>29</v>
      </c>
      <c r="F136" s="1">
        <v>2.0</v>
      </c>
      <c r="H136" s="1" t="s">
        <v>106</v>
      </c>
      <c r="I136" s="1" t="s">
        <v>437</v>
      </c>
      <c r="K136" s="1" t="b">
        <v>1</v>
      </c>
    </row>
    <row r="137">
      <c r="A137" s="4" t="s">
        <v>438</v>
      </c>
      <c r="B137" s="5" t="s">
        <v>439</v>
      </c>
      <c r="C137" s="1" t="s">
        <v>360</v>
      </c>
      <c r="D137" s="2">
        <v>1.0</v>
      </c>
      <c r="E137" s="1" t="s">
        <v>29</v>
      </c>
      <c r="F137" s="1">
        <v>2.0</v>
      </c>
      <c r="H137" s="1" t="s">
        <v>106</v>
      </c>
      <c r="I137" s="1" t="s">
        <v>437</v>
      </c>
      <c r="K137" s="1" t="b">
        <v>1</v>
      </c>
    </row>
    <row r="138">
      <c r="A138" s="4" t="s">
        <v>440</v>
      </c>
      <c r="B138" s="4" t="s">
        <v>441</v>
      </c>
      <c r="C138" s="1" t="s">
        <v>360</v>
      </c>
      <c r="D138" s="2" t="s">
        <v>27</v>
      </c>
      <c r="E138" s="1" t="s">
        <v>45</v>
      </c>
      <c r="G138" s="1" t="s">
        <v>67</v>
      </c>
      <c r="H138" s="1" t="s">
        <v>106</v>
      </c>
      <c r="I138" s="1" t="s">
        <v>442</v>
      </c>
      <c r="K138" s="1" t="b">
        <v>1</v>
      </c>
    </row>
    <row r="139">
      <c r="A139" s="4" t="s">
        <v>443</v>
      </c>
      <c r="B139" s="4" t="s">
        <v>444</v>
      </c>
      <c r="C139" s="1" t="s">
        <v>360</v>
      </c>
      <c r="D139" s="2">
        <v>2.0</v>
      </c>
      <c r="F139" s="1">
        <v>3.0</v>
      </c>
      <c r="K139" s="1" t="b">
        <v>1</v>
      </c>
    </row>
    <row r="140">
      <c r="A140" s="1" t="s">
        <v>445</v>
      </c>
      <c r="B140" s="1" t="s">
        <v>446</v>
      </c>
      <c r="C140" s="1" t="s">
        <v>360</v>
      </c>
      <c r="D140" s="2">
        <v>2.0</v>
      </c>
      <c r="F140" s="1">
        <v>3.0</v>
      </c>
      <c r="H140" s="1" t="s">
        <v>217</v>
      </c>
      <c r="I140" s="1" t="s">
        <v>447</v>
      </c>
      <c r="K140" s="1" t="b">
        <v>0</v>
      </c>
      <c r="L140" s="1" t="s">
        <v>50</v>
      </c>
    </row>
    <row r="141">
      <c r="A141" s="4" t="s">
        <v>448</v>
      </c>
      <c r="B141" s="4" t="s">
        <v>449</v>
      </c>
      <c r="C141" s="1" t="s">
        <v>360</v>
      </c>
      <c r="D141" s="2">
        <v>2.0</v>
      </c>
      <c r="F141" s="1">
        <v>2.0</v>
      </c>
      <c r="H141" s="1" t="s">
        <v>361</v>
      </c>
      <c r="K141" s="1" t="b">
        <v>1</v>
      </c>
    </row>
    <row r="142">
      <c r="A142" s="4" t="s">
        <v>450</v>
      </c>
      <c r="B142" s="5" t="s">
        <v>451</v>
      </c>
      <c r="C142" s="1" t="s">
        <v>360</v>
      </c>
      <c r="D142" s="2">
        <v>2.0</v>
      </c>
      <c r="F142" s="1">
        <v>2.0</v>
      </c>
      <c r="H142" s="1" t="s">
        <v>361</v>
      </c>
      <c r="K142" s="1" t="b">
        <v>1</v>
      </c>
    </row>
    <row r="143">
      <c r="A143" s="4" t="s">
        <v>452</v>
      </c>
      <c r="B143" s="4" t="s">
        <v>453</v>
      </c>
      <c r="C143" s="1" t="s">
        <v>360</v>
      </c>
      <c r="D143" s="2">
        <v>2.0</v>
      </c>
      <c r="F143" s="1">
        <v>3.0</v>
      </c>
      <c r="H143" s="1" t="s">
        <v>454</v>
      </c>
      <c r="I143" s="1" t="s">
        <v>455</v>
      </c>
      <c r="K143" s="1" t="b">
        <v>1</v>
      </c>
    </row>
    <row r="144">
      <c r="A144" s="4" t="s">
        <v>456</v>
      </c>
      <c r="B144" s="5" t="s">
        <v>457</v>
      </c>
      <c r="C144" s="1" t="s">
        <v>360</v>
      </c>
      <c r="D144" s="2">
        <v>2.0</v>
      </c>
      <c r="F144" s="1">
        <v>3.0</v>
      </c>
      <c r="H144" s="1" t="s">
        <v>454</v>
      </c>
      <c r="I144" s="1" t="s">
        <v>455</v>
      </c>
      <c r="K144" s="1" t="b">
        <v>1</v>
      </c>
    </row>
    <row r="145">
      <c r="A145" s="4" t="s">
        <v>458</v>
      </c>
      <c r="B145" s="4" t="s">
        <v>459</v>
      </c>
      <c r="C145" s="1" t="s">
        <v>360</v>
      </c>
      <c r="D145" s="2" t="s">
        <v>27</v>
      </c>
      <c r="E145" s="1" t="s">
        <v>45</v>
      </c>
      <c r="G145" s="1" t="s">
        <v>67</v>
      </c>
      <c r="H145" s="1"/>
      <c r="I145" s="1"/>
      <c r="K145" s="1" t="b">
        <v>1</v>
      </c>
    </row>
    <row r="146">
      <c r="A146" s="4" t="s">
        <v>460</v>
      </c>
      <c r="B146" s="4" t="s">
        <v>461</v>
      </c>
      <c r="C146" s="1" t="s">
        <v>360</v>
      </c>
      <c r="D146" s="2">
        <v>1.0</v>
      </c>
      <c r="E146" s="1" t="s">
        <v>45</v>
      </c>
      <c r="H146" s="1" t="s">
        <v>106</v>
      </c>
      <c r="K146" s="1" t="b">
        <v>1</v>
      </c>
    </row>
    <row r="147">
      <c r="A147" s="4" t="s">
        <v>462</v>
      </c>
      <c r="B147" s="4" t="s">
        <v>463</v>
      </c>
      <c r="C147" s="1" t="s">
        <v>360</v>
      </c>
      <c r="D147" s="2">
        <v>1.0</v>
      </c>
      <c r="E147" s="1" t="s">
        <v>29</v>
      </c>
      <c r="F147" s="1">
        <v>2.0</v>
      </c>
      <c r="H147" s="1" t="s">
        <v>106</v>
      </c>
      <c r="K147" s="6" t="b">
        <v>0</v>
      </c>
    </row>
    <row r="148">
      <c r="A148" s="4" t="s">
        <v>464</v>
      </c>
      <c r="B148" s="4" t="s">
        <v>465</v>
      </c>
      <c r="C148" s="1" t="s">
        <v>360</v>
      </c>
      <c r="D148" s="2" t="s">
        <v>27</v>
      </c>
      <c r="E148" s="1" t="s">
        <v>45</v>
      </c>
      <c r="G148" s="1" t="s">
        <v>91</v>
      </c>
      <c r="H148" s="1" t="s">
        <v>466</v>
      </c>
      <c r="I148" s="1" t="s">
        <v>467</v>
      </c>
      <c r="K148" s="1" t="b">
        <v>1</v>
      </c>
    </row>
    <row r="149">
      <c r="A149" s="4" t="s">
        <v>468</v>
      </c>
      <c r="B149" s="4" t="s">
        <v>469</v>
      </c>
      <c r="C149" s="1" t="s">
        <v>160</v>
      </c>
      <c r="D149" s="2" t="s">
        <v>27</v>
      </c>
      <c r="E149" s="1" t="s">
        <v>45</v>
      </c>
      <c r="G149" s="1" t="s">
        <v>91</v>
      </c>
      <c r="H149" s="1"/>
      <c r="I149" s="1"/>
      <c r="K149" s="1" t="b">
        <v>1</v>
      </c>
    </row>
    <row r="150">
      <c r="A150" s="4" t="s">
        <v>470</v>
      </c>
      <c r="B150" s="4" t="s">
        <v>471</v>
      </c>
      <c r="C150" s="1" t="s">
        <v>160</v>
      </c>
      <c r="D150" s="2">
        <v>2.0</v>
      </c>
      <c r="F150" s="1">
        <v>2.5</v>
      </c>
      <c r="H150" s="4" t="s">
        <v>92</v>
      </c>
      <c r="I150" s="4" t="s">
        <v>472</v>
      </c>
      <c r="J150" s="4"/>
      <c r="K150" s="1" t="b">
        <v>1</v>
      </c>
    </row>
    <row r="151">
      <c r="A151" s="4" t="s">
        <v>473</v>
      </c>
      <c r="B151" s="4" t="s">
        <v>474</v>
      </c>
      <c r="C151" s="1" t="s">
        <v>160</v>
      </c>
      <c r="D151" s="2" t="s">
        <v>27</v>
      </c>
      <c r="E151" s="1" t="s">
        <v>45</v>
      </c>
      <c r="G151" s="1" t="s">
        <v>67</v>
      </c>
      <c r="H151" s="1"/>
      <c r="I151" s="1"/>
      <c r="K151" s="1" t="b">
        <v>1</v>
      </c>
    </row>
    <row r="152">
      <c r="A152" s="4" t="s">
        <v>475</v>
      </c>
      <c r="B152" s="4" t="s">
        <v>476</v>
      </c>
      <c r="C152" s="1" t="s">
        <v>160</v>
      </c>
      <c r="D152" s="2" t="s">
        <v>27</v>
      </c>
      <c r="E152" s="1" t="s">
        <v>45</v>
      </c>
      <c r="G152" s="1" t="s">
        <v>91</v>
      </c>
      <c r="H152" s="1"/>
      <c r="I152" s="1"/>
      <c r="K152" s="1" t="b">
        <v>1</v>
      </c>
    </row>
    <row r="153">
      <c r="A153" s="4" t="s">
        <v>477</v>
      </c>
      <c r="B153" s="5" t="s">
        <v>478</v>
      </c>
      <c r="C153" s="1" t="s">
        <v>160</v>
      </c>
      <c r="D153" s="2" t="s">
        <v>27</v>
      </c>
      <c r="E153" s="1" t="s">
        <v>45</v>
      </c>
      <c r="G153" s="1" t="s">
        <v>91</v>
      </c>
      <c r="H153" s="1" t="s">
        <v>479</v>
      </c>
      <c r="K153" s="1" t="b">
        <v>1</v>
      </c>
    </row>
    <row r="154">
      <c r="A154" s="4" t="s">
        <v>480</v>
      </c>
      <c r="B154" s="4" t="s">
        <v>481</v>
      </c>
      <c r="C154" s="1" t="s">
        <v>160</v>
      </c>
      <c r="D154" s="2">
        <v>2.0</v>
      </c>
      <c r="F154" s="1">
        <v>3.0</v>
      </c>
      <c r="H154" s="1" t="s">
        <v>132</v>
      </c>
      <c r="I154" s="1" t="s">
        <v>482</v>
      </c>
      <c r="K154" s="1" t="b">
        <v>1</v>
      </c>
    </row>
    <row r="155">
      <c r="A155" s="4" t="s">
        <v>483</v>
      </c>
      <c r="B155" s="5" t="s">
        <v>484</v>
      </c>
      <c r="C155" s="1" t="s">
        <v>160</v>
      </c>
      <c r="D155" s="2">
        <v>2.0</v>
      </c>
      <c r="F155" s="1">
        <v>3.0</v>
      </c>
      <c r="H155" s="1" t="s">
        <v>132</v>
      </c>
      <c r="I155" s="1" t="s">
        <v>482</v>
      </c>
      <c r="K155" s="1" t="b">
        <v>1</v>
      </c>
    </row>
    <row r="156">
      <c r="A156" s="4" t="s">
        <v>485</v>
      </c>
      <c r="B156" s="4" t="s">
        <v>486</v>
      </c>
      <c r="C156" s="1" t="s">
        <v>160</v>
      </c>
      <c r="D156" s="2">
        <v>1.0</v>
      </c>
      <c r="E156" s="1" t="s">
        <v>45</v>
      </c>
      <c r="K156" s="1" t="b">
        <v>1</v>
      </c>
    </row>
    <row r="157">
      <c r="A157" s="4" t="s">
        <v>487</v>
      </c>
      <c r="B157" s="5" t="s">
        <v>488</v>
      </c>
      <c r="C157" s="1" t="s">
        <v>160</v>
      </c>
      <c r="D157" s="2">
        <v>1.0</v>
      </c>
      <c r="E157" s="1" t="s">
        <v>45</v>
      </c>
      <c r="F157" s="1">
        <v>1.5</v>
      </c>
      <c r="H157" s="1" t="s">
        <v>489</v>
      </c>
      <c r="I157" s="1" t="s">
        <v>490</v>
      </c>
      <c r="K157" s="1" t="b">
        <v>1</v>
      </c>
    </row>
    <row r="158">
      <c r="A158" s="4" t="s">
        <v>491</v>
      </c>
      <c r="B158" s="5" t="s">
        <v>492</v>
      </c>
      <c r="C158" s="1" t="s">
        <v>160</v>
      </c>
      <c r="D158" s="2">
        <v>1.0</v>
      </c>
      <c r="E158" s="1" t="s">
        <v>45</v>
      </c>
      <c r="F158" s="1">
        <v>1.5</v>
      </c>
      <c r="H158" s="1" t="s">
        <v>489</v>
      </c>
      <c r="I158" s="1" t="s">
        <v>490</v>
      </c>
      <c r="K158" s="1" t="b">
        <v>1</v>
      </c>
    </row>
    <row r="159">
      <c r="A159" s="4" t="s">
        <v>493</v>
      </c>
      <c r="B159" s="4" t="s">
        <v>494</v>
      </c>
      <c r="C159" s="1" t="s">
        <v>160</v>
      </c>
      <c r="D159" s="2">
        <v>1.0</v>
      </c>
      <c r="E159" s="1" t="s">
        <v>29</v>
      </c>
      <c r="F159" s="1">
        <v>2.0</v>
      </c>
      <c r="H159" s="1" t="s">
        <v>132</v>
      </c>
      <c r="I159" s="1" t="s">
        <v>495</v>
      </c>
      <c r="K159" s="1" t="b">
        <v>1</v>
      </c>
    </row>
    <row r="160">
      <c r="A160" s="4" t="s">
        <v>496</v>
      </c>
      <c r="B160" s="5" t="s">
        <v>497</v>
      </c>
      <c r="C160" s="1" t="s">
        <v>160</v>
      </c>
      <c r="D160" s="2">
        <v>1.0</v>
      </c>
      <c r="E160" s="1" t="s">
        <v>29</v>
      </c>
      <c r="F160" s="1">
        <v>2.0</v>
      </c>
      <c r="H160" s="1" t="s">
        <v>132</v>
      </c>
      <c r="I160" s="1" t="s">
        <v>495</v>
      </c>
      <c r="K160" s="1" t="b">
        <v>1</v>
      </c>
    </row>
    <row r="161">
      <c r="A161" s="4" t="s">
        <v>498</v>
      </c>
      <c r="B161" s="4" t="s">
        <v>499</v>
      </c>
      <c r="C161" s="1" t="s">
        <v>160</v>
      </c>
      <c r="D161" s="2" t="s">
        <v>27</v>
      </c>
      <c r="E161" s="1" t="s">
        <v>29</v>
      </c>
      <c r="F161" s="1">
        <v>0.5</v>
      </c>
      <c r="G161" s="1" t="s">
        <v>67</v>
      </c>
      <c r="H161" s="1"/>
      <c r="I161" s="1"/>
      <c r="K161" s="1" t="b">
        <v>1</v>
      </c>
    </row>
    <row r="162">
      <c r="A162" s="4" t="s">
        <v>500</v>
      </c>
      <c r="B162" s="4" t="s">
        <v>501</v>
      </c>
      <c r="C162" s="1" t="s">
        <v>160</v>
      </c>
      <c r="D162" s="2">
        <v>1.0</v>
      </c>
      <c r="E162" s="1" t="s">
        <v>45</v>
      </c>
      <c r="K162" s="1" t="b">
        <v>1</v>
      </c>
    </row>
    <row r="163">
      <c r="A163" s="1" t="s">
        <v>502</v>
      </c>
      <c r="B163" s="1" t="s">
        <v>503</v>
      </c>
      <c r="C163" s="1" t="s">
        <v>160</v>
      </c>
      <c r="D163" s="2" t="s">
        <v>27</v>
      </c>
      <c r="E163" s="1" t="s">
        <v>29</v>
      </c>
      <c r="F163" s="1">
        <v>0.5</v>
      </c>
      <c r="G163" s="1" t="s">
        <v>176</v>
      </c>
      <c r="I163" s="1" t="s">
        <v>504</v>
      </c>
      <c r="K163" s="1" t="b">
        <v>0</v>
      </c>
      <c r="L163" s="1" t="s">
        <v>193</v>
      </c>
    </row>
    <row r="164">
      <c r="A164" s="1" t="s">
        <v>505</v>
      </c>
      <c r="B164" s="1" t="s">
        <v>506</v>
      </c>
      <c r="C164" s="1" t="s">
        <v>160</v>
      </c>
      <c r="D164" s="2" t="s">
        <v>27</v>
      </c>
      <c r="E164" s="1" t="s">
        <v>29</v>
      </c>
      <c r="F164" s="1">
        <v>0.5</v>
      </c>
      <c r="G164" s="1" t="s">
        <v>176</v>
      </c>
      <c r="I164" s="1" t="s">
        <v>504</v>
      </c>
      <c r="K164" s="1" t="b">
        <v>0</v>
      </c>
      <c r="L164" s="1" t="s">
        <v>81</v>
      </c>
    </row>
    <row r="165">
      <c r="A165" s="4" t="s">
        <v>507</v>
      </c>
      <c r="B165" s="4" t="s">
        <v>508</v>
      </c>
      <c r="C165" s="1" t="s">
        <v>160</v>
      </c>
      <c r="D165" s="2" t="s">
        <v>27</v>
      </c>
      <c r="E165" s="1" t="s">
        <v>29</v>
      </c>
      <c r="F165" s="1">
        <v>0.5</v>
      </c>
      <c r="G165" s="1" t="s">
        <v>176</v>
      </c>
      <c r="H165" s="1"/>
      <c r="I165" s="1"/>
      <c r="K165" s="1" t="b">
        <v>1</v>
      </c>
    </row>
    <row r="166">
      <c r="A166" s="1" t="s">
        <v>509</v>
      </c>
      <c r="B166" s="1" t="s">
        <v>510</v>
      </c>
      <c r="C166" s="1" t="s">
        <v>160</v>
      </c>
      <c r="D166" s="2" t="s">
        <v>27</v>
      </c>
      <c r="E166" s="1" t="s">
        <v>29</v>
      </c>
      <c r="F166" s="1">
        <v>1.0</v>
      </c>
      <c r="G166" s="1" t="s">
        <v>176</v>
      </c>
      <c r="H166" s="1" t="s">
        <v>511</v>
      </c>
      <c r="I166" s="1" t="s">
        <v>512</v>
      </c>
      <c r="K166" s="1" t="b">
        <v>0</v>
      </c>
      <c r="L166" s="1" t="s">
        <v>81</v>
      </c>
    </row>
    <row r="167">
      <c r="A167" s="1" t="s">
        <v>513</v>
      </c>
      <c r="B167" s="1" t="s">
        <v>514</v>
      </c>
      <c r="C167" s="1" t="s">
        <v>160</v>
      </c>
      <c r="D167" s="2" t="s">
        <v>27</v>
      </c>
      <c r="E167" s="1" t="s">
        <v>45</v>
      </c>
      <c r="F167" s="1">
        <v>1.0</v>
      </c>
      <c r="G167" s="1" t="s">
        <v>176</v>
      </c>
      <c r="H167" s="1" t="s">
        <v>37</v>
      </c>
      <c r="I167" s="1" t="s">
        <v>515</v>
      </c>
      <c r="K167" s="1" t="b">
        <v>0</v>
      </c>
      <c r="L167" s="1" t="s">
        <v>97</v>
      </c>
    </row>
    <row r="168">
      <c r="A168" s="1" t="s">
        <v>516</v>
      </c>
      <c r="B168" s="1" t="s">
        <v>517</v>
      </c>
      <c r="C168" s="1" t="s">
        <v>160</v>
      </c>
      <c r="D168" s="2" t="s">
        <v>27</v>
      </c>
      <c r="E168" s="1" t="s">
        <v>29</v>
      </c>
      <c r="F168" s="1">
        <v>1.0</v>
      </c>
      <c r="G168" s="1" t="s">
        <v>176</v>
      </c>
      <c r="H168" s="1" t="s">
        <v>37</v>
      </c>
      <c r="I168" s="1" t="s">
        <v>515</v>
      </c>
      <c r="K168" s="1" t="b">
        <v>0</v>
      </c>
      <c r="L168" s="1" t="s">
        <v>193</v>
      </c>
    </row>
    <row r="169">
      <c r="A169" s="4" t="s">
        <v>518</v>
      </c>
      <c r="B169" s="4" t="s">
        <v>519</v>
      </c>
      <c r="C169" s="1" t="s">
        <v>160</v>
      </c>
      <c r="D169" s="2" t="s">
        <v>27</v>
      </c>
      <c r="E169" s="1" t="s">
        <v>29</v>
      </c>
      <c r="F169" s="1">
        <v>1.0</v>
      </c>
      <c r="G169" s="1" t="s">
        <v>67</v>
      </c>
      <c r="H169" s="1" t="s">
        <v>31</v>
      </c>
      <c r="I169" s="1" t="s">
        <v>520</v>
      </c>
      <c r="K169" s="1" t="b">
        <v>1</v>
      </c>
    </row>
    <row r="170">
      <c r="A170" s="4" t="s">
        <v>521</v>
      </c>
      <c r="B170" s="5" t="s">
        <v>522</v>
      </c>
      <c r="C170" s="1" t="s">
        <v>160</v>
      </c>
      <c r="D170" s="2" t="s">
        <v>27</v>
      </c>
      <c r="E170" s="1" t="s">
        <v>29</v>
      </c>
      <c r="F170" s="1">
        <v>1.0</v>
      </c>
      <c r="G170" s="1" t="s">
        <v>67</v>
      </c>
      <c r="H170" s="1" t="s">
        <v>31</v>
      </c>
      <c r="I170" s="1" t="s">
        <v>520</v>
      </c>
      <c r="K170" s="1" t="b">
        <v>1</v>
      </c>
    </row>
    <row r="171">
      <c r="A171" s="1" t="s">
        <v>523</v>
      </c>
      <c r="B171" s="1" t="s">
        <v>524</v>
      </c>
      <c r="C171" s="1" t="s">
        <v>160</v>
      </c>
      <c r="D171" s="2" t="s">
        <v>27</v>
      </c>
      <c r="E171" s="1" t="s">
        <v>45</v>
      </c>
      <c r="G171" s="1" t="s">
        <v>91</v>
      </c>
      <c r="H171" s="1" t="s">
        <v>37</v>
      </c>
      <c r="I171" s="1" t="s">
        <v>525</v>
      </c>
      <c r="K171" s="1" t="b">
        <v>0</v>
      </c>
      <c r="L171" s="1" t="s">
        <v>272</v>
      </c>
    </row>
    <row r="172">
      <c r="A172" s="4" t="s">
        <v>526</v>
      </c>
      <c r="B172" s="4" t="s">
        <v>527</v>
      </c>
      <c r="C172" s="1" t="s">
        <v>160</v>
      </c>
      <c r="D172" s="2">
        <v>1.0</v>
      </c>
      <c r="E172" s="1" t="s">
        <v>29</v>
      </c>
      <c r="F172" s="1">
        <v>1.5</v>
      </c>
      <c r="H172" s="1" t="s">
        <v>92</v>
      </c>
      <c r="I172" s="1" t="s">
        <v>528</v>
      </c>
      <c r="K172" s="1" t="b">
        <v>1</v>
      </c>
    </row>
    <row r="173">
      <c r="A173" s="4" t="s">
        <v>529</v>
      </c>
      <c r="B173" s="4" t="s">
        <v>530</v>
      </c>
      <c r="C173" s="1" t="s">
        <v>160</v>
      </c>
      <c r="D173" s="2" t="s">
        <v>27</v>
      </c>
      <c r="E173" s="1" t="s">
        <v>45</v>
      </c>
      <c r="H173" s="1" t="s">
        <v>217</v>
      </c>
      <c r="K173" s="1" t="b">
        <v>1</v>
      </c>
    </row>
    <row r="174">
      <c r="A174" s="4" t="s">
        <v>531</v>
      </c>
      <c r="B174" s="4" t="s">
        <v>532</v>
      </c>
      <c r="C174" s="1" t="s">
        <v>172</v>
      </c>
      <c r="D174" s="2">
        <v>1.0</v>
      </c>
      <c r="E174" s="1" t="s">
        <v>29</v>
      </c>
      <c r="F174" s="1">
        <v>2.0</v>
      </c>
      <c r="K174" s="1" t="b">
        <v>1</v>
      </c>
    </row>
    <row r="175">
      <c r="A175" s="1" t="s">
        <v>533</v>
      </c>
      <c r="B175" s="1" t="s">
        <v>534</v>
      </c>
      <c r="C175" s="1" t="s">
        <v>172</v>
      </c>
      <c r="D175" s="2">
        <v>1.0</v>
      </c>
      <c r="E175" s="1" t="s">
        <v>29</v>
      </c>
      <c r="F175" s="1">
        <v>1.5</v>
      </c>
      <c r="H175" s="1" t="s">
        <v>37</v>
      </c>
      <c r="I175" s="1" t="s">
        <v>535</v>
      </c>
      <c r="K175" s="1" t="b">
        <v>0</v>
      </c>
      <c r="L175" s="1" t="s">
        <v>81</v>
      </c>
    </row>
    <row r="176">
      <c r="A176" s="4" t="s">
        <v>536</v>
      </c>
      <c r="B176" s="4" t="s">
        <v>537</v>
      </c>
      <c r="C176" s="1" t="s">
        <v>172</v>
      </c>
      <c r="D176" s="2">
        <v>2.0</v>
      </c>
      <c r="F176" s="1">
        <v>4.0</v>
      </c>
      <c r="H176" s="4" t="s">
        <v>37</v>
      </c>
      <c r="I176" s="4" t="s">
        <v>538</v>
      </c>
      <c r="J176" s="4"/>
      <c r="K176" s="1" t="b">
        <v>1</v>
      </c>
    </row>
    <row r="177">
      <c r="A177" s="4" t="s">
        <v>539</v>
      </c>
      <c r="B177" s="4" t="s">
        <v>540</v>
      </c>
      <c r="C177" s="1" t="s">
        <v>172</v>
      </c>
      <c r="D177" s="2" t="s">
        <v>27</v>
      </c>
      <c r="E177" s="1" t="s">
        <v>45</v>
      </c>
      <c r="G177" s="1" t="s">
        <v>91</v>
      </c>
      <c r="H177" s="1"/>
      <c r="I177" s="1"/>
      <c r="K177" s="1" t="b">
        <v>1</v>
      </c>
    </row>
    <row r="178">
      <c r="A178" s="4" t="s">
        <v>541</v>
      </c>
      <c r="B178" s="4" t="s">
        <v>542</v>
      </c>
      <c r="C178" s="1" t="s">
        <v>172</v>
      </c>
      <c r="D178" s="2">
        <v>1.0</v>
      </c>
      <c r="E178" s="1" t="s">
        <v>45</v>
      </c>
      <c r="K178" s="1" t="b">
        <v>1</v>
      </c>
    </row>
    <row r="179">
      <c r="A179" s="4" t="s">
        <v>543</v>
      </c>
      <c r="B179" s="4" t="s">
        <v>544</v>
      </c>
      <c r="C179" s="1" t="s">
        <v>172</v>
      </c>
      <c r="D179" s="2">
        <v>1.0</v>
      </c>
      <c r="E179" s="1" t="s">
        <v>29</v>
      </c>
      <c r="F179" s="1">
        <v>2.0</v>
      </c>
      <c r="K179" s="1" t="b">
        <v>1</v>
      </c>
    </row>
    <row r="180">
      <c r="A180" s="4" t="s">
        <v>545</v>
      </c>
      <c r="B180" s="5" t="s">
        <v>546</v>
      </c>
      <c r="C180" s="1" t="s">
        <v>172</v>
      </c>
      <c r="D180" s="2">
        <v>1.0</v>
      </c>
      <c r="E180" s="1" t="s">
        <v>29</v>
      </c>
      <c r="F180" s="1">
        <v>2.0</v>
      </c>
      <c r="K180" s="1" t="b">
        <v>1</v>
      </c>
    </row>
    <row r="181">
      <c r="A181" s="4" t="s">
        <v>547</v>
      </c>
      <c r="B181" s="4" t="s">
        <v>548</v>
      </c>
      <c r="C181" s="1" t="s">
        <v>172</v>
      </c>
      <c r="D181" s="2" t="s">
        <v>27</v>
      </c>
      <c r="E181" s="1" t="s">
        <v>45</v>
      </c>
      <c r="K181" s="1" t="b">
        <v>1</v>
      </c>
    </row>
    <row r="182">
      <c r="A182" s="4" t="s">
        <v>549</v>
      </c>
      <c r="B182" s="4" t="s">
        <v>550</v>
      </c>
      <c r="C182" s="1" t="s">
        <v>172</v>
      </c>
      <c r="D182" s="2" t="s">
        <v>27</v>
      </c>
      <c r="E182" s="1" t="s">
        <v>29</v>
      </c>
      <c r="G182" s="1" t="s">
        <v>176</v>
      </c>
      <c r="H182" s="1"/>
      <c r="I182" s="1"/>
      <c r="K182" s="1" t="b">
        <v>1</v>
      </c>
    </row>
    <row r="183">
      <c r="A183" s="4" t="s">
        <v>551</v>
      </c>
      <c r="B183" s="5" t="s">
        <v>552</v>
      </c>
      <c r="C183" s="1" t="s">
        <v>172</v>
      </c>
      <c r="D183" s="2" t="s">
        <v>27</v>
      </c>
      <c r="E183" s="1" t="s">
        <v>29</v>
      </c>
      <c r="F183" s="1">
        <v>1.0</v>
      </c>
      <c r="G183" s="1" t="s">
        <v>67</v>
      </c>
      <c r="H183" s="1" t="s">
        <v>489</v>
      </c>
      <c r="I183" s="1" t="s">
        <v>122</v>
      </c>
      <c r="K183" s="1" t="b">
        <v>1</v>
      </c>
    </row>
    <row r="184">
      <c r="A184" s="4" t="s">
        <v>553</v>
      </c>
      <c r="B184" s="4" t="s">
        <v>554</v>
      </c>
      <c r="C184" s="1" t="s">
        <v>172</v>
      </c>
      <c r="D184" s="2" t="s">
        <v>27</v>
      </c>
      <c r="E184" s="1" t="s">
        <v>29</v>
      </c>
      <c r="F184" s="1">
        <v>0.5</v>
      </c>
      <c r="G184" s="1" t="s">
        <v>277</v>
      </c>
      <c r="H184" s="1"/>
      <c r="I184" s="1"/>
      <c r="K184" s="1" t="b">
        <v>1</v>
      </c>
    </row>
    <row r="185">
      <c r="A185" s="1" t="s">
        <v>555</v>
      </c>
      <c r="B185" s="1" t="s">
        <v>556</v>
      </c>
      <c r="C185" s="1" t="s">
        <v>172</v>
      </c>
      <c r="D185" s="2" t="s">
        <v>27</v>
      </c>
      <c r="E185" s="1" t="s">
        <v>29</v>
      </c>
      <c r="F185" s="1">
        <v>0.5</v>
      </c>
      <c r="G185" s="1" t="s">
        <v>277</v>
      </c>
      <c r="H185" s="1" t="s">
        <v>37</v>
      </c>
      <c r="I185" s="1" t="s">
        <v>557</v>
      </c>
      <c r="K185" s="1" t="b">
        <v>0</v>
      </c>
      <c r="L185" s="1" t="s">
        <v>285</v>
      </c>
    </row>
    <row r="186">
      <c r="A186" s="4" t="s">
        <v>558</v>
      </c>
      <c r="B186" s="5" t="s">
        <v>559</v>
      </c>
      <c r="C186" s="1" t="s">
        <v>172</v>
      </c>
      <c r="D186" s="2" t="s">
        <v>27</v>
      </c>
      <c r="E186" s="1" t="s">
        <v>29</v>
      </c>
      <c r="F186" s="1">
        <v>0.5</v>
      </c>
      <c r="G186" s="1" t="s">
        <v>277</v>
      </c>
      <c r="H186" s="1"/>
      <c r="I186" s="1"/>
      <c r="K186" s="1" t="b">
        <v>1</v>
      </c>
    </row>
    <row r="187">
      <c r="A187" s="4" t="s">
        <v>560</v>
      </c>
      <c r="B187" s="4" t="s">
        <v>561</v>
      </c>
      <c r="C187" s="1" t="s">
        <v>172</v>
      </c>
      <c r="D187" s="2">
        <v>1.0</v>
      </c>
      <c r="E187" s="1" t="s">
        <v>29</v>
      </c>
      <c r="F187" s="1">
        <v>2.0</v>
      </c>
      <c r="K187" s="1" t="b">
        <v>1</v>
      </c>
    </row>
    <row r="188">
      <c r="A188" s="4" t="s">
        <v>562</v>
      </c>
      <c r="B188" s="4" t="s">
        <v>563</v>
      </c>
      <c r="C188" s="1" t="s">
        <v>172</v>
      </c>
      <c r="D188" s="2" t="s">
        <v>27</v>
      </c>
      <c r="E188" s="1" t="s">
        <v>45</v>
      </c>
      <c r="G188" s="1" t="s">
        <v>91</v>
      </c>
      <c r="H188" s="1"/>
      <c r="I188" s="1"/>
      <c r="K188" s="1" t="b">
        <v>1</v>
      </c>
    </row>
    <row r="189">
      <c r="A189" s="4" t="s">
        <v>564</v>
      </c>
      <c r="B189" s="4" t="s">
        <v>565</v>
      </c>
      <c r="C189" s="1" t="s">
        <v>172</v>
      </c>
      <c r="D189" s="2">
        <v>1.0</v>
      </c>
      <c r="E189" s="1" t="s">
        <v>29</v>
      </c>
      <c r="F189" s="1">
        <v>1.5</v>
      </c>
      <c r="H189" s="1" t="s">
        <v>31</v>
      </c>
      <c r="I189" s="1" t="s">
        <v>566</v>
      </c>
      <c r="K189" s="1" t="b">
        <v>1</v>
      </c>
    </row>
    <row r="190">
      <c r="A190" s="4" t="s">
        <v>567</v>
      </c>
      <c r="B190" s="4" t="s">
        <v>568</v>
      </c>
      <c r="C190" s="1" t="s">
        <v>172</v>
      </c>
      <c r="D190" s="2" t="s">
        <v>27</v>
      </c>
      <c r="E190" s="1" t="s">
        <v>45</v>
      </c>
      <c r="G190" s="1" t="s">
        <v>91</v>
      </c>
      <c r="H190" s="1"/>
      <c r="I190" s="1"/>
      <c r="K190" s="1" t="b">
        <v>1</v>
      </c>
    </row>
    <row r="191">
      <c r="A191" s="4" t="s">
        <v>569</v>
      </c>
      <c r="B191" s="4" t="s">
        <v>570</v>
      </c>
      <c r="C191" s="1" t="s">
        <v>118</v>
      </c>
      <c r="D191" s="1" t="s">
        <v>571</v>
      </c>
      <c r="F191" s="1" t="s">
        <v>572</v>
      </c>
      <c r="K191" s="1" t="b">
        <v>1</v>
      </c>
    </row>
    <row r="192">
      <c r="A192" s="4" t="s">
        <v>573</v>
      </c>
      <c r="B192" s="4" t="s">
        <v>574</v>
      </c>
      <c r="C192" s="1" t="s">
        <v>118</v>
      </c>
      <c r="D192" s="1" t="s">
        <v>571</v>
      </c>
      <c r="F192" s="1" t="s">
        <v>575</v>
      </c>
      <c r="K192" s="1" t="b">
        <v>1</v>
      </c>
    </row>
    <row r="193">
      <c r="A193" s="6" t="s">
        <v>576</v>
      </c>
      <c r="B193" s="6" t="s">
        <v>577</v>
      </c>
      <c r="C193" s="1" t="s">
        <v>118</v>
      </c>
      <c r="D193" s="2" t="s">
        <v>571</v>
      </c>
      <c r="F193" s="1" t="s">
        <v>578</v>
      </c>
      <c r="K193" s="1" t="b">
        <v>1</v>
      </c>
    </row>
    <row r="194">
      <c r="A194" s="6" t="s">
        <v>579</v>
      </c>
      <c r="B194" s="6" t="s">
        <v>580</v>
      </c>
      <c r="C194" s="1" t="s">
        <v>118</v>
      </c>
      <c r="D194" s="2" t="s">
        <v>571</v>
      </c>
      <c r="F194" s="1" t="s">
        <v>572</v>
      </c>
      <c r="K194" s="1" t="b">
        <v>1</v>
      </c>
    </row>
    <row r="195">
      <c r="A195" s="4" t="s">
        <v>581</v>
      </c>
      <c r="B195" s="4" t="s">
        <v>582</v>
      </c>
      <c r="C195" s="1" t="s">
        <v>118</v>
      </c>
      <c r="D195" s="1" t="s">
        <v>571</v>
      </c>
      <c r="F195" s="1" t="s">
        <v>583</v>
      </c>
      <c r="K195" s="1" t="b">
        <v>1</v>
      </c>
    </row>
    <row r="196">
      <c r="A196" s="6" t="s">
        <v>584</v>
      </c>
      <c r="B196" s="6" t="s">
        <v>585</v>
      </c>
      <c r="C196" s="1" t="s">
        <v>118</v>
      </c>
      <c r="D196" s="2" t="s">
        <v>571</v>
      </c>
      <c r="F196" s="1" t="s">
        <v>91</v>
      </c>
      <c r="K196" s="1" t="b">
        <v>1</v>
      </c>
    </row>
    <row r="197">
      <c r="A197" s="4" t="s">
        <v>586</v>
      </c>
      <c r="B197" s="5" t="s">
        <v>587</v>
      </c>
      <c r="C197" s="1" t="s">
        <v>118</v>
      </c>
      <c r="D197" s="2" t="s">
        <v>571</v>
      </c>
      <c r="F197" s="1" t="s">
        <v>578</v>
      </c>
      <c r="K197" s="1" t="b">
        <v>1</v>
      </c>
    </row>
    <row r="198">
      <c r="A198" s="4" t="s">
        <v>588</v>
      </c>
      <c r="B198" s="4" t="s">
        <v>589</v>
      </c>
      <c r="C198" s="1" t="s">
        <v>118</v>
      </c>
      <c r="D198" s="1" t="s">
        <v>571</v>
      </c>
      <c r="F198" s="1" t="s">
        <v>277</v>
      </c>
      <c r="K198" s="1" t="b">
        <v>1</v>
      </c>
    </row>
    <row r="199">
      <c r="A199" s="6" t="s">
        <v>590</v>
      </c>
      <c r="B199" s="6" t="s">
        <v>591</v>
      </c>
      <c r="C199" s="1" t="s">
        <v>118</v>
      </c>
      <c r="D199" s="2" t="s">
        <v>571</v>
      </c>
      <c r="F199" s="1" t="s">
        <v>583</v>
      </c>
      <c r="K199" s="1" t="b">
        <v>1</v>
      </c>
    </row>
    <row r="200">
      <c r="A200" s="4" t="s">
        <v>592</v>
      </c>
      <c r="B200" s="4" t="s">
        <v>593</v>
      </c>
      <c r="C200" s="1" t="s">
        <v>118</v>
      </c>
      <c r="D200" s="1" t="s">
        <v>571</v>
      </c>
      <c r="F200" s="1" t="s">
        <v>583</v>
      </c>
      <c r="K200" s="1" t="b">
        <v>1</v>
      </c>
    </row>
    <row r="201">
      <c r="A201" s="4" t="s">
        <v>594</v>
      </c>
      <c r="B201" s="4" t="s">
        <v>595</v>
      </c>
      <c r="C201" s="1" t="s">
        <v>118</v>
      </c>
      <c r="D201" s="1" t="s">
        <v>596</v>
      </c>
      <c r="F201" s="1" t="s">
        <v>91</v>
      </c>
      <c r="J201" s="1" t="s">
        <v>45</v>
      </c>
      <c r="K201" s="6" t="b">
        <v>0</v>
      </c>
    </row>
    <row r="202">
      <c r="A202" s="1" t="s">
        <v>597</v>
      </c>
      <c r="B202" s="1" t="s">
        <v>598</v>
      </c>
      <c r="C202" s="1" t="s">
        <v>118</v>
      </c>
      <c r="D202" s="2" t="s">
        <v>596</v>
      </c>
      <c r="F202" s="1" t="s">
        <v>572</v>
      </c>
      <c r="K202" s="1" t="b">
        <v>0</v>
      </c>
      <c r="L202" s="1" t="s">
        <v>54</v>
      </c>
    </row>
    <row r="203">
      <c r="A203" s="4" t="s">
        <v>599</v>
      </c>
      <c r="B203" s="4" t="s">
        <v>600</v>
      </c>
      <c r="C203" s="1" t="s">
        <v>118</v>
      </c>
      <c r="D203" s="1" t="s">
        <v>596</v>
      </c>
      <c r="F203" s="1" t="s">
        <v>578</v>
      </c>
      <c r="K203" s="1" t="b">
        <v>1</v>
      </c>
    </row>
    <row r="204">
      <c r="A204" s="4" t="s">
        <v>601</v>
      </c>
      <c r="B204" s="4" t="s">
        <v>602</v>
      </c>
      <c r="C204" s="1" t="s">
        <v>118</v>
      </c>
      <c r="D204" s="1" t="s">
        <v>596</v>
      </c>
      <c r="F204" s="1" t="s">
        <v>596</v>
      </c>
      <c r="J204" s="1" t="s">
        <v>45</v>
      </c>
      <c r="K204" s="6" t="b">
        <v>0</v>
      </c>
    </row>
    <row r="205">
      <c r="A205" s="4" t="s">
        <v>603</v>
      </c>
      <c r="B205" s="4" t="s">
        <v>604</v>
      </c>
      <c r="C205" s="1" t="s">
        <v>118</v>
      </c>
      <c r="D205" s="1" t="s">
        <v>596</v>
      </c>
      <c r="F205" s="1" t="s">
        <v>575</v>
      </c>
      <c r="K205" s="1" t="b">
        <v>1</v>
      </c>
    </row>
    <row r="206">
      <c r="A206" s="4" t="s">
        <v>605</v>
      </c>
      <c r="B206" s="4" t="s">
        <v>606</v>
      </c>
      <c r="C206" s="1" t="s">
        <v>118</v>
      </c>
      <c r="D206" s="1" t="s">
        <v>596</v>
      </c>
      <c r="F206" s="1" t="s">
        <v>578</v>
      </c>
      <c r="K206" s="1" t="b">
        <v>1</v>
      </c>
    </row>
    <row r="207">
      <c r="A207" s="4" t="s">
        <v>607</v>
      </c>
      <c r="B207" s="4" t="s">
        <v>608</v>
      </c>
      <c r="C207" s="1" t="s">
        <v>118</v>
      </c>
      <c r="D207" s="1" t="s">
        <v>596</v>
      </c>
      <c r="F207" s="1" t="s">
        <v>575</v>
      </c>
      <c r="K207" s="1" t="b">
        <v>1</v>
      </c>
    </row>
    <row r="208">
      <c r="A208" s="4" t="s">
        <v>609</v>
      </c>
      <c r="B208" s="5" t="s">
        <v>610</v>
      </c>
      <c r="C208" s="1" t="s">
        <v>118</v>
      </c>
      <c r="D208" s="1" t="s">
        <v>596</v>
      </c>
      <c r="F208" s="1" t="s">
        <v>583</v>
      </c>
      <c r="K208" s="1" t="b">
        <v>1</v>
      </c>
    </row>
    <row r="209">
      <c r="A209" s="4" t="s">
        <v>611</v>
      </c>
      <c r="B209" s="5" t="s">
        <v>612</v>
      </c>
      <c r="C209" s="1" t="s">
        <v>118</v>
      </c>
      <c r="D209" s="1" t="s">
        <v>596</v>
      </c>
      <c r="F209" s="1" t="s">
        <v>578</v>
      </c>
      <c r="K209" s="1" t="b">
        <v>1</v>
      </c>
    </row>
    <row r="210">
      <c r="A210" s="4" t="s">
        <v>613</v>
      </c>
      <c r="B210" s="4" t="s">
        <v>614</v>
      </c>
      <c r="C210" s="1" t="s">
        <v>118</v>
      </c>
      <c r="D210" s="1" t="s">
        <v>596</v>
      </c>
      <c r="F210" s="1" t="s">
        <v>583</v>
      </c>
      <c r="K210" s="1" t="b">
        <v>1</v>
      </c>
    </row>
    <row r="211">
      <c r="A211" s="4" t="s">
        <v>615</v>
      </c>
      <c r="B211" s="4" t="s">
        <v>616</v>
      </c>
      <c r="C211" s="1" t="s">
        <v>118</v>
      </c>
      <c r="D211" s="1" t="s">
        <v>596</v>
      </c>
      <c r="F211" s="1" t="s">
        <v>575</v>
      </c>
      <c r="K211" s="1" t="b">
        <v>1</v>
      </c>
    </row>
    <row r="212">
      <c r="A212" s="4" t="s">
        <v>617</v>
      </c>
      <c r="B212" s="4" t="s">
        <v>618</v>
      </c>
      <c r="C212" s="1" t="s">
        <v>118</v>
      </c>
      <c r="D212" s="1" t="s">
        <v>619</v>
      </c>
      <c r="F212" s="1" t="s">
        <v>575</v>
      </c>
      <c r="K212" s="1" t="b">
        <v>1</v>
      </c>
    </row>
    <row r="213">
      <c r="A213" s="4" t="s">
        <v>620</v>
      </c>
      <c r="B213" s="4" t="s">
        <v>621</v>
      </c>
      <c r="C213" s="1" t="s">
        <v>118</v>
      </c>
      <c r="D213" s="1" t="s">
        <v>619</v>
      </c>
      <c r="F213" s="1" t="s">
        <v>578</v>
      </c>
      <c r="K213" s="1" t="b">
        <v>1</v>
      </c>
    </row>
    <row r="214">
      <c r="A214" s="4" t="s">
        <v>622</v>
      </c>
      <c r="B214" s="4" t="s">
        <v>623</v>
      </c>
      <c r="C214" s="1" t="s">
        <v>118</v>
      </c>
      <c r="D214" s="1" t="s">
        <v>619</v>
      </c>
      <c r="F214" s="1" t="s">
        <v>596</v>
      </c>
      <c r="K214" s="1" t="b">
        <v>1</v>
      </c>
    </row>
    <row r="215">
      <c r="A215" s="4" t="s">
        <v>624</v>
      </c>
      <c r="B215" s="4" t="s">
        <v>625</v>
      </c>
      <c r="C215" s="1" t="s">
        <v>118</v>
      </c>
      <c r="D215" s="1" t="s">
        <v>619</v>
      </c>
      <c r="F215" s="1" t="s">
        <v>572</v>
      </c>
      <c r="K215" s="1" t="b">
        <v>1</v>
      </c>
    </row>
    <row r="216">
      <c r="A216" s="6" t="s">
        <v>626</v>
      </c>
      <c r="B216" s="6" t="s">
        <v>627</v>
      </c>
      <c r="C216" s="1" t="s">
        <v>118</v>
      </c>
      <c r="D216" s="2" t="s">
        <v>619</v>
      </c>
      <c r="F216" s="1" t="s">
        <v>628</v>
      </c>
      <c r="J216" s="1" t="s">
        <v>45</v>
      </c>
      <c r="K216" s="1" t="b">
        <v>0</v>
      </c>
    </row>
    <row r="217">
      <c r="A217" s="4" t="s">
        <v>629</v>
      </c>
      <c r="B217" s="4" t="s">
        <v>630</v>
      </c>
      <c r="C217" s="1" t="s">
        <v>118</v>
      </c>
      <c r="D217" s="1" t="s">
        <v>619</v>
      </c>
      <c r="F217" s="1" t="s">
        <v>575</v>
      </c>
      <c r="K217" s="1" t="b">
        <v>1</v>
      </c>
    </row>
    <row r="218">
      <c r="A218" s="4" t="s">
        <v>631</v>
      </c>
      <c r="B218" s="5" t="s">
        <v>632</v>
      </c>
      <c r="C218" s="1" t="s">
        <v>118</v>
      </c>
      <c r="D218" s="1" t="s">
        <v>619</v>
      </c>
      <c r="F218" s="1" t="s">
        <v>575</v>
      </c>
      <c r="K218" s="1" t="b">
        <v>1</v>
      </c>
    </row>
    <row r="219">
      <c r="A219" s="4" t="s">
        <v>633</v>
      </c>
      <c r="B219" s="5" t="s">
        <v>634</v>
      </c>
      <c r="C219" s="1" t="s">
        <v>118</v>
      </c>
      <c r="D219" s="1" t="s">
        <v>619</v>
      </c>
      <c r="F219" s="1" t="s">
        <v>277</v>
      </c>
      <c r="J219" s="1" t="s">
        <v>45</v>
      </c>
      <c r="K219" s="6" t="b">
        <v>0</v>
      </c>
    </row>
    <row r="220">
      <c r="A220" s="4" t="s">
        <v>635</v>
      </c>
      <c r="B220" s="5" t="s">
        <v>636</v>
      </c>
      <c r="C220" s="1" t="s">
        <v>118</v>
      </c>
      <c r="D220" s="1" t="s">
        <v>619</v>
      </c>
      <c r="F220" s="1" t="s">
        <v>583</v>
      </c>
      <c r="J220" s="1" t="s">
        <v>45</v>
      </c>
      <c r="K220" s="6" t="b">
        <v>0</v>
      </c>
    </row>
    <row r="221">
      <c r="A221" s="4" t="s">
        <v>637</v>
      </c>
      <c r="B221" s="4" t="s">
        <v>638</v>
      </c>
      <c r="C221" s="1" t="s">
        <v>118</v>
      </c>
      <c r="D221" s="1" t="s">
        <v>619</v>
      </c>
      <c r="F221" s="1" t="s">
        <v>572</v>
      </c>
      <c r="K221" s="1" t="b">
        <v>1</v>
      </c>
    </row>
    <row r="222">
      <c r="A222" s="4" t="s">
        <v>639</v>
      </c>
      <c r="B222" s="4" t="s">
        <v>640</v>
      </c>
      <c r="C222" s="1" t="s">
        <v>118</v>
      </c>
      <c r="D222" s="1" t="s">
        <v>619</v>
      </c>
      <c r="F222" s="1" t="s">
        <v>583</v>
      </c>
      <c r="J222" s="1" t="s">
        <v>45</v>
      </c>
      <c r="K222" s="6" t="b">
        <v>0</v>
      </c>
    </row>
    <row r="223">
      <c r="A223" s="4" t="s">
        <v>641</v>
      </c>
      <c r="B223" s="4" t="s">
        <v>642</v>
      </c>
      <c r="C223" s="1" t="s">
        <v>118</v>
      </c>
      <c r="D223" s="1" t="s">
        <v>619</v>
      </c>
      <c r="F223" s="1" t="s">
        <v>277</v>
      </c>
      <c r="K223" s="1" t="b">
        <v>1</v>
      </c>
    </row>
    <row r="224">
      <c r="A224" s="4" t="s">
        <v>643</v>
      </c>
      <c r="B224" s="4" t="s">
        <v>644</v>
      </c>
      <c r="C224" s="1" t="s">
        <v>645</v>
      </c>
      <c r="D224" s="2" t="s">
        <v>27</v>
      </c>
      <c r="E224" s="1" t="s">
        <v>29</v>
      </c>
      <c r="F224" s="1">
        <v>2.0</v>
      </c>
      <c r="G224" s="1" t="s">
        <v>277</v>
      </c>
      <c r="H224" s="1" t="s">
        <v>646</v>
      </c>
      <c r="I224" s="1"/>
      <c r="K224" s="1" t="b">
        <v>1</v>
      </c>
    </row>
    <row r="225">
      <c r="A225" s="1" t="s">
        <v>647</v>
      </c>
      <c r="B225" s="1" t="s">
        <v>648</v>
      </c>
      <c r="C225" s="1" t="s">
        <v>645</v>
      </c>
      <c r="D225" s="2" t="s">
        <v>27</v>
      </c>
      <c r="E225" s="1" t="s">
        <v>29</v>
      </c>
      <c r="F225" s="1">
        <v>2.0</v>
      </c>
      <c r="G225" s="1" t="s">
        <v>277</v>
      </c>
      <c r="H225" s="1" t="s">
        <v>649</v>
      </c>
      <c r="K225" s="1" t="b">
        <v>0</v>
      </c>
      <c r="L225" s="1" t="s">
        <v>285</v>
      </c>
    </row>
    <row r="226">
      <c r="A226" s="4" t="s">
        <v>650</v>
      </c>
      <c r="B226" s="5" t="s">
        <v>651</v>
      </c>
      <c r="C226" s="1" t="s">
        <v>645</v>
      </c>
      <c r="D226" s="2" t="s">
        <v>27</v>
      </c>
      <c r="E226" s="1" t="s">
        <v>29</v>
      </c>
      <c r="F226" s="1">
        <v>2.0</v>
      </c>
      <c r="G226" s="1" t="s">
        <v>277</v>
      </c>
      <c r="H226" s="1" t="s">
        <v>646</v>
      </c>
      <c r="I226" s="1"/>
      <c r="K226" s="1" t="b">
        <v>1</v>
      </c>
    </row>
    <row r="227">
      <c r="A227" s="4" t="s">
        <v>652</v>
      </c>
      <c r="B227" s="4" t="s">
        <v>653</v>
      </c>
      <c r="C227" s="1" t="s">
        <v>645</v>
      </c>
      <c r="D227" s="2">
        <v>2.0</v>
      </c>
      <c r="F227" s="1">
        <v>4.0</v>
      </c>
      <c r="H227" s="4" t="s">
        <v>37</v>
      </c>
      <c r="I227" s="5" t="s">
        <v>654</v>
      </c>
      <c r="J227" s="4"/>
      <c r="K227" s="1" t="b">
        <v>1</v>
      </c>
    </row>
    <row r="228">
      <c r="A228" s="4" t="s">
        <v>655</v>
      </c>
      <c r="B228" s="4" t="s">
        <v>656</v>
      </c>
      <c r="C228" s="1" t="s">
        <v>645</v>
      </c>
      <c r="D228" s="2">
        <v>1.0</v>
      </c>
      <c r="E228" s="1" t="s">
        <v>29</v>
      </c>
      <c r="F228" s="1">
        <v>2.0</v>
      </c>
      <c r="H228" s="1" t="s">
        <v>106</v>
      </c>
      <c r="I228" s="1" t="s">
        <v>657</v>
      </c>
      <c r="K228" s="1" t="b">
        <v>1</v>
      </c>
    </row>
    <row r="229">
      <c r="A229" s="4" t="s">
        <v>658</v>
      </c>
      <c r="B229" s="4" t="s">
        <v>659</v>
      </c>
      <c r="C229" s="1" t="s">
        <v>645</v>
      </c>
      <c r="D229" s="2">
        <v>1.0</v>
      </c>
      <c r="E229" s="1" t="s">
        <v>29</v>
      </c>
      <c r="F229" s="1">
        <v>2.0</v>
      </c>
      <c r="K229" s="1" t="b">
        <v>1</v>
      </c>
    </row>
    <row r="230">
      <c r="A230" s="4" t="s">
        <v>660</v>
      </c>
      <c r="B230" s="4" t="s">
        <v>661</v>
      </c>
      <c r="C230" s="1" t="s">
        <v>645</v>
      </c>
      <c r="D230" s="2" t="s">
        <v>27</v>
      </c>
      <c r="E230" s="1" t="s">
        <v>45</v>
      </c>
      <c r="K230" s="1" t="b">
        <v>1</v>
      </c>
    </row>
    <row r="231">
      <c r="A231" s="4" t="s">
        <v>662</v>
      </c>
      <c r="B231" s="4" t="s">
        <v>663</v>
      </c>
      <c r="C231" s="1" t="s">
        <v>645</v>
      </c>
      <c r="D231" s="2">
        <v>1.0</v>
      </c>
      <c r="E231" s="1" t="s">
        <v>29</v>
      </c>
      <c r="F231" s="1">
        <v>1.5</v>
      </c>
      <c r="H231" s="1" t="s">
        <v>194</v>
      </c>
      <c r="I231" s="1" t="s">
        <v>664</v>
      </c>
      <c r="K231" s="1" t="b">
        <v>1</v>
      </c>
    </row>
    <row r="232">
      <c r="A232" s="4" t="s">
        <v>665</v>
      </c>
      <c r="B232" s="4" t="s">
        <v>666</v>
      </c>
      <c r="C232" s="1" t="s">
        <v>645</v>
      </c>
      <c r="D232" s="2">
        <v>1.0</v>
      </c>
      <c r="E232" s="1" t="s">
        <v>29</v>
      </c>
      <c r="F232" s="1">
        <v>2.5</v>
      </c>
      <c r="H232" s="4" t="s">
        <v>106</v>
      </c>
      <c r="I232" s="4" t="s">
        <v>667</v>
      </c>
      <c r="J232" s="4"/>
      <c r="K232" s="1" t="b">
        <v>1</v>
      </c>
    </row>
    <row r="233">
      <c r="A233" s="4" t="s">
        <v>668</v>
      </c>
      <c r="B233" s="4" t="s">
        <v>669</v>
      </c>
      <c r="C233" s="1" t="s">
        <v>645</v>
      </c>
      <c r="D233" s="2" t="s">
        <v>27</v>
      </c>
      <c r="E233" s="1" t="s">
        <v>45</v>
      </c>
      <c r="G233" s="1" t="s">
        <v>91</v>
      </c>
      <c r="H233" s="1" t="s">
        <v>31</v>
      </c>
      <c r="K233" s="1" t="b">
        <v>1</v>
      </c>
    </row>
    <row r="234">
      <c r="A234" s="4" t="s">
        <v>670</v>
      </c>
      <c r="B234" s="4" t="s">
        <v>671</v>
      </c>
      <c r="C234" s="1" t="s">
        <v>645</v>
      </c>
      <c r="D234" s="2">
        <v>1.0</v>
      </c>
      <c r="E234" s="1" t="s">
        <v>29</v>
      </c>
      <c r="K234" s="1" t="b">
        <v>1</v>
      </c>
    </row>
    <row r="235">
      <c r="A235" s="4" t="s">
        <v>672</v>
      </c>
      <c r="B235" s="4" t="s">
        <v>673</v>
      </c>
      <c r="C235" s="1" t="s">
        <v>645</v>
      </c>
      <c r="D235" s="2" t="s">
        <v>27</v>
      </c>
      <c r="E235" s="1" t="s">
        <v>45</v>
      </c>
      <c r="K235" s="1" t="b">
        <v>1</v>
      </c>
    </row>
    <row r="236">
      <c r="A236" s="4" t="s">
        <v>674</v>
      </c>
      <c r="B236" s="4" t="s">
        <v>675</v>
      </c>
      <c r="C236" s="1" t="s">
        <v>645</v>
      </c>
      <c r="D236" s="2" t="s">
        <v>27</v>
      </c>
      <c r="E236" s="1" t="s">
        <v>29</v>
      </c>
      <c r="F236" s="1">
        <v>1.0</v>
      </c>
      <c r="G236" s="1" t="s">
        <v>67</v>
      </c>
      <c r="H236" s="1" t="s">
        <v>106</v>
      </c>
      <c r="I236" s="1" t="s">
        <v>676</v>
      </c>
      <c r="K236" s="1" t="b">
        <v>1</v>
      </c>
    </row>
    <row r="237">
      <c r="A237" s="4" t="s">
        <v>677</v>
      </c>
      <c r="B237" s="5" t="s">
        <v>678</v>
      </c>
      <c r="C237" s="1" t="s">
        <v>645</v>
      </c>
      <c r="D237" s="2" t="s">
        <v>27</v>
      </c>
      <c r="E237" s="1" t="s">
        <v>29</v>
      </c>
      <c r="F237" s="1">
        <v>1.0</v>
      </c>
      <c r="G237" s="1" t="s">
        <v>67</v>
      </c>
      <c r="H237" s="1" t="s">
        <v>106</v>
      </c>
      <c r="I237" s="1" t="s">
        <v>676</v>
      </c>
      <c r="K237" s="1" t="b">
        <v>1</v>
      </c>
    </row>
    <row r="238">
      <c r="A238" s="4" t="s">
        <v>679</v>
      </c>
      <c r="B238" s="4" t="s">
        <v>680</v>
      </c>
      <c r="C238" s="1" t="s">
        <v>645</v>
      </c>
      <c r="D238" s="2" t="s">
        <v>27</v>
      </c>
      <c r="E238" s="1" t="s">
        <v>45</v>
      </c>
      <c r="G238" s="1" t="s">
        <v>29</v>
      </c>
      <c r="H238" s="1"/>
      <c r="I238" s="1"/>
      <c r="K238" s="1" t="b">
        <v>1</v>
      </c>
    </row>
    <row r="239">
      <c r="A239" s="4" t="s">
        <v>681</v>
      </c>
      <c r="B239" s="4" t="s">
        <v>682</v>
      </c>
      <c r="C239" s="1" t="s">
        <v>645</v>
      </c>
      <c r="D239" s="2">
        <v>1.0</v>
      </c>
      <c r="E239" s="1" t="s">
        <v>45</v>
      </c>
      <c r="I239" s="1" t="s">
        <v>329</v>
      </c>
      <c r="K239" s="1" t="b">
        <v>1</v>
      </c>
    </row>
    <row r="240">
      <c r="A240" s="4" t="s">
        <v>683</v>
      </c>
      <c r="B240" s="4" t="s">
        <v>684</v>
      </c>
      <c r="C240" s="1" t="s">
        <v>645</v>
      </c>
      <c r="D240" s="2">
        <v>2.0</v>
      </c>
      <c r="F240" s="1">
        <v>2.0</v>
      </c>
      <c r="K240" s="1" t="b">
        <v>1</v>
      </c>
    </row>
    <row r="241">
      <c r="A241" s="4" t="s">
        <v>685</v>
      </c>
      <c r="B241" s="4" t="s">
        <v>686</v>
      </c>
      <c r="C241" s="1" t="s">
        <v>645</v>
      </c>
      <c r="D241" s="2" t="s">
        <v>27</v>
      </c>
      <c r="E241" s="1" t="s">
        <v>45</v>
      </c>
      <c r="G241" s="1" t="s">
        <v>91</v>
      </c>
      <c r="H241" s="1"/>
      <c r="I241" s="1"/>
      <c r="K241" s="1" t="b">
        <v>1</v>
      </c>
    </row>
    <row r="242">
      <c r="A242" s="4" t="s">
        <v>687</v>
      </c>
      <c r="B242" s="4" t="s">
        <v>688</v>
      </c>
      <c r="C242" s="1" t="s">
        <v>645</v>
      </c>
      <c r="D242" s="2">
        <v>1.0</v>
      </c>
      <c r="E242" s="1" t="s">
        <v>45</v>
      </c>
      <c r="K242" s="1" t="b">
        <v>1</v>
      </c>
    </row>
    <row r="243">
      <c r="A243" s="4" t="s">
        <v>689</v>
      </c>
      <c r="B243" s="4" t="s">
        <v>690</v>
      </c>
      <c r="C243" s="1" t="s">
        <v>645</v>
      </c>
      <c r="D243" s="2">
        <v>2.0</v>
      </c>
      <c r="F243" s="1">
        <v>3.0</v>
      </c>
      <c r="K243" s="1" t="b">
        <v>1</v>
      </c>
    </row>
    <row r="244">
      <c r="A244" s="4" t="s">
        <v>691</v>
      </c>
      <c r="B244" s="4" t="s">
        <v>692</v>
      </c>
      <c r="C244" s="1" t="s">
        <v>645</v>
      </c>
      <c r="D244" s="2" t="s">
        <v>27</v>
      </c>
      <c r="E244" s="1" t="s">
        <v>45</v>
      </c>
      <c r="I244" s="1" t="s">
        <v>693</v>
      </c>
      <c r="K244" s="1" t="b">
        <v>1</v>
      </c>
    </row>
    <row r="245">
      <c r="A245" s="1" t="s">
        <v>694</v>
      </c>
      <c r="B245" s="1" t="s">
        <v>695</v>
      </c>
      <c r="C245" s="1" t="s">
        <v>645</v>
      </c>
      <c r="D245" s="2" t="s">
        <v>27</v>
      </c>
      <c r="E245" s="1" t="s">
        <v>45</v>
      </c>
      <c r="G245" s="1" t="s">
        <v>91</v>
      </c>
      <c r="K245" s="1" t="b">
        <v>0</v>
      </c>
      <c r="L245" s="1" t="s">
        <v>54</v>
      </c>
    </row>
    <row r="246">
      <c r="A246" s="4" t="s">
        <v>696</v>
      </c>
      <c r="B246" s="4" t="s">
        <v>697</v>
      </c>
      <c r="C246" s="1" t="s">
        <v>645</v>
      </c>
      <c r="D246" s="2">
        <v>1.0</v>
      </c>
      <c r="E246" s="1" t="s">
        <v>29</v>
      </c>
      <c r="F246" s="1">
        <v>1.0</v>
      </c>
      <c r="H246" s="1" t="s">
        <v>31</v>
      </c>
      <c r="I246" s="1" t="s">
        <v>698</v>
      </c>
      <c r="K246" s="1" t="b">
        <v>1</v>
      </c>
    </row>
    <row r="247">
      <c r="A247" s="4" t="s">
        <v>699</v>
      </c>
      <c r="B247" s="4" t="s">
        <v>700</v>
      </c>
      <c r="C247" s="1" t="s">
        <v>645</v>
      </c>
      <c r="D247" s="2">
        <v>1.0</v>
      </c>
      <c r="E247" s="1" t="s">
        <v>29</v>
      </c>
      <c r="K247" s="1" t="b">
        <v>1</v>
      </c>
    </row>
    <row r="248">
      <c r="A248" s="4" t="s">
        <v>701</v>
      </c>
      <c r="B248" s="4" t="s">
        <v>702</v>
      </c>
      <c r="C248" s="1" t="s">
        <v>645</v>
      </c>
      <c r="D248" s="2" t="s">
        <v>27</v>
      </c>
      <c r="E248" s="1" t="s">
        <v>45</v>
      </c>
      <c r="K248" s="1" t="b">
        <v>1</v>
      </c>
    </row>
    <row r="249">
      <c r="A249" s="4" t="s">
        <v>703</v>
      </c>
      <c r="B249" s="4" t="s">
        <v>704</v>
      </c>
      <c r="C249" s="1" t="s">
        <v>645</v>
      </c>
      <c r="D249" s="2" t="s">
        <v>27</v>
      </c>
      <c r="E249" s="1" t="s">
        <v>45</v>
      </c>
      <c r="H249" s="1" t="s">
        <v>489</v>
      </c>
      <c r="K249" s="1" t="b">
        <v>1</v>
      </c>
    </row>
    <row r="250">
      <c r="A250" s="4" t="s">
        <v>705</v>
      </c>
      <c r="B250" s="4" t="s">
        <v>706</v>
      </c>
      <c r="C250" s="1" t="s">
        <v>645</v>
      </c>
      <c r="D250" s="2" t="s">
        <v>27</v>
      </c>
      <c r="E250" s="1" t="s">
        <v>45</v>
      </c>
      <c r="G250" s="1" t="s">
        <v>91</v>
      </c>
      <c r="H250" s="1"/>
      <c r="I250" s="1"/>
      <c r="K250" s="1" t="b">
        <v>1</v>
      </c>
    </row>
    <row r="251">
      <c r="A251" s="4" t="s">
        <v>707</v>
      </c>
      <c r="B251" s="4" t="s">
        <v>708</v>
      </c>
      <c r="C251" s="1" t="s">
        <v>645</v>
      </c>
      <c r="D251" s="2">
        <v>1.0</v>
      </c>
      <c r="E251" s="1" t="s">
        <v>29</v>
      </c>
      <c r="F251" s="1">
        <v>1.5</v>
      </c>
      <c r="K251" s="1" t="b">
        <v>1</v>
      </c>
    </row>
    <row r="252">
      <c r="A252" s="4" t="s">
        <v>709</v>
      </c>
      <c r="B252" s="4" t="s">
        <v>710</v>
      </c>
      <c r="C252" s="1" t="s">
        <v>645</v>
      </c>
      <c r="D252" s="2" t="s">
        <v>27</v>
      </c>
      <c r="E252" s="1" t="s">
        <v>45</v>
      </c>
      <c r="K252" s="1" t="b">
        <v>1</v>
      </c>
    </row>
    <row r="253">
      <c r="A253" s="4" t="s">
        <v>711</v>
      </c>
      <c r="B253" s="4" t="s">
        <v>712</v>
      </c>
      <c r="C253" s="1" t="s">
        <v>645</v>
      </c>
      <c r="D253" s="2" t="s">
        <v>27</v>
      </c>
      <c r="E253" s="1" t="s">
        <v>45</v>
      </c>
      <c r="G253" s="1" t="s">
        <v>29</v>
      </c>
      <c r="H253" s="1" t="s">
        <v>142</v>
      </c>
      <c r="I253" s="1" t="s">
        <v>713</v>
      </c>
      <c r="K253" s="1" t="b">
        <v>1</v>
      </c>
    </row>
    <row r="254">
      <c r="A254" s="4" t="s">
        <v>714</v>
      </c>
      <c r="B254" s="4" t="s">
        <v>715</v>
      </c>
      <c r="C254" s="1" t="s">
        <v>645</v>
      </c>
      <c r="D254" s="2">
        <v>1.0</v>
      </c>
      <c r="E254" s="1" t="s">
        <v>29</v>
      </c>
      <c r="F254" s="1">
        <v>1.5</v>
      </c>
      <c r="H254" s="1" t="s">
        <v>106</v>
      </c>
      <c r="K254" s="1" t="b">
        <v>1</v>
      </c>
    </row>
    <row r="255">
      <c r="A255" s="4" t="s">
        <v>716</v>
      </c>
      <c r="B255" s="4" t="s">
        <v>717</v>
      </c>
      <c r="C255" s="1" t="s">
        <v>645</v>
      </c>
      <c r="D255" s="2">
        <v>1.0</v>
      </c>
      <c r="E255" s="1" t="s">
        <v>29</v>
      </c>
      <c r="F255" s="1">
        <v>2.0</v>
      </c>
      <c r="I255" s="1" t="s">
        <v>718</v>
      </c>
      <c r="K255" s="1" t="b">
        <v>1</v>
      </c>
    </row>
    <row r="256">
      <c r="A256" s="4" t="s">
        <v>719</v>
      </c>
      <c r="B256" s="5" t="s">
        <v>720</v>
      </c>
      <c r="C256" s="1" t="s">
        <v>645</v>
      </c>
      <c r="D256" s="2">
        <v>1.0</v>
      </c>
      <c r="E256" s="1" t="s">
        <v>29</v>
      </c>
      <c r="F256" s="1">
        <v>2.0</v>
      </c>
      <c r="I256" s="1" t="s">
        <v>718</v>
      </c>
      <c r="K256" s="1" t="b">
        <v>1</v>
      </c>
    </row>
    <row r="257">
      <c r="A257" s="4" t="s">
        <v>721</v>
      </c>
      <c r="B257" s="4" t="s">
        <v>722</v>
      </c>
      <c r="C257" s="1" t="s">
        <v>645</v>
      </c>
      <c r="D257" s="2">
        <v>1.0</v>
      </c>
      <c r="E257" s="1" t="s">
        <v>45</v>
      </c>
      <c r="K257" s="1" t="b">
        <v>1</v>
      </c>
    </row>
    <row r="258">
      <c r="D258" s="7"/>
    </row>
    <row r="259">
      <c r="D259" s="7"/>
    </row>
    <row r="260">
      <c r="D260" s="7"/>
    </row>
    <row r="261">
      <c r="D261" s="7"/>
    </row>
    <row r="262">
      <c r="D262" s="7"/>
    </row>
    <row r="263">
      <c r="D263" s="7"/>
    </row>
    <row r="264">
      <c r="D264" s="7"/>
    </row>
    <row r="265">
      <c r="D265" s="7"/>
    </row>
    <row r="266">
      <c r="D266" s="7"/>
    </row>
    <row r="267">
      <c r="D267" s="7"/>
    </row>
    <row r="268">
      <c r="D268" s="7"/>
    </row>
    <row r="269">
      <c r="D269" s="7"/>
    </row>
    <row r="270">
      <c r="D270" s="7"/>
    </row>
    <row r="271">
      <c r="D271" s="7"/>
    </row>
    <row r="272">
      <c r="D272" s="7"/>
    </row>
    <row r="273">
      <c r="D273" s="7"/>
    </row>
    <row r="274">
      <c r="D274" s="7"/>
    </row>
    <row r="275">
      <c r="D275" s="7"/>
    </row>
    <row r="276">
      <c r="D276" s="7"/>
    </row>
    <row r="277">
      <c r="D277" s="7"/>
    </row>
    <row r="278">
      <c r="D278" s="7"/>
    </row>
    <row r="279">
      <c r="D279" s="7"/>
    </row>
    <row r="280">
      <c r="D280" s="7"/>
    </row>
    <row r="281">
      <c r="D281" s="7"/>
    </row>
    <row r="282">
      <c r="D282" s="7"/>
    </row>
    <row r="283">
      <c r="D283" s="7"/>
    </row>
    <row r="284">
      <c r="D284" s="7"/>
    </row>
    <row r="285">
      <c r="D285" s="7"/>
    </row>
    <row r="286">
      <c r="D286" s="7"/>
    </row>
    <row r="287">
      <c r="D287" s="7"/>
    </row>
    <row r="288">
      <c r="D288" s="7"/>
    </row>
    <row r="289">
      <c r="D289" s="7"/>
    </row>
    <row r="290">
      <c r="D290" s="7"/>
    </row>
    <row r="291">
      <c r="D291" s="7"/>
    </row>
    <row r="292">
      <c r="D292" s="7"/>
    </row>
    <row r="293">
      <c r="D293" s="7"/>
    </row>
    <row r="294">
      <c r="D294" s="7"/>
    </row>
    <row r="295">
      <c r="D295" s="7"/>
    </row>
    <row r="296">
      <c r="D296" s="7"/>
    </row>
    <row r="297">
      <c r="D297" s="7"/>
    </row>
    <row r="298">
      <c r="D298" s="7"/>
    </row>
    <row r="299">
      <c r="D299" s="7"/>
    </row>
    <row r="300">
      <c r="D300" s="7"/>
    </row>
    <row r="301">
      <c r="D301" s="7"/>
    </row>
    <row r="302">
      <c r="D302" s="7"/>
    </row>
    <row r="303">
      <c r="D303" s="7"/>
    </row>
    <row r="304">
      <c r="D304" s="7"/>
    </row>
    <row r="305">
      <c r="D305" s="7"/>
    </row>
    <row r="306">
      <c r="D306" s="7"/>
    </row>
    <row r="307">
      <c r="D307" s="7"/>
    </row>
    <row r="308">
      <c r="D308" s="7"/>
    </row>
    <row r="309">
      <c r="D309" s="7"/>
    </row>
    <row r="310">
      <c r="D310" s="7"/>
    </row>
    <row r="311">
      <c r="D311" s="7"/>
    </row>
    <row r="312">
      <c r="D312" s="7"/>
    </row>
    <row r="313">
      <c r="D313" s="7"/>
    </row>
    <row r="314">
      <c r="D314" s="7"/>
    </row>
    <row r="315">
      <c r="D315" s="7"/>
    </row>
    <row r="316">
      <c r="D316" s="7"/>
    </row>
    <row r="317">
      <c r="D317" s="7"/>
    </row>
    <row r="318">
      <c r="D318" s="7"/>
    </row>
    <row r="319">
      <c r="D319" s="7"/>
    </row>
    <row r="320">
      <c r="D320" s="7"/>
    </row>
    <row r="321">
      <c r="D321" s="7"/>
    </row>
    <row r="322">
      <c r="D322" s="7"/>
    </row>
    <row r="323">
      <c r="D323" s="7"/>
    </row>
    <row r="324">
      <c r="D324" s="7"/>
    </row>
    <row r="325">
      <c r="D325" s="7"/>
    </row>
    <row r="326">
      <c r="D326" s="7"/>
    </row>
    <row r="327">
      <c r="D327" s="7"/>
    </row>
    <row r="328">
      <c r="D328" s="7"/>
    </row>
    <row r="329">
      <c r="D329" s="7"/>
    </row>
    <row r="330">
      <c r="D330" s="7"/>
    </row>
    <row r="331">
      <c r="D331" s="7"/>
    </row>
    <row r="332">
      <c r="D332" s="7"/>
    </row>
    <row r="333">
      <c r="D333" s="7"/>
    </row>
    <row r="334">
      <c r="D334" s="7"/>
    </row>
    <row r="335">
      <c r="D335" s="7"/>
    </row>
    <row r="336">
      <c r="D336" s="7"/>
    </row>
    <row r="337">
      <c r="D337" s="7"/>
    </row>
    <row r="338">
      <c r="D338" s="7"/>
    </row>
    <row r="339">
      <c r="D339" s="7"/>
    </row>
    <row r="340">
      <c r="D340" s="7"/>
    </row>
    <row r="341">
      <c r="D341" s="7"/>
    </row>
    <row r="342">
      <c r="D342" s="7"/>
    </row>
    <row r="343">
      <c r="D343" s="7"/>
    </row>
    <row r="344">
      <c r="D344" s="7"/>
    </row>
    <row r="345">
      <c r="D345" s="7"/>
    </row>
    <row r="346">
      <c r="D346" s="7"/>
    </row>
    <row r="347">
      <c r="D347" s="7"/>
    </row>
    <row r="348">
      <c r="D348" s="7"/>
    </row>
    <row r="349">
      <c r="D349" s="7"/>
    </row>
    <row r="350">
      <c r="D350" s="7"/>
    </row>
    <row r="351">
      <c r="D351" s="7"/>
    </row>
    <row r="352">
      <c r="D352" s="7"/>
    </row>
    <row r="353">
      <c r="D353" s="7"/>
    </row>
    <row r="354">
      <c r="D354" s="7"/>
    </row>
    <row r="355">
      <c r="D355" s="7"/>
    </row>
    <row r="356">
      <c r="D356" s="7"/>
    </row>
    <row r="357">
      <c r="D357" s="7"/>
    </row>
    <row r="358">
      <c r="D358" s="7"/>
    </row>
    <row r="359">
      <c r="D359" s="7"/>
    </row>
    <row r="360">
      <c r="D360" s="7"/>
    </row>
    <row r="361">
      <c r="D361" s="7"/>
    </row>
    <row r="362">
      <c r="D362" s="7"/>
    </row>
    <row r="363">
      <c r="D363" s="7"/>
    </row>
    <row r="364">
      <c r="D364" s="7"/>
    </row>
    <row r="365">
      <c r="D365" s="7"/>
    </row>
    <row r="366">
      <c r="D366" s="7"/>
    </row>
    <row r="367">
      <c r="D367" s="7"/>
    </row>
    <row r="368">
      <c r="D368" s="7"/>
    </row>
    <row r="369">
      <c r="D369" s="7"/>
    </row>
    <row r="370">
      <c r="D370" s="7"/>
    </row>
    <row r="371">
      <c r="D371" s="7"/>
    </row>
    <row r="372">
      <c r="D372" s="7"/>
    </row>
    <row r="373">
      <c r="D373" s="7"/>
    </row>
    <row r="374">
      <c r="D374" s="7"/>
    </row>
    <row r="375">
      <c r="D375" s="7"/>
    </row>
    <row r="376">
      <c r="D376" s="7"/>
    </row>
    <row r="377">
      <c r="D377" s="7"/>
    </row>
    <row r="378">
      <c r="D378" s="7"/>
    </row>
    <row r="379">
      <c r="D379" s="7"/>
    </row>
    <row r="380">
      <c r="D380" s="7"/>
    </row>
    <row r="381">
      <c r="D381" s="7"/>
    </row>
    <row r="382">
      <c r="D382" s="7"/>
    </row>
    <row r="383">
      <c r="D383" s="7"/>
    </row>
    <row r="384">
      <c r="D384" s="7"/>
    </row>
    <row r="385">
      <c r="D385" s="7"/>
    </row>
    <row r="386">
      <c r="D386" s="7"/>
    </row>
    <row r="387">
      <c r="D387" s="7"/>
    </row>
    <row r="388">
      <c r="D388" s="7"/>
    </row>
    <row r="389">
      <c r="D389" s="7"/>
    </row>
    <row r="390">
      <c r="D390" s="7"/>
    </row>
    <row r="391">
      <c r="D391" s="7"/>
    </row>
    <row r="392">
      <c r="D392" s="7"/>
    </row>
    <row r="393">
      <c r="D393" s="7"/>
    </row>
    <row r="394">
      <c r="D394" s="7"/>
    </row>
    <row r="395">
      <c r="D395" s="7"/>
    </row>
    <row r="396">
      <c r="D396" s="7"/>
    </row>
    <row r="397">
      <c r="D397" s="7"/>
    </row>
    <row r="398">
      <c r="D398" s="7"/>
    </row>
    <row r="399">
      <c r="D399" s="7"/>
    </row>
    <row r="400">
      <c r="D400" s="7"/>
    </row>
    <row r="401">
      <c r="D401" s="7"/>
    </row>
    <row r="402">
      <c r="D402" s="7"/>
    </row>
    <row r="403">
      <c r="D403" s="7"/>
    </row>
    <row r="404">
      <c r="D404" s="7"/>
    </row>
    <row r="405">
      <c r="D405" s="7"/>
    </row>
    <row r="406">
      <c r="D406" s="7"/>
    </row>
    <row r="407">
      <c r="D407" s="7"/>
    </row>
    <row r="408">
      <c r="D408" s="7"/>
    </row>
    <row r="409">
      <c r="D409" s="7"/>
    </row>
    <row r="410">
      <c r="D410" s="7"/>
    </row>
    <row r="411">
      <c r="D411" s="7"/>
    </row>
    <row r="412">
      <c r="D412" s="7"/>
    </row>
    <row r="413">
      <c r="D413" s="7"/>
    </row>
    <row r="414">
      <c r="D414" s="7"/>
    </row>
    <row r="415">
      <c r="D415" s="7"/>
    </row>
    <row r="416">
      <c r="D416" s="7"/>
    </row>
    <row r="417">
      <c r="D417" s="7"/>
    </row>
    <row r="418">
      <c r="D418" s="7"/>
    </row>
    <row r="419">
      <c r="D419" s="7"/>
    </row>
    <row r="420">
      <c r="D420" s="7"/>
    </row>
    <row r="421">
      <c r="D421" s="7"/>
    </row>
    <row r="422">
      <c r="D422" s="7"/>
    </row>
    <row r="423">
      <c r="D423" s="7"/>
    </row>
    <row r="424">
      <c r="D424" s="7"/>
    </row>
    <row r="425">
      <c r="D425" s="7"/>
    </row>
    <row r="426">
      <c r="D426" s="7"/>
    </row>
    <row r="427">
      <c r="D427" s="7"/>
    </row>
    <row r="428">
      <c r="D428" s="7"/>
    </row>
    <row r="429">
      <c r="D429" s="7"/>
    </row>
    <row r="430">
      <c r="D430" s="7"/>
    </row>
    <row r="431">
      <c r="D431" s="7"/>
    </row>
    <row r="432">
      <c r="D432" s="7"/>
    </row>
    <row r="433">
      <c r="D433" s="7"/>
    </row>
    <row r="434">
      <c r="D434" s="7"/>
    </row>
    <row r="435">
      <c r="D435" s="7"/>
    </row>
    <row r="436">
      <c r="D436" s="7"/>
    </row>
    <row r="437">
      <c r="D437" s="7"/>
    </row>
    <row r="438">
      <c r="D438" s="7"/>
    </row>
    <row r="439">
      <c r="D439" s="7"/>
    </row>
    <row r="440">
      <c r="D440" s="7"/>
    </row>
    <row r="441">
      <c r="D441" s="7"/>
    </row>
    <row r="442">
      <c r="D442" s="7"/>
    </row>
    <row r="443">
      <c r="D443" s="7"/>
    </row>
    <row r="444">
      <c r="D444" s="7"/>
    </row>
    <row r="445">
      <c r="D445" s="7"/>
    </row>
    <row r="446">
      <c r="D446" s="7"/>
    </row>
    <row r="447">
      <c r="D447" s="7"/>
    </row>
    <row r="448">
      <c r="D448" s="7"/>
    </row>
    <row r="449">
      <c r="D449" s="7"/>
    </row>
    <row r="450">
      <c r="D450" s="7"/>
    </row>
    <row r="451">
      <c r="D451" s="7"/>
    </row>
    <row r="452">
      <c r="D452" s="7"/>
    </row>
    <row r="453">
      <c r="D453" s="7"/>
    </row>
    <row r="454">
      <c r="D454" s="7"/>
    </row>
    <row r="455">
      <c r="D455" s="7"/>
    </row>
    <row r="456">
      <c r="D456" s="7"/>
    </row>
    <row r="457">
      <c r="D457" s="7"/>
    </row>
    <row r="458">
      <c r="D458" s="7"/>
    </row>
    <row r="459">
      <c r="D459" s="7"/>
    </row>
    <row r="460">
      <c r="D460" s="7"/>
    </row>
    <row r="461">
      <c r="D461" s="7"/>
    </row>
    <row r="462">
      <c r="D462" s="7"/>
    </row>
    <row r="463">
      <c r="D463" s="7"/>
    </row>
    <row r="464">
      <c r="D464" s="7"/>
    </row>
    <row r="465">
      <c r="D465" s="7"/>
    </row>
    <row r="466">
      <c r="D466" s="7"/>
    </row>
    <row r="467">
      <c r="D467" s="7"/>
    </row>
    <row r="468">
      <c r="D468" s="7"/>
    </row>
    <row r="469">
      <c r="D469" s="7"/>
    </row>
    <row r="470">
      <c r="D470" s="7"/>
    </row>
    <row r="471">
      <c r="D471" s="7"/>
    </row>
    <row r="472">
      <c r="D472" s="7"/>
    </row>
    <row r="473">
      <c r="D473" s="7"/>
    </row>
    <row r="474">
      <c r="D474" s="7"/>
    </row>
    <row r="475">
      <c r="D475" s="7"/>
    </row>
    <row r="476">
      <c r="D476" s="7"/>
    </row>
    <row r="477">
      <c r="D477" s="7"/>
    </row>
    <row r="478">
      <c r="D478" s="7"/>
    </row>
    <row r="479">
      <c r="D479" s="7"/>
    </row>
    <row r="480">
      <c r="D480" s="7"/>
    </row>
    <row r="481">
      <c r="D481" s="7"/>
    </row>
    <row r="482">
      <c r="D482" s="7"/>
    </row>
    <row r="483">
      <c r="D483" s="7"/>
    </row>
    <row r="484">
      <c r="D484" s="7"/>
    </row>
    <row r="485">
      <c r="D485" s="7"/>
    </row>
    <row r="486">
      <c r="D486" s="7"/>
    </row>
    <row r="487">
      <c r="D487" s="7"/>
    </row>
    <row r="488">
      <c r="D488" s="7"/>
    </row>
    <row r="489">
      <c r="D489" s="7"/>
    </row>
    <row r="490">
      <c r="D490" s="7"/>
    </row>
    <row r="491">
      <c r="D491" s="7"/>
    </row>
    <row r="492">
      <c r="D492" s="7"/>
    </row>
    <row r="493">
      <c r="D493" s="7"/>
    </row>
    <row r="494">
      <c r="D494" s="7"/>
    </row>
    <row r="495">
      <c r="D495" s="7"/>
    </row>
    <row r="496">
      <c r="D496" s="7"/>
    </row>
    <row r="497">
      <c r="D497" s="7"/>
    </row>
    <row r="498">
      <c r="D498" s="7"/>
    </row>
    <row r="499">
      <c r="D499" s="7"/>
    </row>
    <row r="500">
      <c r="D500" s="7"/>
    </row>
    <row r="501">
      <c r="D501" s="7"/>
    </row>
    <row r="502">
      <c r="D502" s="7"/>
    </row>
    <row r="503">
      <c r="D503" s="7"/>
    </row>
    <row r="504">
      <c r="D504" s="7"/>
    </row>
    <row r="505">
      <c r="D505" s="7"/>
    </row>
    <row r="506">
      <c r="D506" s="7"/>
    </row>
    <row r="507">
      <c r="D507" s="7"/>
    </row>
    <row r="508">
      <c r="D508" s="7"/>
    </row>
    <row r="509">
      <c r="D509" s="7"/>
    </row>
    <row r="510">
      <c r="D510" s="7"/>
    </row>
    <row r="511">
      <c r="D511" s="7"/>
    </row>
    <row r="512">
      <c r="D512" s="7"/>
    </row>
    <row r="513">
      <c r="D513" s="7"/>
    </row>
    <row r="514">
      <c r="D514" s="7"/>
    </row>
    <row r="515">
      <c r="D515" s="7"/>
    </row>
    <row r="516">
      <c r="D516" s="7"/>
    </row>
    <row r="517">
      <c r="D517" s="7"/>
    </row>
    <row r="518">
      <c r="D518" s="7"/>
    </row>
    <row r="519">
      <c r="D519" s="7"/>
    </row>
    <row r="520">
      <c r="D520" s="7"/>
    </row>
    <row r="521">
      <c r="D521" s="7"/>
    </row>
    <row r="522">
      <c r="D522" s="7"/>
    </row>
    <row r="523">
      <c r="D523" s="7"/>
    </row>
    <row r="524">
      <c r="D524" s="7"/>
    </row>
    <row r="525">
      <c r="D525" s="7"/>
    </row>
    <row r="526">
      <c r="D526" s="7"/>
    </row>
    <row r="527">
      <c r="D527" s="7"/>
    </row>
    <row r="528">
      <c r="D528" s="7"/>
    </row>
    <row r="529">
      <c r="D529" s="7"/>
    </row>
    <row r="530">
      <c r="D530" s="7"/>
    </row>
    <row r="531">
      <c r="D531" s="7"/>
    </row>
    <row r="532">
      <c r="D532" s="7"/>
    </row>
    <row r="533">
      <c r="D533" s="7"/>
    </row>
    <row r="534">
      <c r="D534" s="7"/>
    </row>
    <row r="535">
      <c r="D535" s="7"/>
    </row>
    <row r="536">
      <c r="D536" s="7"/>
    </row>
    <row r="537">
      <c r="D537" s="7"/>
    </row>
    <row r="538">
      <c r="D538" s="7"/>
    </row>
    <row r="539">
      <c r="D539" s="7"/>
    </row>
    <row r="540">
      <c r="D540" s="7"/>
    </row>
    <row r="541">
      <c r="D541" s="7"/>
    </row>
    <row r="542">
      <c r="D542" s="7"/>
    </row>
    <row r="543">
      <c r="D543" s="7"/>
    </row>
    <row r="544">
      <c r="D544" s="7"/>
    </row>
    <row r="545">
      <c r="D545" s="7"/>
    </row>
    <row r="546">
      <c r="D546" s="7"/>
    </row>
    <row r="547">
      <c r="D547" s="7"/>
    </row>
    <row r="548">
      <c r="D548" s="7"/>
    </row>
    <row r="549">
      <c r="D549" s="7"/>
    </row>
    <row r="550">
      <c r="D550" s="7"/>
    </row>
    <row r="551">
      <c r="D551" s="7"/>
    </row>
    <row r="552">
      <c r="D552" s="7"/>
    </row>
    <row r="553">
      <c r="D553" s="7"/>
    </row>
    <row r="554">
      <c r="D554" s="7"/>
    </row>
    <row r="555">
      <c r="D555" s="7"/>
    </row>
    <row r="556">
      <c r="D556" s="7"/>
    </row>
    <row r="557">
      <c r="D557" s="7"/>
    </row>
    <row r="558">
      <c r="D558" s="7"/>
    </row>
    <row r="559">
      <c r="D559" s="7"/>
    </row>
    <row r="560">
      <c r="D560" s="7"/>
    </row>
    <row r="561">
      <c r="D561" s="7"/>
    </row>
    <row r="562">
      <c r="D562" s="7"/>
    </row>
    <row r="563">
      <c r="D563" s="7"/>
    </row>
    <row r="564">
      <c r="D564" s="7"/>
    </row>
    <row r="565">
      <c r="D565" s="7"/>
    </row>
    <row r="566">
      <c r="D566" s="7"/>
    </row>
    <row r="567">
      <c r="D567" s="7"/>
    </row>
    <row r="568">
      <c r="D568" s="7"/>
    </row>
    <row r="569">
      <c r="D569" s="7"/>
    </row>
    <row r="570">
      <c r="D570" s="7"/>
    </row>
    <row r="571">
      <c r="D571" s="7"/>
    </row>
    <row r="572">
      <c r="D572" s="7"/>
    </row>
    <row r="573">
      <c r="D573" s="7"/>
    </row>
    <row r="574">
      <c r="D574" s="7"/>
    </row>
    <row r="575">
      <c r="D575" s="7"/>
    </row>
    <row r="576">
      <c r="D576" s="7"/>
    </row>
    <row r="577">
      <c r="D577" s="7"/>
    </row>
    <row r="578">
      <c r="D578" s="7"/>
    </row>
    <row r="579">
      <c r="D579" s="7"/>
    </row>
    <row r="580">
      <c r="D580" s="7"/>
    </row>
    <row r="581">
      <c r="D581" s="7"/>
    </row>
    <row r="582">
      <c r="D582" s="7"/>
    </row>
    <row r="583">
      <c r="D583" s="7"/>
    </row>
    <row r="584">
      <c r="D584" s="7"/>
    </row>
    <row r="585">
      <c r="D585" s="7"/>
    </row>
    <row r="586">
      <c r="D586" s="7"/>
    </row>
    <row r="587">
      <c r="D587" s="7"/>
    </row>
    <row r="588">
      <c r="D588" s="7"/>
    </row>
    <row r="589">
      <c r="D589" s="7"/>
    </row>
    <row r="590">
      <c r="D590" s="7"/>
    </row>
    <row r="591">
      <c r="D591" s="7"/>
    </row>
    <row r="592">
      <c r="D592" s="7"/>
    </row>
    <row r="593">
      <c r="D593" s="7"/>
    </row>
    <row r="594">
      <c r="D594" s="7"/>
    </row>
    <row r="595">
      <c r="D595" s="7"/>
    </row>
    <row r="596">
      <c r="D596" s="7"/>
    </row>
    <row r="597">
      <c r="D597" s="7"/>
    </row>
    <row r="598">
      <c r="D598" s="7"/>
    </row>
    <row r="599">
      <c r="D599" s="7"/>
    </row>
    <row r="600">
      <c r="D600" s="7"/>
    </row>
    <row r="601">
      <c r="D601" s="7"/>
    </row>
    <row r="602">
      <c r="D602" s="7"/>
    </row>
    <row r="603">
      <c r="D603" s="7"/>
    </row>
    <row r="604">
      <c r="D604" s="7"/>
    </row>
    <row r="605">
      <c r="D605" s="7"/>
    </row>
    <row r="606">
      <c r="D606" s="7"/>
    </row>
    <row r="607">
      <c r="D607" s="7"/>
    </row>
    <row r="608">
      <c r="D608" s="7"/>
    </row>
    <row r="609">
      <c r="D609" s="7"/>
    </row>
    <row r="610">
      <c r="D610" s="7"/>
    </row>
    <row r="611">
      <c r="D611" s="7"/>
    </row>
    <row r="612">
      <c r="D612" s="7"/>
    </row>
    <row r="613">
      <c r="D613" s="7"/>
    </row>
    <row r="614">
      <c r="D614" s="7"/>
    </row>
    <row r="615">
      <c r="D615" s="7"/>
    </row>
    <row r="616">
      <c r="D616" s="7"/>
    </row>
    <row r="617">
      <c r="D617" s="7"/>
    </row>
    <row r="618">
      <c r="D618" s="7"/>
    </row>
    <row r="619">
      <c r="D619" s="7"/>
    </row>
    <row r="620">
      <c r="D620" s="7"/>
    </row>
    <row r="621">
      <c r="D621" s="7"/>
    </row>
    <row r="622">
      <c r="D622" s="7"/>
    </row>
    <row r="623">
      <c r="D623" s="7"/>
    </row>
    <row r="624">
      <c r="D624" s="7"/>
    </row>
    <row r="625">
      <c r="D625" s="7"/>
    </row>
    <row r="626">
      <c r="D626" s="7"/>
    </row>
    <row r="627">
      <c r="D627" s="7"/>
    </row>
    <row r="628">
      <c r="D628" s="7"/>
    </row>
    <row r="629">
      <c r="D629" s="7"/>
    </row>
    <row r="630">
      <c r="D630" s="7"/>
    </row>
    <row r="631">
      <c r="D631" s="7"/>
    </row>
    <row r="632">
      <c r="D632" s="7"/>
    </row>
    <row r="633">
      <c r="D633" s="7"/>
    </row>
    <row r="634">
      <c r="D634" s="7"/>
    </row>
    <row r="635">
      <c r="D635" s="7"/>
    </row>
    <row r="636">
      <c r="D636" s="7"/>
    </row>
    <row r="637">
      <c r="D637" s="7"/>
    </row>
    <row r="638">
      <c r="D638" s="7"/>
    </row>
    <row r="639">
      <c r="D639" s="7"/>
    </row>
    <row r="640">
      <c r="D640" s="7"/>
    </row>
    <row r="641">
      <c r="D641" s="7"/>
    </row>
    <row r="642">
      <c r="D642" s="7"/>
    </row>
    <row r="643">
      <c r="D643" s="7"/>
    </row>
    <row r="644">
      <c r="D644" s="7"/>
    </row>
    <row r="645">
      <c r="D645" s="7"/>
    </row>
    <row r="646">
      <c r="D646" s="7"/>
    </row>
    <row r="647">
      <c r="D647" s="7"/>
    </row>
    <row r="648">
      <c r="D648" s="7"/>
    </row>
    <row r="649">
      <c r="D649" s="7"/>
    </row>
    <row r="650">
      <c r="D650" s="7"/>
    </row>
    <row r="651">
      <c r="D651" s="7"/>
    </row>
    <row r="652">
      <c r="D652" s="7"/>
    </row>
    <row r="653">
      <c r="D653" s="7"/>
    </row>
    <row r="654">
      <c r="D654" s="7"/>
    </row>
    <row r="655">
      <c r="D655" s="7"/>
    </row>
    <row r="656">
      <c r="D656" s="7"/>
    </row>
    <row r="657">
      <c r="D657" s="7"/>
    </row>
    <row r="658">
      <c r="D658" s="7"/>
    </row>
    <row r="659">
      <c r="D659" s="7"/>
    </row>
    <row r="660">
      <c r="D660" s="7"/>
    </row>
    <row r="661">
      <c r="D661" s="7"/>
    </row>
    <row r="662">
      <c r="D662" s="7"/>
    </row>
    <row r="663">
      <c r="D663" s="7"/>
    </row>
    <row r="664">
      <c r="D664" s="7"/>
    </row>
    <row r="665">
      <c r="D665" s="7"/>
    </row>
    <row r="666">
      <c r="D666" s="7"/>
    </row>
    <row r="667">
      <c r="D667" s="7"/>
    </row>
    <row r="668">
      <c r="D668" s="7"/>
    </row>
    <row r="669">
      <c r="D669" s="7"/>
    </row>
    <row r="670">
      <c r="D670" s="7"/>
    </row>
    <row r="671">
      <c r="D671" s="7"/>
    </row>
    <row r="672">
      <c r="D672" s="7"/>
    </row>
    <row r="673">
      <c r="D673" s="7"/>
    </row>
    <row r="674">
      <c r="D674" s="7"/>
    </row>
    <row r="675">
      <c r="D675" s="7"/>
    </row>
    <row r="676">
      <c r="D676" s="7"/>
    </row>
    <row r="677">
      <c r="D677" s="7"/>
    </row>
    <row r="678">
      <c r="D678" s="7"/>
    </row>
    <row r="679">
      <c r="D679" s="7"/>
    </row>
    <row r="680">
      <c r="D680" s="7"/>
    </row>
    <row r="681">
      <c r="D681" s="7"/>
    </row>
    <row r="682">
      <c r="D682" s="7"/>
    </row>
    <row r="683">
      <c r="D683" s="7"/>
    </row>
    <row r="684">
      <c r="D684" s="7"/>
    </row>
    <row r="685">
      <c r="D685" s="7"/>
    </row>
    <row r="686">
      <c r="D686" s="7"/>
    </row>
    <row r="687">
      <c r="D687" s="7"/>
    </row>
    <row r="688">
      <c r="D688" s="7"/>
    </row>
    <row r="689">
      <c r="D689" s="7"/>
    </row>
    <row r="690">
      <c r="D690" s="7"/>
    </row>
    <row r="691">
      <c r="D691" s="7"/>
    </row>
    <row r="692">
      <c r="D692" s="7"/>
    </row>
    <row r="693">
      <c r="D693" s="7"/>
    </row>
    <row r="694">
      <c r="D694" s="7"/>
    </row>
    <row r="695">
      <c r="D695" s="7"/>
    </row>
    <row r="696">
      <c r="D696" s="7"/>
    </row>
    <row r="697">
      <c r="D697" s="7"/>
    </row>
    <row r="698">
      <c r="D698" s="7"/>
    </row>
    <row r="699">
      <c r="D699" s="7"/>
    </row>
    <row r="700">
      <c r="D700" s="7"/>
    </row>
    <row r="701">
      <c r="D701" s="7"/>
    </row>
    <row r="702">
      <c r="D702" s="7"/>
    </row>
    <row r="703">
      <c r="D703" s="7"/>
    </row>
    <row r="704">
      <c r="D704" s="7"/>
    </row>
    <row r="705">
      <c r="D705" s="7"/>
    </row>
    <row r="706">
      <c r="D706" s="7"/>
    </row>
    <row r="707">
      <c r="D707" s="7"/>
    </row>
    <row r="708">
      <c r="D708" s="7"/>
    </row>
    <row r="709">
      <c r="D709" s="7"/>
    </row>
    <row r="710">
      <c r="D710" s="7"/>
    </row>
    <row r="711">
      <c r="D711" s="7"/>
    </row>
    <row r="712">
      <c r="D712" s="7"/>
    </row>
    <row r="713">
      <c r="D713" s="7"/>
    </row>
    <row r="714">
      <c r="D714" s="7"/>
    </row>
    <row r="715">
      <c r="D715" s="7"/>
    </row>
    <row r="716">
      <c r="D716" s="7"/>
    </row>
    <row r="717">
      <c r="D717" s="7"/>
    </row>
    <row r="718">
      <c r="D718" s="7"/>
    </row>
    <row r="719">
      <c r="D719" s="7"/>
    </row>
    <row r="720">
      <c r="D720" s="7"/>
    </row>
    <row r="721">
      <c r="D721" s="7"/>
    </row>
    <row r="722">
      <c r="D722" s="7"/>
    </row>
    <row r="723">
      <c r="D723" s="7"/>
    </row>
    <row r="724">
      <c r="D724" s="7"/>
    </row>
    <row r="725">
      <c r="D725" s="7"/>
    </row>
    <row r="726">
      <c r="D726" s="7"/>
    </row>
    <row r="727">
      <c r="D727" s="7"/>
    </row>
    <row r="728">
      <c r="D728" s="7"/>
    </row>
    <row r="729">
      <c r="D729" s="7"/>
    </row>
    <row r="730">
      <c r="D730" s="7"/>
    </row>
    <row r="731">
      <c r="D731" s="7"/>
    </row>
    <row r="732">
      <c r="D732" s="7"/>
    </row>
    <row r="733">
      <c r="D733" s="7"/>
    </row>
    <row r="734">
      <c r="D734" s="7"/>
    </row>
    <row r="735">
      <c r="D735" s="7"/>
    </row>
    <row r="736">
      <c r="D736" s="7"/>
    </row>
    <row r="737">
      <c r="D737" s="7"/>
    </row>
    <row r="738">
      <c r="D738" s="7"/>
    </row>
    <row r="739">
      <c r="D739" s="7"/>
    </row>
    <row r="740">
      <c r="D740" s="7"/>
    </row>
    <row r="741">
      <c r="D741" s="7"/>
    </row>
    <row r="742">
      <c r="D742" s="7"/>
    </row>
    <row r="743">
      <c r="D743" s="7"/>
    </row>
    <row r="744">
      <c r="D744" s="7"/>
    </row>
    <row r="745">
      <c r="D745" s="7"/>
    </row>
    <row r="746">
      <c r="D746" s="7"/>
    </row>
    <row r="747">
      <c r="D747" s="7"/>
    </row>
    <row r="748">
      <c r="D748" s="7"/>
    </row>
    <row r="749">
      <c r="D749" s="7"/>
    </row>
    <row r="750">
      <c r="D750" s="7"/>
    </row>
    <row r="751">
      <c r="D751" s="7"/>
    </row>
    <row r="752">
      <c r="D752" s="7"/>
    </row>
    <row r="753">
      <c r="D753" s="7"/>
    </row>
    <row r="754">
      <c r="D754" s="7"/>
    </row>
    <row r="755">
      <c r="D755" s="7"/>
    </row>
    <row r="756">
      <c r="D756" s="7"/>
    </row>
    <row r="757">
      <c r="D757" s="7"/>
    </row>
    <row r="758">
      <c r="D758" s="7"/>
    </row>
    <row r="759">
      <c r="D759" s="7"/>
    </row>
    <row r="760">
      <c r="D760" s="7"/>
    </row>
    <row r="761">
      <c r="D761" s="7"/>
    </row>
    <row r="762">
      <c r="D762" s="7"/>
    </row>
    <row r="763">
      <c r="D763" s="7"/>
    </row>
    <row r="764">
      <c r="D764" s="7"/>
    </row>
    <row r="765">
      <c r="D765" s="7"/>
    </row>
    <row r="766">
      <c r="D766" s="7"/>
    </row>
    <row r="767">
      <c r="D767" s="7"/>
    </row>
    <row r="768">
      <c r="D768" s="7"/>
    </row>
    <row r="769">
      <c r="D769" s="7"/>
    </row>
    <row r="770">
      <c r="D770" s="7"/>
    </row>
    <row r="771">
      <c r="D771" s="7"/>
    </row>
    <row r="772">
      <c r="D772" s="7"/>
    </row>
    <row r="773">
      <c r="D773" s="7"/>
    </row>
    <row r="774">
      <c r="D774" s="7"/>
    </row>
    <row r="775">
      <c r="D775" s="7"/>
    </row>
    <row r="776">
      <c r="D776" s="7"/>
    </row>
    <row r="777">
      <c r="D777" s="7"/>
    </row>
    <row r="778">
      <c r="D778" s="7"/>
    </row>
    <row r="779">
      <c r="D779" s="7"/>
    </row>
    <row r="780">
      <c r="D780" s="7"/>
    </row>
    <row r="781">
      <c r="D781" s="7"/>
    </row>
    <row r="782">
      <c r="D782" s="7"/>
    </row>
    <row r="783">
      <c r="D783" s="7"/>
    </row>
    <row r="784">
      <c r="D784" s="7"/>
    </row>
    <row r="785">
      <c r="D785" s="7"/>
    </row>
    <row r="786">
      <c r="D786" s="7"/>
    </row>
    <row r="787">
      <c r="D787" s="7"/>
    </row>
    <row r="788">
      <c r="D788" s="7"/>
    </row>
    <row r="789">
      <c r="D789" s="7"/>
    </row>
    <row r="790">
      <c r="D790" s="7"/>
    </row>
    <row r="791">
      <c r="D791" s="7"/>
    </row>
    <row r="792">
      <c r="D792" s="7"/>
    </row>
    <row r="793">
      <c r="D793" s="7"/>
    </row>
    <row r="794">
      <c r="D794" s="7"/>
    </row>
    <row r="795">
      <c r="D795" s="7"/>
    </row>
    <row r="796">
      <c r="D796" s="7"/>
    </row>
    <row r="797">
      <c r="D797" s="7"/>
    </row>
    <row r="798">
      <c r="D798" s="7"/>
    </row>
    <row r="799">
      <c r="D799" s="7"/>
    </row>
    <row r="800">
      <c r="D800" s="7"/>
    </row>
    <row r="801">
      <c r="D801" s="7"/>
    </row>
    <row r="802">
      <c r="D802" s="7"/>
    </row>
    <row r="803">
      <c r="D803" s="7"/>
    </row>
    <row r="804">
      <c r="D804" s="7"/>
    </row>
    <row r="805">
      <c r="D805" s="7"/>
    </row>
    <row r="806">
      <c r="D806" s="7"/>
    </row>
    <row r="807">
      <c r="D807" s="7"/>
    </row>
    <row r="808">
      <c r="D808" s="7"/>
    </row>
    <row r="809">
      <c r="D809" s="7"/>
    </row>
    <row r="810">
      <c r="D810" s="7"/>
    </row>
    <row r="811">
      <c r="D811" s="7"/>
    </row>
    <row r="812">
      <c r="D812" s="7"/>
    </row>
    <row r="813">
      <c r="D813" s="7"/>
    </row>
    <row r="814">
      <c r="D814" s="7"/>
    </row>
    <row r="815">
      <c r="D815" s="7"/>
    </row>
    <row r="816">
      <c r="D816" s="7"/>
    </row>
    <row r="817">
      <c r="D817" s="7"/>
    </row>
    <row r="818">
      <c r="D818" s="7"/>
    </row>
    <row r="819">
      <c r="D819" s="7"/>
    </row>
    <row r="820">
      <c r="D820" s="7"/>
    </row>
    <row r="821">
      <c r="D821" s="7"/>
    </row>
    <row r="822">
      <c r="D822" s="7"/>
    </row>
    <row r="823">
      <c r="D823" s="7"/>
    </row>
    <row r="824">
      <c r="D824" s="7"/>
    </row>
    <row r="825">
      <c r="D825" s="7"/>
    </row>
    <row r="826">
      <c r="D826" s="7"/>
    </row>
    <row r="827">
      <c r="D827" s="7"/>
    </row>
    <row r="828">
      <c r="D828" s="7"/>
    </row>
    <row r="829">
      <c r="D829" s="7"/>
    </row>
    <row r="830">
      <c r="D830" s="7"/>
    </row>
    <row r="831">
      <c r="D831" s="7"/>
    </row>
    <row r="832">
      <c r="D832" s="7"/>
    </row>
    <row r="833">
      <c r="D833" s="7"/>
    </row>
    <row r="834">
      <c r="D834" s="7"/>
    </row>
    <row r="835">
      <c r="D835" s="7"/>
    </row>
    <row r="836">
      <c r="D836" s="7"/>
    </row>
    <row r="837">
      <c r="D837" s="7"/>
    </row>
    <row r="838">
      <c r="D838" s="7"/>
    </row>
    <row r="839">
      <c r="D839" s="7"/>
    </row>
    <row r="840">
      <c r="D840" s="7"/>
    </row>
    <row r="841">
      <c r="D841" s="7"/>
    </row>
    <row r="842">
      <c r="D842" s="7"/>
    </row>
    <row r="843">
      <c r="D843" s="7"/>
    </row>
    <row r="844">
      <c r="D844" s="7"/>
    </row>
    <row r="845">
      <c r="D845" s="7"/>
    </row>
    <row r="846">
      <c r="D846" s="7"/>
    </row>
    <row r="847">
      <c r="D847" s="7"/>
    </row>
    <row r="848">
      <c r="D848" s="7"/>
    </row>
    <row r="849">
      <c r="D849" s="7"/>
    </row>
    <row r="850">
      <c r="D850" s="7"/>
    </row>
    <row r="851">
      <c r="D851" s="7"/>
    </row>
    <row r="852">
      <c r="D852" s="7"/>
    </row>
    <row r="853">
      <c r="D853" s="7"/>
    </row>
    <row r="854">
      <c r="D854" s="7"/>
    </row>
    <row r="855">
      <c r="D855" s="7"/>
    </row>
    <row r="856">
      <c r="D856" s="7"/>
    </row>
    <row r="857">
      <c r="D857" s="7"/>
    </row>
    <row r="858">
      <c r="D858" s="7"/>
    </row>
    <row r="859">
      <c r="D859" s="7"/>
    </row>
    <row r="860">
      <c r="D860" s="7"/>
    </row>
    <row r="861">
      <c r="D861" s="7"/>
    </row>
    <row r="862">
      <c r="D862" s="7"/>
    </row>
    <row r="863">
      <c r="D863" s="7"/>
    </row>
    <row r="864">
      <c r="D864" s="7"/>
    </row>
    <row r="865">
      <c r="D865" s="7"/>
    </row>
    <row r="866">
      <c r="D866" s="7"/>
    </row>
    <row r="867">
      <c r="D867" s="7"/>
    </row>
    <row r="868">
      <c r="D868" s="7"/>
    </row>
    <row r="869">
      <c r="D869" s="7"/>
    </row>
    <row r="870">
      <c r="D870" s="7"/>
    </row>
    <row r="871">
      <c r="D871" s="7"/>
    </row>
    <row r="872">
      <c r="D872" s="7"/>
    </row>
    <row r="873">
      <c r="D873" s="7"/>
    </row>
    <row r="874">
      <c r="D874" s="7"/>
    </row>
    <row r="875">
      <c r="D875" s="7"/>
    </row>
    <row r="876">
      <c r="D876" s="7"/>
    </row>
    <row r="877">
      <c r="D877" s="7"/>
    </row>
    <row r="878">
      <c r="D878" s="7"/>
    </row>
    <row r="879">
      <c r="D879" s="7"/>
    </row>
    <row r="880">
      <c r="D880" s="7"/>
    </row>
    <row r="881">
      <c r="D881" s="7"/>
    </row>
    <row r="882">
      <c r="D882" s="7"/>
    </row>
    <row r="883">
      <c r="D883" s="7"/>
    </row>
    <row r="884">
      <c r="D884" s="7"/>
    </row>
    <row r="885">
      <c r="D885" s="7"/>
    </row>
    <row r="886">
      <c r="D886" s="7"/>
    </row>
    <row r="887">
      <c r="D887" s="7"/>
    </row>
    <row r="888">
      <c r="D888" s="7"/>
    </row>
    <row r="889">
      <c r="D889" s="7"/>
    </row>
    <row r="890">
      <c r="D890" s="7"/>
    </row>
    <row r="891">
      <c r="D891" s="7"/>
    </row>
    <row r="892">
      <c r="D892" s="7"/>
    </row>
    <row r="893">
      <c r="D893" s="7"/>
    </row>
    <row r="894">
      <c r="D894" s="7"/>
    </row>
    <row r="895">
      <c r="D895" s="7"/>
    </row>
    <row r="896">
      <c r="D896" s="7"/>
    </row>
    <row r="897">
      <c r="D897" s="7"/>
    </row>
    <row r="898">
      <c r="D898" s="7"/>
    </row>
    <row r="899">
      <c r="D899" s="7"/>
    </row>
    <row r="900">
      <c r="D900" s="7"/>
    </row>
    <row r="901">
      <c r="D901" s="7"/>
    </row>
    <row r="902">
      <c r="D902" s="7"/>
    </row>
    <row r="903">
      <c r="D903" s="7"/>
    </row>
    <row r="904">
      <c r="D904" s="7"/>
    </row>
    <row r="905">
      <c r="D905" s="7"/>
    </row>
    <row r="906">
      <c r="D906" s="7"/>
    </row>
    <row r="907">
      <c r="D907" s="7"/>
    </row>
    <row r="908">
      <c r="D908" s="7"/>
    </row>
    <row r="909">
      <c r="D909" s="7"/>
    </row>
    <row r="910">
      <c r="D910" s="7"/>
    </row>
    <row r="911">
      <c r="D911" s="7"/>
    </row>
    <row r="912">
      <c r="D912" s="7"/>
    </row>
    <row r="913">
      <c r="D913" s="7"/>
    </row>
    <row r="914">
      <c r="D914" s="7"/>
    </row>
    <row r="915">
      <c r="D915" s="7"/>
    </row>
    <row r="916">
      <c r="D916" s="7"/>
    </row>
    <row r="917">
      <c r="D917" s="7"/>
    </row>
    <row r="918">
      <c r="D918" s="7"/>
    </row>
    <row r="919">
      <c r="D919" s="7"/>
    </row>
    <row r="920">
      <c r="D920" s="7"/>
    </row>
    <row r="921">
      <c r="D921" s="7"/>
    </row>
    <row r="922">
      <c r="D922" s="7"/>
    </row>
    <row r="923">
      <c r="D923" s="7"/>
    </row>
    <row r="924">
      <c r="D924" s="7"/>
    </row>
    <row r="925">
      <c r="D925" s="7"/>
    </row>
    <row r="926">
      <c r="D926" s="7"/>
    </row>
    <row r="927">
      <c r="D927" s="7"/>
    </row>
    <row r="928">
      <c r="D928" s="7"/>
    </row>
    <row r="929">
      <c r="D929" s="7"/>
    </row>
    <row r="930">
      <c r="D930" s="7"/>
    </row>
    <row r="931">
      <c r="D931" s="7"/>
    </row>
    <row r="932">
      <c r="D932" s="7"/>
    </row>
    <row r="933">
      <c r="D933" s="7"/>
    </row>
    <row r="934">
      <c r="D934" s="7"/>
    </row>
    <row r="935">
      <c r="D935" s="7"/>
    </row>
    <row r="936">
      <c r="D936" s="7"/>
    </row>
    <row r="937">
      <c r="D937" s="7"/>
    </row>
    <row r="938">
      <c r="D938" s="7"/>
    </row>
    <row r="939">
      <c r="D939" s="7"/>
    </row>
    <row r="940">
      <c r="D940" s="7"/>
    </row>
    <row r="941">
      <c r="D941" s="7"/>
    </row>
    <row r="942">
      <c r="D942" s="7"/>
    </row>
    <row r="943">
      <c r="D943" s="7"/>
    </row>
    <row r="944">
      <c r="D944" s="7"/>
    </row>
    <row r="945">
      <c r="D945" s="7"/>
    </row>
    <row r="946">
      <c r="D946" s="7"/>
    </row>
    <row r="947">
      <c r="D947" s="7"/>
    </row>
    <row r="948">
      <c r="D948" s="7"/>
    </row>
    <row r="949">
      <c r="D949" s="7"/>
    </row>
    <row r="950">
      <c r="D950" s="7"/>
    </row>
    <row r="951">
      <c r="D951" s="7"/>
    </row>
    <row r="952">
      <c r="D952" s="7"/>
    </row>
    <row r="953">
      <c r="D953" s="7"/>
    </row>
    <row r="954">
      <c r="D954" s="7"/>
    </row>
    <row r="955">
      <c r="D955" s="7"/>
    </row>
    <row r="956">
      <c r="D956" s="7"/>
    </row>
    <row r="957">
      <c r="D957" s="7"/>
    </row>
    <row r="958">
      <c r="D958" s="7"/>
    </row>
    <row r="959">
      <c r="D959" s="7"/>
    </row>
    <row r="960">
      <c r="D960" s="7"/>
    </row>
    <row r="961">
      <c r="D961" s="7"/>
    </row>
    <row r="962">
      <c r="D962" s="7"/>
    </row>
    <row r="963">
      <c r="D963" s="7"/>
    </row>
    <row r="964">
      <c r="D964" s="7"/>
    </row>
    <row r="965">
      <c r="D965" s="7"/>
    </row>
    <row r="966">
      <c r="D966" s="7"/>
    </row>
    <row r="967">
      <c r="D967" s="7"/>
    </row>
    <row r="968">
      <c r="D968" s="7"/>
    </row>
    <row r="969">
      <c r="D969" s="7"/>
    </row>
    <row r="970">
      <c r="D970" s="7"/>
    </row>
    <row r="971">
      <c r="D971" s="7"/>
    </row>
    <row r="972">
      <c r="D972" s="7"/>
    </row>
    <row r="973">
      <c r="D973" s="7"/>
    </row>
    <row r="974">
      <c r="D974" s="7"/>
    </row>
    <row r="975">
      <c r="D975" s="7"/>
    </row>
    <row r="976">
      <c r="D976" s="7"/>
    </row>
    <row r="977">
      <c r="D977" s="7"/>
    </row>
    <row r="978">
      <c r="D978" s="7"/>
    </row>
    <row r="979">
      <c r="D979" s="7"/>
    </row>
    <row r="980">
      <c r="D980" s="7"/>
    </row>
    <row r="981">
      <c r="D981" s="7"/>
    </row>
    <row r="982">
      <c r="D982" s="7"/>
    </row>
    <row r="983">
      <c r="D983" s="7"/>
    </row>
    <row r="984">
      <c r="D984" s="7"/>
    </row>
    <row r="985">
      <c r="D985" s="7"/>
    </row>
    <row r="986">
      <c r="D986" s="7"/>
    </row>
    <row r="987">
      <c r="D987" s="7"/>
    </row>
    <row r="988">
      <c r="D988" s="7"/>
    </row>
    <row r="989">
      <c r="D989" s="7"/>
    </row>
    <row r="990">
      <c r="D990" s="7"/>
    </row>
    <row r="991">
      <c r="D991" s="7"/>
    </row>
    <row r="992">
      <c r="D992" s="7"/>
    </row>
    <row r="993">
      <c r="D993" s="7"/>
    </row>
    <row r="994">
      <c r="D994" s="7"/>
    </row>
  </sheetData>
  <conditionalFormatting sqref="B1:B994">
    <cfRule type="expression" dxfId="0" priority="1">
      <formula>COUNTIF(B:B, B1) &gt;1</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0</v>
      </c>
      <c r="B1" s="1" t="s">
        <v>2</v>
      </c>
      <c r="C1" s="1" t="s">
        <v>3</v>
      </c>
      <c r="D1" s="1" t="s">
        <v>1</v>
      </c>
      <c r="E1" s="2" t="s">
        <v>4</v>
      </c>
      <c r="F1" s="1" t="s">
        <v>6</v>
      </c>
      <c r="G1" s="1" t="s">
        <v>7</v>
      </c>
      <c r="I1" s="1" t="s">
        <v>9</v>
      </c>
      <c r="K1" s="1" t="s">
        <v>3</v>
      </c>
      <c r="L1" s="1" t="s">
        <v>11</v>
      </c>
      <c r="M1" s="1" t="s">
        <v>13</v>
      </c>
      <c r="N1" s="1" t="s">
        <v>14</v>
      </c>
      <c r="O1" s="1" t="s">
        <v>15</v>
      </c>
      <c r="P1" s="1" t="s">
        <v>16</v>
      </c>
      <c r="Q1" s="1" t="s">
        <v>17</v>
      </c>
    </row>
    <row r="2">
      <c r="C2" s="1" t="str">
        <f t="array" ref="C2">IF(NOT(ISBLANK($A2)), (_xlfn.XLOOKUP($A2,Index!$B$2:$B$995,Index!$C$2:$C$995,"Not Found")),"")</f>
        <v/>
      </c>
      <c r="D2" s="1" t="str">
        <f t="array" ref="D2">IF(NOT(ISBLANK(A2)), (_xlfn.XLOOKUP($A2,Index!$B$2:B$995,Index!$A$2:$A$995,"Not Found")),"")</f>
        <v/>
      </c>
      <c r="E2" s="2" t="str">
        <f t="array" ref="E2">IF(NOT(ISBLANK($A2)), (_xlfn.XLOOKUP($A2,Index!$B$2:$B$995,Index!$D$2:$D$995,"Not Found")),"")</f>
        <v/>
      </c>
      <c r="F2" s="1" t="str">
        <f t="array" ref="F2">IF(NOT(ISBLANK($A2)), (_xlfn.XLOOKUP($A2,Index!$B$2:$B$995,Index!$E$2:$E$995,"Not Found")),"")</f>
        <v/>
      </c>
      <c r="G2" s="1" t="str">
        <f t="array" ref="G2">IF(NOT(ISBLANK(A2)), ((_xlfn.XLOOKUP(A2,Index!$B$2:$B$995,Index!$F$2:$F$995,"Not Found"))*B2),"")</f>
        <v/>
      </c>
      <c r="I2" s="6">
        <f>SUM(B2:B38)</f>
        <v>0</v>
      </c>
      <c r="L2" s="6" t="str">
        <f t="shared" ref="L2:L6" si="1">IF(NOT(ISBLANK(K2)), SUM(M2:P2), "")</f>
        <v/>
      </c>
      <c r="M2" s="1" t="str">
        <f t="shared" ref="M2:M5" si="2">IF(NOT(ISBLANK($K2)), SUMIFS($B$2:$B$32, $E$2:$E$32, "B", $C$2:$C$32,$K2), "")</f>
        <v/>
      </c>
      <c r="N2" s="1" t="str">
        <f t="shared" ref="N2:N5" si="3">IF(NOT(ISBLANK($K2)),SUMIFS($B$2:$B$32,$E$2:$E$32, "1", $C$2:$C$32,$K2,$F$2:$F$32,"N"), "")</f>
        <v/>
      </c>
      <c r="O2" s="1" t="str">
        <f t="shared" ref="O2:O5" si="4">IF(NOT(ISBLANK($K2)),SUMIFS($B$2:$B$32,$E$2:$E$32, "1", $C$2:$C$32,$K2,$F$2:$F$32,"Y"), "")</f>
        <v/>
      </c>
      <c r="P2" s="1" t="str">
        <f t="shared" ref="P2:P5" si="5">IF(NOT(ISBLANK($K2)),SUMIFS($B$2:$B$32,$E$2:$E$32, "2", $C$2:$C$32,$K2), "")</f>
        <v/>
      </c>
      <c r="Q2" s="1" t="str">
        <f t="shared" ref="Q2:Q5" si="6">IF(NOT(ISBLANK($K2)),SUMIFS($B$2:$B$32,$E$2:$E$32, "B", $C$2:$C$32,$K2,$F$2:$F$32,"N"), "")</f>
        <v/>
      </c>
    </row>
    <row r="3">
      <c r="C3" s="1" t="str">
        <f t="array" ref="C3">IF(NOT(ISBLANK($A3)), (_xlfn.XLOOKUP($A3,Index!$B$2:$B$995,Index!$C$2:$C$995,"Not Found")),"")</f>
        <v/>
      </c>
      <c r="D3" s="1" t="str">
        <f t="array" ref="D3">IF(NOT(ISBLANK(A3)), (_xlfn.XLOOKUP($A3,Index!$B$2:B$995,Index!$A$2:$A$995,"Not Found")),"")</f>
        <v/>
      </c>
      <c r="E3" s="2" t="str">
        <f t="array" ref="E3">IF(NOT(ISBLANK($A3)), (_xlfn.XLOOKUP($A3,Index!$B$2:$B$995,Index!$D$2:$D$995,"Not Found")),"")</f>
        <v/>
      </c>
      <c r="F3" s="1" t="str">
        <f t="array" ref="F3">IF(NOT(ISBLANK($A3)), (_xlfn.XLOOKUP($A3,Index!$B$2:$B$995,Index!$E$2:$E$995,"Not Found")),"")</f>
        <v/>
      </c>
      <c r="G3" s="1" t="str">
        <f t="array" ref="G3">IF(NOT(ISBLANK(A3)), ((_xlfn.XLOOKUP(A3,Index!$B$2:$B$995,Index!$F$2:$F$995,"Not Found"))*B3),"")</f>
        <v/>
      </c>
      <c r="L3" s="6" t="str">
        <f t="shared" si="1"/>
        <v/>
      </c>
      <c r="M3" s="1" t="str">
        <f t="shared" si="2"/>
        <v/>
      </c>
      <c r="N3" s="1" t="str">
        <f t="shared" si="3"/>
        <v/>
      </c>
      <c r="O3" s="1" t="str">
        <f t="shared" si="4"/>
        <v/>
      </c>
      <c r="P3" s="1" t="str">
        <f t="shared" si="5"/>
        <v/>
      </c>
      <c r="Q3" s="1" t="str">
        <f t="shared" si="6"/>
        <v/>
      </c>
    </row>
    <row r="4">
      <c r="C4" s="1" t="str">
        <f t="array" ref="C4">IF(NOT(ISBLANK($A4)), (_xlfn.XLOOKUP($A4,Index!$B$2:$B$995,Index!$C$2:$C$995,"Not Found")),"")</f>
        <v/>
      </c>
      <c r="D4" s="1" t="str">
        <f t="array" ref="D4">IF(NOT(ISBLANK(A4)), (_xlfn.XLOOKUP($A4,Index!$B$2:B$995,Index!$A$2:$A$995,"Not Found")),"")</f>
        <v/>
      </c>
      <c r="E4" s="2" t="str">
        <f t="array" ref="E4">IF(NOT(ISBLANK($A4)), (_xlfn.XLOOKUP($A4,Index!$B$2:$B$995,Index!$D$2:$D$995,"Not Found")),"")</f>
        <v/>
      </c>
      <c r="F4" s="1" t="str">
        <f t="array" ref="F4">IF(NOT(ISBLANK($A4)), (_xlfn.XLOOKUP($A4,Index!$B$2:$B$995,Index!$E$2:$E$995,"Not Found")),"")</f>
        <v/>
      </c>
      <c r="G4" s="1" t="str">
        <f t="array" ref="G4">IF(NOT(ISBLANK(A4)), ((_xlfn.XLOOKUP(A4,Index!$B$2:$B$995,Index!$F$2:$F$995,"Not Found"))*B4),"")</f>
        <v/>
      </c>
      <c r="L4" s="6" t="str">
        <f t="shared" si="1"/>
        <v/>
      </c>
      <c r="M4" s="1" t="str">
        <f t="shared" si="2"/>
        <v/>
      </c>
      <c r="N4" s="1" t="str">
        <f t="shared" si="3"/>
        <v/>
      </c>
      <c r="O4" s="1" t="str">
        <f t="shared" si="4"/>
        <v/>
      </c>
      <c r="P4" s="1" t="str">
        <f t="shared" si="5"/>
        <v/>
      </c>
      <c r="Q4" s="1" t="str">
        <f t="shared" si="6"/>
        <v/>
      </c>
    </row>
    <row r="5">
      <c r="C5" s="1" t="str">
        <f t="array" ref="C5">IF(NOT(ISBLANK($A5)), (_xlfn.XLOOKUP($A5,Index!$B$2:$B$995,Index!$C$2:$C$995,"Not Found")),"")</f>
        <v/>
      </c>
      <c r="D5" s="1" t="str">
        <f t="array" ref="D5">IF(NOT(ISBLANK(A5)), (_xlfn.XLOOKUP($A5,Index!$B$2:B$995,Index!$A$2:$A$995,"Not Found")),"")</f>
        <v/>
      </c>
      <c r="E5" s="2" t="str">
        <f t="array" ref="E5">IF(NOT(ISBLANK($A5)), (_xlfn.XLOOKUP($A5,Index!$B$2:$B$995,Index!$D$2:$D$995,"Not Found")),"")</f>
        <v/>
      </c>
      <c r="F5" s="1" t="str">
        <f t="array" ref="F5">IF(NOT(ISBLANK($A5)), (_xlfn.XLOOKUP($A5,Index!$B$2:$B$995,Index!$E$2:$E$995,"Not Found")),"")</f>
        <v/>
      </c>
      <c r="G5" s="1" t="str">
        <f t="array" ref="G5">IF(NOT(ISBLANK(A5)), ((_xlfn.XLOOKUP(A5,Index!$B$2:$B$995,Index!$F$2:$F$995,"Not Found"))*B5),"")</f>
        <v/>
      </c>
      <c r="L5" s="6" t="str">
        <f t="shared" si="1"/>
        <v/>
      </c>
      <c r="M5" s="1" t="str">
        <f t="shared" si="2"/>
        <v/>
      </c>
      <c r="N5" s="1" t="str">
        <f t="shared" si="3"/>
        <v/>
      </c>
      <c r="O5" s="1" t="str">
        <f t="shared" si="4"/>
        <v/>
      </c>
      <c r="P5" s="1" t="str">
        <f t="shared" si="5"/>
        <v/>
      </c>
      <c r="Q5" s="1" t="str">
        <f t="shared" si="6"/>
        <v/>
      </c>
    </row>
    <row r="6">
      <c r="C6" s="1" t="str">
        <f t="array" ref="C6">IF(NOT(ISBLANK($A6)), (_xlfn.XLOOKUP($A6,Index!$B$2:$B$995,Index!$C$2:$C$995,"Not Found")),"")</f>
        <v/>
      </c>
      <c r="D6" s="1" t="str">
        <f t="array" ref="D6">IF(NOT(ISBLANK(A6)), (_xlfn.XLOOKUP($A6,Index!$B$2:B$995,Index!$A$2:$A$995,"Not Found")),"")</f>
        <v/>
      </c>
      <c r="E6" s="2" t="str">
        <f t="array" ref="E6">IF(NOT(ISBLANK($A6)), (_xlfn.XLOOKUP($A6,Index!$B$2:$B$995,Index!$D$2:$D$995,"Not Found")),"")</f>
        <v/>
      </c>
      <c r="F6" s="1" t="str">
        <f t="array" ref="F6">IF(NOT(ISBLANK($A6)), (_xlfn.XLOOKUP($A6,Index!$B$2:$B$995,Index!$E$2:$E$995,"Not Found")),"")</f>
        <v/>
      </c>
      <c r="G6" s="1" t="str">
        <f t="array" ref="G6">IF(NOT(ISBLANK(A6)), ((_xlfn.XLOOKUP(A6,Index!$B$2:$B$995,Index!$F$2:$F$995,"Not Found"))*B6),"")</f>
        <v/>
      </c>
      <c r="L6" s="6"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C7" s="1" t="str">
        <f t="array" ref="C7">IF(NOT(ISBLANK($A7)), (_xlfn.XLOOKUP($A7,Index!$B$2:$B$995,Index!$C$2:$C$995,"Not Found")),"")</f>
        <v/>
      </c>
      <c r="D7" s="1" t="str">
        <f t="array" ref="D7">IF(NOT(ISBLANK(A7)), (_xlfn.XLOOKUP($A7,Index!$B$2:B$995,Index!$A$2:$A$995,"Not Found")),"")</f>
        <v/>
      </c>
      <c r="E7" s="2" t="str">
        <f t="array" ref="E7">IF(NOT(ISBLANK($A7)), (_xlfn.XLOOKUP($A7,Index!$B$2:$B$995,Index!$D$2:$D$995,"Not Found")),"")</f>
        <v/>
      </c>
      <c r="F7" s="1" t="str">
        <f t="array" ref="F7">IF(NOT(ISBLANK($A7)), (_xlfn.XLOOKUP($A7,Index!$B$2:$B$995,Index!$E$2:$E$995,"Not Found")),"")</f>
        <v/>
      </c>
      <c r="G7" s="1" t="str">
        <f t="array" ref="G7">IF(NOT(ISBLANK(A7)), ((_xlfn.XLOOKUP(A7,Index!$B$2:$B$995,Index!$F$2:$F$995,"Not Found"))*B7),"")</f>
        <v/>
      </c>
      <c r="K7" s="1" t="s">
        <v>724</v>
      </c>
      <c r="L7" s="6">
        <f t="shared" ref="L7:Q7" si="7">SUM(L2:L6)</f>
        <v>0</v>
      </c>
      <c r="M7" s="6">
        <f t="shared" si="7"/>
        <v>0</v>
      </c>
      <c r="N7" s="6">
        <f t="shared" si="7"/>
        <v>0</v>
      </c>
      <c r="O7" s="6">
        <f t="shared" si="7"/>
        <v>0</v>
      </c>
      <c r="P7" s="6">
        <f t="shared" si="7"/>
        <v>0</v>
      </c>
      <c r="Q7" s="6">
        <f t="shared" si="7"/>
        <v>0</v>
      </c>
    </row>
    <row r="8">
      <c r="C8" s="1" t="str">
        <f t="array" ref="C8">IF(NOT(ISBLANK($A8)), (_xlfn.XLOOKUP($A8,Index!$B$2:$B$995,Index!$C$2:$C$995,"Not Found")),"")</f>
        <v/>
      </c>
      <c r="D8" s="1" t="str">
        <f t="array" ref="D8">IF(NOT(ISBLANK(A8)), (_xlfn.XLOOKUP($A8,Index!$B$2:B$995,Index!$A$2:$A$995,"Not Found")),"")</f>
        <v/>
      </c>
      <c r="E8" s="2" t="str">
        <f t="array" ref="E8">IF(NOT(ISBLANK($A8)), (_xlfn.XLOOKUP($A8,Index!$B$2:$B$995,Index!$D$2:$D$995,"Not Found")),"")</f>
        <v/>
      </c>
      <c r="F8" s="1" t="str">
        <f t="array" ref="F8">IF(NOT(ISBLANK($A8)), (_xlfn.XLOOKUP($A8,Index!$B$2:$B$995,Index!$E$2:$E$995,"Not Found")),"")</f>
        <v/>
      </c>
      <c r="G8" s="1" t="str">
        <f t="array" ref="G8">IF(NOT(ISBLANK(A8)), ((_xlfn.XLOOKUP(A8,Index!$B$2:$B$995,Index!$F$2:$F$995,"Not Found"))*B8),"")</f>
        <v/>
      </c>
    </row>
    <row r="9">
      <c r="C9" s="1" t="str">
        <f t="array" ref="C9">IF(NOT(ISBLANK($A9)), (_xlfn.XLOOKUP($A9,Index!$B$2:$B$995,Index!$C$2:$C$995,"Not Found")),"")</f>
        <v/>
      </c>
      <c r="D9" s="1" t="str">
        <f t="array" ref="D9">IF(NOT(ISBLANK(A9)), (_xlfn.XLOOKUP($A9,Index!$B$2:B$995,Index!$A$2:$A$995,"Not Found")),"")</f>
        <v/>
      </c>
      <c r="E9" s="2" t="str">
        <f t="array" ref="E9">IF(NOT(ISBLANK($A9)), (_xlfn.XLOOKUP($A9,Index!$B$2:$B$995,Index!$D$2:$D$995,"Not Found")),"")</f>
        <v/>
      </c>
      <c r="F9" s="1" t="str">
        <f t="array" ref="F9">IF(NOT(ISBLANK($A9)), (_xlfn.XLOOKUP($A9,Index!$B$2:$B$995,Index!$E$2:$E$995,"Not Found")),"")</f>
        <v/>
      </c>
      <c r="G9" s="1" t="str">
        <f t="array" ref="G9">IF(NOT(ISBLANK(A9)), ((_xlfn.XLOOKUP(A9,Index!$B$2:$B$995,Index!$F$2:$F$995,"Not Found"))*B9),"")</f>
        <v/>
      </c>
      <c r="M9" s="1" t="s">
        <v>725</v>
      </c>
      <c r="N9" s="1" t="s">
        <v>726</v>
      </c>
      <c r="O9" s="1" t="s">
        <v>727</v>
      </c>
    </row>
    <row r="10">
      <c r="C10" s="1" t="str">
        <f t="array" ref="C10">IF(NOT(ISBLANK($A10)), (_xlfn.XLOOKUP($A10,Index!$B$2:$B$995,Index!$C$2:$C$995,"Not Found")),"")</f>
        <v/>
      </c>
      <c r="D10" s="1" t="str">
        <f t="array" ref="D10">IF(NOT(ISBLANK(A10)), (_xlfn.XLOOKUP($A10,Index!$B$2:B$995,Index!$A$2:$A$995,"Not Found")),"")</f>
        <v/>
      </c>
      <c r="E10" s="2" t="str">
        <f t="array" ref="E10">IF(NOT(ISBLANK($A10)), (_xlfn.XLOOKUP($A10,Index!$B$2:$B$995,Index!$D$2:$D$995,"Not Found")),"")</f>
        <v/>
      </c>
      <c r="F10" s="1" t="str">
        <f t="array" ref="F10">IF(NOT(ISBLANK($A10)), (_xlfn.XLOOKUP($A10,Index!$B$2:$B$995,Index!$E$2:$E$995,"Not Found")),"")</f>
        <v/>
      </c>
      <c r="G10" s="1" t="str">
        <f t="array" ref="G10">IF(NOT(ISBLANK(A10)), ((_xlfn.XLOOKUP(A10,Index!$B$2:$B$995,Index!$F$2:$F$995,"Not Found"))*B10),"")</f>
        <v/>
      </c>
      <c r="K10" s="1" t="s">
        <v>728</v>
      </c>
      <c r="L10" s="6">
        <f>SUM(M10:P10)</f>
        <v>0</v>
      </c>
      <c r="M10" s="6">
        <f>IF(NOT(ISBLANK($K10)), SUMIFS($B$2:$B$32,$E$2:$E$32, "C", $C$2:$C$32,"T"), "")</f>
        <v>0</v>
      </c>
      <c r="N10" s="6">
        <f>IF(NOT(ISBLANK($K10)), SUMIFS($B$2:$B$32,$E$2:$E$32, "U", $C$2:$C$32,"T"), "")</f>
        <v>0</v>
      </c>
      <c r="O10" s="6" t="str">
        <f>IF(NOT(ISBLANK($K$2)), SUMIFS($B$2:$B$32,$E$2:$E$32, "R", $C$2:$C$32,"T"), "")</f>
        <v/>
      </c>
    </row>
    <row r="11">
      <c r="C11" s="1" t="str">
        <f t="array" ref="C11">IF(NOT(ISBLANK($A11)), (_xlfn.XLOOKUP($A11,Index!$B$2:$B$995,Index!$C$2:$C$995,"Not Found")),"")</f>
        <v/>
      </c>
      <c r="D11" s="1" t="str">
        <f t="array" ref="D11">IF(NOT(ISBLANK(A11)), (_xlfn.XLOOKUP($A11,Index!$B$2:B$995,Index!$A$2:$A$995,"Not Found")),"")</f>
        <v/>
      </c>
      <c r="E11" s="2" t="str">
        <f t="array" ref="E11">IF(NOT(ISBLANK($A11)), (_xlfn.XLOOKUP($A11,Index!$B$2:$B$995,Index!$D$2:$D$995,"Not Found")),"")</f>
        <v/>
      </c>
      <c r="F11" s="1" t="str">
        <f t="array" ref="F11">IF(NOT(ISBLANK($A11)), (_xlfn.XLOOKUP($A11,Index!$B$2:$B$995,Index!$E$2:$E$995,"Not Found")),"")</f>
        <v/>
      </c>
      <c r="G11" s="1" t="str">
        <f t="array" ref="G11">IF(NOT(ISBLANK(A11)), ((_xlfn.XLOOKUP(A11,Index!$B$2:$B$995,Index!$F$2:$F$995,"Not Found"))*B11),"")</f>
        <v/>
      </c>
      <c r="K11" s="1" t="s">
        <v>289</v>
      </c>
      <c r="L11" s="1" t="str">
        <f>IF(NOT(ISBLANK($K$2)), SUMIFS($B$2:$B$32, $C$2:$C$32,"Energy"), "")</f>
        <v/>
      </c>
    </row>
    <row r="12">
      <c r="C12" s="1" t="str">
        <f t="array" ref="C12">IF(NOT(ISBLANK($A12)), (_xlfn.XLOOKUP($A12,Index!$B$2:$B$995,Index!$C$2:$C$995,"Not Found")),"")</f>
        <v/>
      </c>
      <c r="D12" s="1" t="str">
        <f t="array" ref="D12">IF(NOT(ISBLANK(A12)), (_xlfn.XLOOKUP($A12,Index!$B$2:B$995,Index!$A$2:$A$995,"Not Found")),"")</f>
        <v/>
      </c>
      <c r="E12" s="2" t="str">
        <f t="array" ref="E12">IF(NOT(ISBLANK($A12)), (_xlfn.XLOOKUP($A12,Index!$B$2:$B$995,Index!$D$2:$D$995,"Not Found")),"")</f>
        <v/>
      </c>
      <c r="F12" s="1" t="str">
        <f t="array" ref="F12">IF(NOT(ISBLANK($A12)), (_xlfn.XLOOKUP($A12,Index!$B$2:$B$995,Index!$E$2:$E$995,"Not Found")),"")</f>
        <v/>
      </c>
      <c r="G12" s="1" t="str">
        <f t="array" ref="G12">IF(NOT(ISBLANK(A12)), ((_xlfn.XLOOKUP(A12,Index!$B$2:$B$995,Index!$F$2:$F$995,"Not Found"))*B12),"")</f>
        <v/>
      </c>
      <c r="K12" s="1" t="s">
        <v>729</v>
      </c>
      <c r="L12" s="6">
        <f>L7</f>
        <v>0</v>
      </c>
    </row>
    <row r="13">
      <c r="C13" s="1" t="str">
        <f t="array" ref="C13">IF(NOT(ISBLANK($A13)), (_xlfn.XLOOKUP($A13,Index!$B$2:$B$995,Index!$C$2:$C$995,"Not Found")),"")</f>
        <v/>
      </c>
      <c r="D13" s="1" t="str">
        <f t="array" ref="D13">IF(NOT(ISBLANK(A13)), (_xlfn.XLOOKUP($A13,Index!$B$2:B$995,Index!$A$2:$A$995,"Not Found")),"")</f>
        <v/>
      </c>
      <c r="E13" s="2" t="str">
        <f t="array" ref="E13">IF(NOT(ISBLANK($A13)), (_xlfn.XLOOKUP($A13,Index!$B$2:$B$995,Index!$D$2:$D$995,"Not Found")),"")</f>
        <v/>
      </c>
      <c r="F13" s="1" t="str">
        <f t="array" ref="F13">IF(NOT(ISBLANK($A13)), (_xlfn.XLOOKUP($A13,Index!$B$2:$B$995,Index!$E$2:$E$995,"Not Found")),"")</f>
        <v/>
      </c>
      <c r="G13" s="1" t="str">
        <f t="array" ref="G13">IF(NOT(ISBLANK(A13)), ((_xlfn.XLOOKUP(A13,Index!$B$2:$B$995,Index!$F$2:$F$995,"Not Found"))*B13),"")</f>
        <v/>
      </c>
    </row>
    <row r="14">
      <c r="C14" s="1" t="str">
        <f t="array" ref="C14">IF(NOT(ISBLANK($A14)), (_xlfn.XLOOKUP($A14,Index!$B$2:$B$995,Index!$C$2:$C$995,"Not Found")),"")</f>
        <v/>
      </c>
      <c r="D14" s="1" t="str">
        <f t="array" ref="D14">IF(NOT(ISBLANK(A14)), (_xlfn.XLOOKUP($A14,Index!$B$2:B$995,Index!$A$2:$A$995,"Not Found")),"")</f>
        <v/>
      </c>
      <c r="E14" s="2" t="str">
        <f t="array" ref="E14">IF(NOT(ISBLANK($A14)), (_xlfn.XLOOKUP($A14,Index!$B$2:$B$995,Index!$D$2:$D$995,"Not Found")),"")</f>
        <v/>
      </c>
      <c r="F14" s="1" t="str">
        <f t="array" ref="F14">IF(NOT(ISBLANK($A14)), (_xlfn.XLOOKUP($A14,Index!$B$2:$B$995,Index!$E$2:$E$995,"Not Found")),"")</f>
        <v/>
      </c>
      <c r="G14" s="1" t="str">
        <f t="array" ref="G14">IF(NOT(ISBLANK(A14)), ((_xlfn.XLOOKUP(A14,Index!$B$2:$B$995,Index!$F$2:$F$995,"Not Found"))*B14),"")</f>
        <v/>
      </c>
    </row>
    <row r="15">
      <c r="C15" s="1" t="str">
        <f t="array" ref="C15">IF(NOT(ISBLANK($A15)), (_xlfn.XLOOKUP($A15,Index!$B$2:$B$995,Index!$C$2:$C$995,"Not Found")),"")</f>
        <v/>
      </c>
      <c r="D15" s="1" t="str">
        <f t="array" ref="D15">IF(NOT(ISBLANK(A15)), (_xlfn.XLOOKUP($A15,Index!$B$2:B$995,Index!$A$2:$A$995,"Not Found")),"")</f>
        <v/>
      </c>
      <c r="E15" s="2" t="str">
        <f t="array" ref="E15">IF(NOT(ISBLANK($A15)), (_xlfn.XLOOKUP($A15,Index!$B$2:$B$995,Index!$D$2:$D$995,"Not Found")),"")</f>
        <v/>
      </c>
      <c r="F15" s="1" t="str">
        <f t="array" ref="F15">IF(NOT(ISBLANK($A15)), (_xlfn.XLOOKUP($A15,Index!$B$2:$B$995,Index!$E$2:$E$995,"Not Found")),"")</f>
        <v/>
      </c>
      <c r="G15" s="1" t="str">
        <f t="array" ref="G15">IF(NOT(ISBLANK(A15)), ((_xlfn.XLOOKUP(A15,Index!$B$2:$B$995,Index!$F$2:$F$995,"Not Found"))*B15),"")</f>
        <v/>
      </c>
      <c r="K15" s="1" t="s">
        <v>730</v>
      </c>
    </row>
    <row r="16">
      <c r="C16" s="1" t="str">
        <f t="array" ref="C16">IF(NOT(ISBLANK($A16)), (_xlfn.XLOOKUP($A16,Index!$B$2:$B$995,Index!$C$2:$C$995,"Not Found")),"")</f>
        <v/>
      </c>
      <c r="D16" s="1" t="str">
        <f t="array" ref="D16">IF(NOT(ISBLANK(A16)), (_xlfn.XLOOKUP($A16,Index!$B$2:B$995,Index!$A$2:$A$995,"Not Found")),"")</f>
        <v/>
      </c>
      <c r="E16" s="2" t="str">
        <f t="array" ref="E16">IF(NOT(ISBLANK($A16)), (_xlfn.XLOOKUP($A16,Index!$B$2:$B$995,Index!$D$2:$D$995,"Not Found")),"")</f>
        <v/>
      </c>
      <c r="F16" s="1" t="str">
        <f t="array" ref="F16">IF(NOT(ISBLANK($A16)), (_xlfn.XLOOKUP($A16,Index!$B$2:$B$995,Index!$E$2:$E$995,"Not Found")),"")</f>
        <v/>
      </c>
      <c r="G16" s="1" t="str">
        <f t="array" ref="G16">IF(NOT(ISBLANK(A16)), ((_xlfn.XLOOKUP(A16,Index!$B$2:$B$995,Index!$F$2:$F$995,"Not Found"))*B16),"")</f>
        <v/>
      </c>
      <c r="K16" s="6" t="str">
        <f t="shared" ref="K16:K20" si="8">K2</f>
        <v/>
      </c>
      <c r="L16" s="1" t="str">
        <f t="shared" ref="L16:L19" si="9">IF(NOT(ISBLANK($K2)), SUMIFS($G$2:$G$32, $C$2:$C$32,$K2), "")</f>
        <v/>
      </c>
    </row>
    <row r="17">
      <c r="C17" s="1" t="str">
        <f t="array" ref="C17">IF(NOT(ISBLANK($A17)), (_xlfn.XLOOKUP($A17,Index!$B$2:$B$995,Index!$C$2:$C$995,"Not Found")),"")</f>
        <v/>
      </c>
      <c r="D17" s="1" t="str">
        <f t="array" ref="D17">IF(NOT(ISBLANK(A17)), (_xlfn.XLOOKUP($A17,Index!$B$2:B$995,Index!$A$2:$A$995,"Not Found")),"")</f>
        <v/>
      </c>
      <c r="E17" s="2" t="str">
        <f t="array" ref="E17">IF(NOT(ISBLANK($A17)), (_xlfn.XLOOKUP($A17,Index!$B$2:$B$995,Index!$D$2:$D$995,"Not Found")),"")</f>
        <v/>
      </c>
      <c r="F17" s="1" t="str">
        <f t="array" ref="F17">IF(NOT(ISBLANK($A17)), (_xlfn.XLOOKUP($A17,Index!$B$2:$B$995,Index!$E$2:$E$995,"Not Found")),"")</f>
        <v/>
      </c>
      <c r="G17" s="1" t="str">
        <f t="array" ref="G17">IF(NOT(ISBLANK(A17)), ((_xlfn.XLOOKUP(A17,Index!$B$2:$B$995,Index!$F$2:$F$995,"Not Found"))*B17),"")</f>
        <v/>
      </c>
      <c r="K17" s="6" t="str">
        <f t="shared" si="8"/>
        <v/>
      </c>
      <c r="L17" s="1" t="str">
        <f t="shared" si="9"/>
        <v/>
      </c>
    </row>
    <row r="18">
      <c r="C18" s="1" t="str">
        <f t="array" ref="C18">IF(NOT(ISBLANK($A18)), (_xlfn.XLOOKUP($A18,Index!$B$2:$B$995,Index!$C$2:$C$995,"Not Found")),"")</f>
        <v/>
      </c>
      <c r="D18" s="1" t="str">
        <f t="array" ref="D18">IF(NOT(ISBLANK(A18)), (_xlfn.XLOOKUP($A18,Index!$B$2:B$995,Index!$A$2:$A$995,"Not Found")),"")</f>
        <v/>
      </c>
      <c r="E18" s="2" t="str">
        <f t="array" ref="E18">IF(NOT(ISBLANK($A18)), (_xlfn.XLOOKUP($A18,Index!$B$2:$B$995,Index!$D$2:$D$995,"Not Found")),"")</f>
        <v/>
      </c>
      <c r="F18" s="1" t="str">
        <f t="array" ref="F18">IF(NOT(ISBLANK($A18)), (_xlfn.XLOOKUP($A18,Index!$B$2:$B$995,Index!$E$2:$E$995,"Not Found")),"")</f>
        <v/>
      </c>
      <c r="G18" s="1" t="str">
        <f t="array" ref="G18">IF(NOT(ISBLANK(A18)), ((_xlfn.XLOOKUP(A18,Index!$B$2:$B$995,Index!$F$2:$F$995,"Not Found"))*B18),"")</f>
        <v/>
      </c>
      <c r="K18" s="6" t="str">
        <f t="shared" si="8"/>
        <v/>
      </c>
      <c r="L18" s="1" t="str">
        <f t="shared" si="9"/>
        <v/>
      </c>
    </row>
    <row r="19">
      <c r="C19" s="1" t="str">
        <f t="array" ref="C19">IF(NOT(ISBLANK($A19)), (_xlfn.XLOOKUP($A19,Index!$B$2:$B$995,Index!$C$2:$C$995,"Not Found")),"")</f>
        <v/>
      </c>
      <c r="D19" s="1" t="str">
        <f t="array" ref="D19">IF(NOT(ISBLANK(A19)), (_xlfn.XLOOKUP($A19,Index!$B$2:B$995,Index!$A$2:$A$995,"Not Found")),"")</f>
        <v/>
      </c>
      <c r="E19" s="2" t="str">
        <f t="array" ref="E19">IF(NOT(ISBLANK($A19)), (_xlfn.XLOOKUP($A19,Index!$B$2:$B$995,Index!$D$2:$D$995,"Not Found")),"")</f>
        <v/>
      </c>
      <c r="F19" s="1" t="str">
        <f t="array" ref="F19">IF(NOT(ISBLANK($A19)), (_xlfn.XLOOKUP($A19,Index!$B$2:$B$995,Index!$E$2:$E$995,"Not Found")),"")</f>
        <v/>
      </c>
      <c r="G19" s="1" t="str">
        <f t="array" ref="G19">IF(NOT(ISBLANK(A19)), ((_xlfn.XLOOKUP(A19,Index!$B$2:$B$995,Index!$F$2:$F$995,"Not Found"))*B19),"")</f>
        <v/>
      </c>
      <c r="K19" s="6" t="str">
        <f t="shared" si="8"/>
        <v/>
      </c>
      <c r="L19" s="1" t="str">
        <f t="shared" si="9"/>
        <v/>
      </c>
    </row>
    <row r="20">
      <c r="C20" s="1" t="str">
        <f t="array" ref="C20">IF(NOT(ISBLANK($A20)), (_xlfn.XLOOKUP($A20,Index!$B$2:$B$995,Index!$C$2:$C$995,"Not Found")),"")</f>
        <v/>
      </c>
      <c r="D20" s="1" t="str">
        <f t="array" ref="D20">IF(NOT(ISBLANK(A20)), (_xlfn.XLOOKUP($A20,Index!$B$2:B$995,Index!$A$2:$A$995,"Not Found")),"")</f>
        <v/>
      </c>
      <c r="E20" s="2" t="str">
        <f t="array" ref="E20">IF(NOT(ISBLANK($A20)), (_xlfn.XLOOKUP($A20,Index!$B$2:$B$995,Index!$D$2:$D$995,"Not Found")),"")</f>
        <v/>
      </c>
      <c r="F20" s="1" t="str">
        <f t="array" ref="F20">IF(NOT(ISBLANK($A20)), (_xlfn.XLOOKUP($A20,Index!$B$2:$B$995,Index!$E$2:$E$995,"Not Found")),"")</f>
        <v/>
      </c>
      <c r="G20" s="1" t="str">
        <f t="array" ref="G20">IF(NOT(ISBLANK(A20)), ((_xlfn.XLOOKUP(A20,Index!$B$2:$B$995,Index!$F$2:$F$995,"Not Found"))*B20),"")</f>
        <v/>
      </c>
      <c r="K20" s="6" t="str">
        <f t="shared" si="8"/>
        <v/>
      </c>
    </row>
    <row r="21">
      <c r="C21" s="1" t="str">
        <f t="array" ref="C21">IF(NOT(ISBLANK($A21)), (_xlfn.XLOOKUP($A21,Index!$B$2:$B$995,Index!$C$2:$C$995,"Not Found")),"")</f>
        <v/>
      </c>
      <c r="D21" s="1" t="str">
        <f t="array" ref="D21">IF(NOT(ISBLANK(A21)), (_xlfn.XLOOKUP($A21,Index!$B$2:B$995,Index!$A$2:$A$995,"Not Found")),"")</f>
        <v/>
      </c>
      <c r="E21" s="2" t="str">
        <f t="array" ref="E21">IF(NOT(ISBLANK($A21)), (_xlfn.XLOOKUP($A21,Index!$B$2:$B$995,Index!$D$2:$D$995,"Not Found")),"")</f>
        <v/>
      </c>
      <c r="F21" s="1" t="str">
        <f t="array" ref="F21">IF(NOT(ISBLANK($A21)), (_xlfn.XLOOKUP($A21,Index!$B$2:$B$995,Index!$E$2:$E$995,"Not Found")),"")</f>
        <v/>
      </c>
      <c r="G21" s="1" t="str">
        <f t="array" ref="G21">IF(NOT(ISBLANK(A21)), ((_xlfn.XLOOKUP(A21,Index!$B$2:$B$995,Index!$F$2:$F$995,"Not Found"))*B21),"")</f>
        <v/>
      </c>
      <c r="K21" s="1" t="s">
        <v>731</v>
      </c>
      <c r="L21" s="6">
        <f>SUM(L15:L19)</f>
        <v>0</v>
      </c>
    </row>
    <row r="22">
      <c r="C22" s="1" t="str">
        <f t="array" ref="C22">IF(NOT(ISBLANK($A22)), (_xlfn.XLOOKUP($A22,Index!$B$2:$B$995,Index!$C$2:$C$995,"Not Found")),"")</f>
        <v/>
      </c>
      <c r="D22" s="1" t="str">
        <f t="array" ref="D22">IF(NOT(ISBLANK(A22)), (_xlfn.XLOOKUP($A22,Index!$B$2:B$995,Index!$A$2:$A$995,"Not Found")),"")</f>
        <v/>
      </c>
      <c r="E22" s="2" t="str">
        <f t="array" ref="E22">IF(NOT(ISBLANK($A22)), (_xlfn.XLOOKUP($A22,Index!$B$2:$B$995,Index!$D$2:$D$995,"Not Found")),"")</f>
        <v/>
      </c>
      <c r="F22" s="1" t="str">
        <f t="array" ref="F22">IF(NOT(ISBLANK($A22)), (_xlfn.XLOOKUP($A22,Index!$B$2:$B$995,Index!$E$2:$E$995,"Not Found")),"")</f>
        <v/>
      </c>
      <c r="G22" s="1" t="str">
        <f t="array" ref="G22">IF(NOT(ISBLANK(A22)), ((_xlfn.XLOOKUP(A22,Index!$B$2:$B$995,Index!$F$2:$F$995,"Not Found"))*B22),"")</f>
        <v/>
      </c>
    </row>
    <row r="23">
      <c r="C23" s="1" t="str">
        <f t="array" ref="C23">IF(NOT(ISBLANK($A23)), (_xlfn.XLOOKUP($A23,Index!$B$2:$B$995,Index!$C$2:$C$995,"Not Found")),"")</f>
        <v/>
      </c>
      <c r="D23" s="1" t="str">
        <f t="array" ref="D23">IF(NOT(ISBLANK(A23)), (_xlfn.XLOOKUP($A23,Index!$B$2:B$995,Index!$A$2:$A$995,"Not Found")),"")</f>
        <v/>
      </c>
      <c r="E23" s="2" t="str">
        <f t="array" ref="E23">IF(NOT(ISBLANK($A23)), (_xlfn.XLOOKUP($A23,Index!$B$2:$B$995,Index!$D$2:$D$995,"Not Found")),"")</f>
        <v/>
      </c>
      <c r="F23" s="1" t="str">
        <f t="array" ref="F23">IF(NOT(ISBLANK($A23)), (_xlfn.XLOOKUP($A23,Index!$B$2:$B$995,Index!$E$2:$E$995,"Not Found")),"")</f>
        <v/>
      </c>
      <c r="G23" s="1" t="str">
        <f t="array" ref="G23">IF(NOT(ISBLANK(A23)), ((_xlfn.XLOOKUP(A23,Index!$B$2:$B$995,Index!$F$2:$F$995,"Not Found"))*B23),"")</f>
        <v/>
      </c>
    </row>
    <row r="24">
      <c r="C24" s="1" t="str">
        <f t="array" ref="C24">IF(NOT(ISBLANK($A24)), (_xlfn.XLOOKUP($A24,Index!$B$2:$B$995,Index!$C$2:$C$995,"Not Found")),"")</f>
        <v/>
      </c>
      <c r="D24" s="1" t="str">
        <f t="array" ref="D24">IF(NOT(ISBLANK(A24)), (_xlfn.XLOOKUP($A24,Index!$B$2:B$995,Index!$A$2:$A$995,"Not Found")),"")</f>
        <v/>
      </c>
      <c r="E24" s="2" t="str">
        <f t="array" ref="E24">IF(NOT(ISBLANK($A24)), (_xlfn.XLOOKUP($A24,Index!$B$2:$B$995,Index!$D$2:$D$995,"Not Found")),"")</f>
        <v/>
      </c>
      <c r="F24" s="1" t="str">
        <f t="array" ref="F24">IF(NOT(ISBLANK($A24)), (_xlfn.XLOOKUP($A24,Index!$B$2:$B$995,Index!$E$2:$E$995,"Not Found")),"")</f>
        <v/>
      </c>
      <c r="G24" s="1" t="str">
        <f t="array" ref="G24">IF(NOT(ISBLANK(A24)), ((_xlfn.XLOOKUP(A24,Index!$B$2:$B$995,Index!$F$2:$F$995,"Not Found"))*B24),"")</f>
        <v/>
      </c>
      <c r="K24" s="1" t="s">
        <v>732</v>
      </c>
    </row>
    <row r="25">
      <c r="C25" s="1" t="str">
        <f t="array" ref="C25">IF(NOT(ISBLANK($A25)), (_xlfn.XLOOKUP($A25,Index!$B$2:$B$995,Index!$C$2:$C$995,"Not Found")),"")</f>
        <v/>
      </c>
      <c r="D25" s="1" t="str">
        <f t="array" ref="D25">IF(NOT(ISBLANK(A25)), (_xlfn.XLOOKUP($A25,Index!$B$2:B$995,Index!$A$2:$A$995,"Not Found")),"")</f>
        <v/>
      </c>
      <c r="E25" s="2" t="str">
        <f t="array" ref="E25">IF(NOT(ISBLANK($A25)), (_xlfn.XLOOKUP($A25,Index!$B$2:$B$995,Index!$D$2:$D$995,"Not Found")),"")</f>
        <v/>
      </c>
      <c r="F25" s="1" t="str">
        <f t="array" ref="F25">IF(NOT(ISBLANK($A25)), (_xlfn.XLOOKUP($A25,Index!$B$2:$B$995,Index!$E$2:$E$995,"Not Found")),"")</f>
        <v/>
      </c>
      <c r="G25" s="1" t="str">
        <f t="array" ref="G25">IF(NOT(ISBLANK(A25)), ((_xlfn.XLOOKUP(A25,Index!$B$2:$B$995,Index!$F$2:$F$995,"Not Found"))*B25),"")</f>
        <v/>
      </c>
    </row>
    <row r="26">
      <c r="C26" s="1" t="str">
        <f t="array" ref="C26">IF(NOT(ISBLANK($A26)), (_xlfn.XLOOKUP($A26,Index!$B$2:$B$995,Index!$C$2:$C$995,"Not Found")),"")</f>
        <v/>
      </c>
      <c r="D26" s="1" t="str">
        <f t="array" ref="D26">IF(NOT(ISBLANK(A26)), (_xlfn.XLOOKUP($A26,Index!$B$2:B$995,Index!$A$2:$A$995,"Not Found")),"")</f>
        <v/>
      </c>
      <c r="E26" s="2" t="str">
        <f t="array" ref="E26">IF(NOT(ISBLANK($A26)), (_xlfn.XLOOKUP($A26,Index!$B$2:$B$995,Index!$D$2:$D$995,"Not Found")),"")</f>
        <v/>
      </c>
      <c r="F26" s="1" t="str">
        <f t="array" ref="F26">IF(NOT(ISBLANK($A26)), (_xlfn.XLOOKUP($A26,Index!$B$2:$B$995,Index!$E$2:$E$995,"Not Found")),"")</f>
        <v/>
      </c>
      <c r="G26" s="1" t="str">
        <f t="array" ref="G26">IF(NOT(ISBLANK(A26)), ((_xlfn.XLOOKUP(A26,Index!$B$2:$B$995,Index!$F$2:$F$995,"Not Found"))*B26),"")</f>
        <v/>
      </c>
    </row>
    <row r="27">
      <c r="C27" s="1" t="str">
        <f t="array" ref="C27">IF(NOT(ISBLANK($A27)), (_xlfn.XLOOKUP($A27,Index!$B$2:$B$995,Index!$C$2:$C$995,"Not Found")),"")</f>
        <v/>
      </c>
      <c r="D27" s="1" t="str">
        <f t="array" ref="D27">IF(NOT(ISBLANK(A27)), (_xlfn.XLOOKUP($A27,Index!$B$2:B$995,Index!$A$2:$A$995,"Not Found")),"")</f>
        <v/>
      </c>
      <c r="E27" s="2" t="str">
        <f t="array" ref="E27">IF(NOT(ISBLANK($A27)), (_xlfn.XLOOKUP($A27,Index!$B$2:$B$995,Index!$D$2:$D$995,"Not Found")),"")</f>
        <v/>
      </c>
      <c r="F27" s="1" t="str">
        <f t="array" ref="F27">IF(NOT(ISBLANK($A27)), (_xlfn.XLOOKUP($A27,Index!$B$2:$B$995,Index!$E$2:$E$995,"Not Found")),"")</f>
        <v/>
      </c>
      <c r="G27" s="1" t="str">
        <f t="array" ref="G27">IF(NOT(ISBLANK(A27)), ((_xlfn.XLOOKUP(A27,Index!$B$2:$B$995,Index!$F$2:$F$995,"Not Found"))*B27),"")</f>
        <v/>
      </c>
    </row>
    <row r="28">
      <c r="C28" s="1" t="str">
        <f t="array" ref="C28">IF(NOT(ISBLANK($A28)), (_xlfn.XLOOKUP($A28,Index!$B$2:$B$995,Index!$C$2:$C$995,"Not Found")),"")</f>
        <v/>
      </c>
      <c r="D28" s="1" t="str">
        <f t="array" ref="D28">IF(NOT(ISBLANK(A28)), (_xlfn.XLOOKUP($A28,Index!$B$2:B$995,Index!$A$2:$A$995,"Not Found")),"")</f>
        <v/>
      </c>
      <c r="E28" s="2" t="str">
        <f t="array" ref="E28">IF(NOT(ISBLANK($A28)), (_xlfn.XLOOKUP($A28,Index!$B$2:$B$995,Index!$D$2:$D$995,"Not Found")),"")</f>
        <v/>
      </c>
      <c r="F28" s="1" t="str">
        <f t="array" ref="F28">IF(NOT(ISBLANK($A28)), (_xlfn.XLOOKUP($A28,Index!$B$2:$B$995,Index!$E$2:$E$995,"Not Found")),"")</f>
        <v/>
      </c>
      <c r="G28" s="1" t="str">
        <f t="array" ref="G28">IF(NOT(ISBLANK(A28)), ((_xlfn.XLOOKUP(A28,Index!$B$2:$B$995,Index!$F$2:$F$995,"Not Found"))*B28),"")</f>
        <v/>
      </c>
    </row>
    <row r="29">
      <c r="C29" s="1" t="str">
        <f t="array" ref="C29">IF(NOT(ISBLANK($A29)), (_xlfn.XLOOKUP($A29,Index!$B$2:$B$995,Index!$C$2:$C$995,"Not Found")),"")</f>
        <v/>
      </c>
      <c r="D29" s="1" t="str">
        <f t="array" ref="D29">IF(NOT(ISBLANK(A29)), (_xlfn.XLOOKUP($A29,Index!$B$2:B$995,Index!$A$2:$A$995,"Not Found")),"")</f>
        <v/>
      </c>
      <c r="E29" s="2" t="str">
        <f t="array" ref="E29">IF(NOT(ISBLANK($A29)), (_xlfn.XLOOKUP($A29,Index!$B$2:$B$995,Index!$D$2:$D$995,"Not Found")),"")</f>
        <v/>
      </c>
      <c r="F29" s="1" t="str">
        <f t="array" ref="F29">IF(NOT(ISBLANK($A29)), (_xlfn.XLOOKUP($A29,Index!$B$2:$B$995,Index!$E$2:$E$995,"Not Found")),"")</f>
        <v/>
      </c>
      <c r="G29" s="1" t="str">
        <f t="array" ref="G29">IF(NOT(ISBLANK(A29)), ((_xlfn.XLOOKUP(A29,Index!$B$2:$B$995,Index!$F$2:$F$995,"Not Found"))*B29),"")</f>
        <v/>
      </c>
    </row>
    <row r="30">
      <c r="C30" s="1" t="str">
        <f t="array" ref="C30">IF(NOT(ISBLANK($A30)), (_xlfn.XLOOKUP($A30,Index!$B$2:$B$995,Index!$C$2:$C$995,"Not Found")),"")</f>
        <v/>
      </c>
      <c r="D30" s="1" t="str">
        <f t="array" ref="D30">IF(NOT(ISBLANK(A30)), (_xlfn.XLOOKUP($A30,Index!$B$2:B$995,Index!$A$2:$A$995,"Not Found")),"")</f>
        <v/>
      </c>
      <c r="E30" s="2" t="str">
        <f t="array" ref="E30">IF(NOT(ISBLANK($A30)), (_xlfn.XLOOKUP($A30,Index!$B$2:$B$995,Index!$D$2:$D$995,"Not Found")),"")</f>
        <v/>
      </c>
      <c r="F30" s="1" t="str">
        <f t="array" ref="F30">IF(NOT(ISBLANK($A30)), (_xlfn.XLOOKUP($A30,Index!$B$2:$B$995,Index!$E$2:$E$995,"Not Found")),"")</f>
        <v/>
      </c>
      <c r="G30" s="1" t="str">
        <f t="array" ref="G30">IF(NOT(ISBLANK(A30)), ((_xlfn.XLOOKUP(A30,Index!$B$2:$B$995,Index!$F$2:$F$995,"Not Found"))*B30),"")</f>
        <v/>
      </c>
    </row>
    <row r="31">
      <c r="C31" s="1" t="str">
        <f t="array" ref="C31">IF(NOT(ISBLANK($A31)), (_xlfn.XLOOKUP($A31,Index!$B$2:$B$995,Index!$C$2:$C$995,"Not Found")),"")</f>
        <v/>
      </c>
      <c r="D31" s="1" t="str">
        <f t="array" ref="D31">IF(NOT(ISBLANK(A31)), (_xlfn.XLOOKUP($A31,Index!$B$2:B$995,Index!$A$2:$A$995,"Not Found")),"")</f>
        <v/>
      </c>
      <c r="E31" s="2" t="str">
        <f t="array" ref="E31">IF(NOT(ISBLANK($A31)), (_xlfn.XLOOKUP($A31,Index!$B$2:$B$995,Index!$D$2:$D$995,"Not Found")),"")</f>
        <v/>
      </c>
      <c r="F31" s="1" t="str">
        <f t="array" ref="F31">IF(NOT(ISBLANK($A31)), (_xlfn.XLOOKUP($A31,Index!$B$2:$B$995,Index!$E$2:$E$995,"Not Found")),"")</f>
        <v/>
      </c>
      <c r="G31" s="1" t="str">
        <f t="array" ref="G31">IF(NOT(ISBLANK(A31)), ((_xlfn.XLOOKUP(A31,Index!$B$2:$B$995,Index!$F$2:$F$995,"Not Found"))*B31),"")</f>
        <v/>
      </c>
    </row>
    <row r="32">
      <c r="C32" s="1" t="str">
        <f t="array" ref="C32">IF(NOT(ISBLANK($A32)), (_xlfn.XLOOKUP($A32,Index!$B$2:$B$995,Index!$C$2:$C$995,"Not Found")),"")</f>
        <v/>
      </c>
      <c r="D32" s="1" t="str">
        <f t="array" ref="D32">IF(NOT(ISBLANK(A32)), (_xlfn.XLOOKUP($A32,Index!$B$2:B$995,Index!$A$2:$A$995,"Not Found")),"")</f>
        <v/>
      </c>
      <c r="E32" s="2" t="str">
        <f t="array" ref="E32">IF(NOT(ISBLANK($A32)), (_xlfn.XLOOKUP($A32,Index!$B$2:$B$995,Index!$D$2:$D$995,"Not Found")),"")</f>
        <v/>
      </c>
      <c r="F32" s="1" t="str">
        <f t="array" ref="F32">IF(NOT(ISBLANK($A32)), (_xlfn.XLOOKUP($A32,Index!$B$2:$B$995,Index!$E$2:$E$995,"Not Found")),"")</f>
        <v/>
      </c>
      <c r="G32" s="1" t="str">
        <f t="array" ref="G32">IF(NOT(ISBLANK(A32)), ((_xlfn.XLOOKUP(A32,Index!$B$2:$B$995,Index!$F$2:$F$995,"Not Found"))*B32),"")</f>
        <v/>
      </c>
    </row>
    <row r="33">
      <c r="C33" s="1" t="str">
        <f t="array" ref="C33">IF(NOT(ISBLANK($A33)), (_xlfn.XLOOKUP($A33,Index!$B$2:$B$995,Index!$C$2:$C$995,"Not Found")),"")</f>
        <v/>
      </c>
      <c r="D33" s="1" t="str">
        <f t="array" ref="D33">IF(NOT(ISBLANK(A33)), (_xlfn.XLOOKUP($A33,Index!$B$2:B$995,Index!$A$2:$A$995,"Not Found")),"")</f>
        <v/>
      </c>
      <c r="E33" s="2" t="str">
        <f t="array" ref="E33">IF(NOT(ISBLANK($A33)), (_xlfn.XLOOKUP($A33,Index!$B$2:$B$995,Index!$D$2:$D$995,"Not Found")),"")</f>
        <v/>
      </c>
      <c r="F33" s="1" t="str">
        <f t="array" ref="F33">IF(NOT(ISBLANK($A33)), (_xlfn.XLOOKUP($A33,Index!$B$2:$B$995,Index!$E$2:$E$995,"Not Found")),"")</f>
        <v/>
      </c>
      <c r="G33" s="1" t="str">
        <f t="array" ref="G33">IF(NOT(ISBLANK(A33)), ((_xlfn.XLOOKUP(A33,Index!$B$2:$B$995,Index!$F$2:$F$995,"Not Found"))*B33),"")</f>
        <v/>
      </c>
    </row>
    <row r="34">
      <c r="C34" s="1" t="str">
        <f t="array" ref="C34">IF(NOT(ISBLANK($A34)), (_xlfn.XLOOKUP($A34,Index!$B$2:$B$995,Index!$C$2:$C$995,"Not Found")),"")</f>
        <v/>
      </c>
      <c r="D34" s="1" t="str">
        <f t="array" ref="D34">IF(NOT(ISBLANK(A34)), (_xlfn.XLOOKUP($A34,Index!$B$2:B$995,Index!$A$2:$A$995,"Not Found")),"")</f>
        <v/>
      </c>
      <c r="E34" s="2" t="str">
        <f t="array" ref="E34">IF(NOT(ISBLANK($A34)), (_xlfn.XLOOKUP($A34,Index!$B$2:$B$995,Index!$D$2:$D$995,"Not Found")),"")</f>
        <v/>
      </c>
      <c r="F34" s="1" t="str">
        <f t="array" ref="F34">IF(NOT(ISBLANK($A34)), (_xlfn.XLOOKUP($A34,Index!$B$2:$B$995,Index!$E$2:$E$995,"Not Found")),"")</f>
        <v/>
      </c>
      <c r="G34" s="1" t="str">
        <f t="array" ref="G34">IF(NOT(ISBLANK(A34)), ((_xlfn.XLOOKUP(A34,Index!$B$2:$B$995,Index!$F$2:$F$995,"Not Found"))*B34),"")</f>
        <v/>
      </c>
    </row>
    <row r="35">
      <c r="C35" s="1" t="str">
        <f t="array" ref="C35">IF(NOT(ISBLANK($A35)), (_xlfn.XLOOKUP($A35,Index!$B$2:$B$995,Index!$C$2:$C$995,"Not Found")),"")</f>
        <v/>
      </c>
      <c r="D35" s="1" t="str">
        <f t="array" ref="D35">IF(NOT(ISBLANK(A35)), (_xlfn.XLOOKUP($A35,Index!$B$2:B$995,Index!$A$2:$A$995,"Not Found")),"")</f>
        <v/>
      </c>
      <c r="E35" s="2" t="str">
        <f t="array" ref="E35">IF(NOT(ISBLANK($A35)), (_xlfn.XLOOKUP($A35,Index!$B$2:$B$995,Index!$D$2:$D$995,"Not Found")),"")</f>
        <v/>
      </c>
      <c r="F35" s="1" t="str">
        <f t="array" ref="F35">IF(NOT(ISBLANK($A35)), (_xlfn.XLOOKUP($A35,Index!$B$2:$B$995,Index!$E$2:$E$995,"Not Found")),"")</f>
        <v/>
      </c>
      <c r="G35" s="1" t="str">
        <f t="array" ref="G35">IF(NOT(ISBLANK(A35)), ((_xlfn.XLOOKUP(A35,Index!$B$2:$B$995,Index!$F$2:$F$995,"Not Found"))*B35),"")</f>
        <v/>
      </c>
    </row>
    <row r="36">
      <c r="C36" s="1" t="str">
        <f t="array" ref="C36">IF(NOT(ISBLANK($A36)), (_xlfn.XLOOKUP($A36,Index!$B$2:$B$995,Index!$C$2:$C$995,"Not Found")),"")</f>
        <v/>
      </c>
      <c r="D36" s="1" t="str">
        <f t="array" ref="D36">IF(NOT(ISBLANK(A36)), (_xlfn.XLOOKUP($A36,Index!$B$2:B$995,Index!$A$2:$A$995,"Not Found")),"")</f>
        <v/>
      </c>
      <c r="E36" s="2" t="str">
        <f t="array" ref="E36">IF(NOT(ISBLANK($A36)), (_xlfn.XLOOKUP($A36,Index!$B$2:$B$995,Index!$D$2:$D$995,"Not Found")),"")</f>
        <v/>
      </c>
      <c r="F36" s="1" t="str">
        <f t="array" ref="F36">IF(NOT(ISBLANK($A36)), (_xlfn.XLOOKUP($A36,Index!$B$2:$B$995,Index!$E$2:$E$995,"Not Found")),"")</f>
        <v/>
      </c>
      <c r="G36" s="1" t="str">
        <f t="array" ref="G36">IF(NOT(ISBLANK(A36)), ((_xlfn.XLOOKUP(A36,Index!$B$2:$B$995,Index!$F$2:$F$995,"Not Found"))*B36),"")</f>
        <v/>
      </c>
    </row>
    <row r="37">
      <c r="C37" s="1" t="str">
        <f t="array" ref="C37">IF(NOT(ISBLANK($A37)), (_xlfn.XLOOKUP($A37,Index!$B$2:$B$995,Index!$C$2:$C$995,"Not Found")),"")</f>
        <v/>
      </c>
      <c r="D37" s="1" t="str">
        <f t="array" ref="D37">IF(NOT(ISBLANK(A37)), (_xlfn.XLOOKUP($A37,Index!$B$2:B$995,Index!$A$2:$A$995,"Not Found")),"")</f>
        <v/>
      </c>
      <c r="E37" s="2" t="str">
        <f t="array" ref="E37">IF(NOT(ISBLANK($A37)), (_xlfn.XLOOKUP($A37,Index!$B$2:$B$995,Index!$D$2:$D$995,"Not Found")),"")</f>
        <v/>
      </c>
      <c r="F37" s="1" t="str">
        <f t="array" ref="F37">IF(NOT(ISBLANK($A37)), (_xlfn.XLOOKUP($A37,Index!$B$2:$B$995,Index!$E$2:$E$995,"Not Found")),"")</f>
        <v/>
      </c>
      <c r="G37" s="1" t="str">
        <f t="array" ref="G37">IF(NOT(ISBLANK(A37)), ((_xlfn.XLOOKUP(A37,Index!$B$2:$B$995,Index!$F$2:$F$995,"Not Found"))*B37),"")</f>
        <v/>
      </c>
    </row>
    <row r="38">
      <c r="C38" s="1" t="str">
        <f t="array" ref="C38">IF(NOT(ISBLANK($A38)), (_xlfn.XLOOKUP($A38,Index!$B$2:$B$995,Index!$C$2:$C$995,"Not Found")),"")</f>
        <v/>
      </c>
      <c r="D38" s="1" t="str">
        <f t="array" ref="D38">IF(NOT(ISBLANK(A38)), (_xlfn.XLOOKUP($A38,Index!$B$2:B$995,Index!$A$2:$A$995,"Not Found")),"")</f>
        <v/>
      </c>
      <c r="E38" s="2" t="str">
        <f t="array" ref="E38">IF(NOT(ISBLANK($A38)), (_xlfn.XLOOKUP($A38,Index!$B$2:$B$995,Index!$D$2:$D$995,"Not Found")),"")</f>
        <v/>
      </c>
      <c r="F38" s="1" t="str">
        <f t="array" ref="F38">IF(NOT(ISBLANK($A38)), (_xlfn.XLOOKUP($A38,Index!$B$2:$B$995,Index!$E$2:$E$995,"Not Found")),"")</f>
        <v/>
      </c>
      <c r="G38" s="1" t="str">
        <f t="array" ref="G38">IF(NOT(ISBLANK(A38)), ((_xlfn.XLOOKUP(A38,Index!$B$2:$B$995,Index!$F$2:$F$995,"Not Found"))*B38),"")</f>
        <v/>
      </c>
    </row>
    <row r="39">
      <c r="C39" s="1" t="str">
        <f t="array" ref="C39">IF(NOT(ISBLANK($A39)), (_xlfn.XLOOKUP($A39,Index!$B$2:$B$995,Index!$C$2:$C$995,"Not Found")),"")</f>
        <v/>
      </c>
      <c r="D39" s="1" t="str">
        <f t="array" ref="D39">IF(NOT(ISBLANK(A39)), (_xlfn.XLOOKUP($A39,Index!$B$2:B$995,Index!$A$2:$A$995,"Not Found")),"")</f>
        <v/>
      </c>
      <c r="E39" s="2" t="str">
        <f t="array" ref="E39">IF(NOT(ISBLANK($A39)), (_xlfn.XLOOKUP($A39,Index!$B$2:$B$995,Index!$D$2:$D$995,"Not Found")),"")</f>
        <v/>
      </c>
      <c r="F39" s="1" t="str">
        <f t="array" ref="F39">IF(NOT(ISBLANK($A39)), (_xlfn.XLOOKUP($A39,Index!$B$2:$B$995,Index!$E$2:$E$995,"Not Found")),"")</f>
        <v/>
      </c>
      <c r="G39" s="1" t="str">
        <f t="array" ref="G39">IF(NOT(ISBLANK(A39)), ((_xlfn.XLOOKUP(A39,Index!$B$2:$B$995,Index!$F$2:$F$995,"Not Found"))*B39),"")</f>
        <v/>
      </c>
    </row>
    <row r="40">
      <c r="C40" s="1" t="str">
        <f t="array" ref="C40">IF(NOT(ISBLANK($A40)), (_xlfn.XLOOKUP($A40,Index!$B$2:$B$995,Index!$C$2:$C$995,"Not Found")),"")</f>
        <v/>
      </c>
      <c r="D40" s="1" t="str">
        <f t="array" ref="D40">IF(NOT(ISBLANK(A40)), (_xlfn.XLOOKUP($A40,Index!$B$2:B$995,Index!$A$2:$A$995,"Not Found")),"")</f>
        <v/>
      </c>
      <c r="E40" s="2" t="str">
        <f t="array" ref="E40">IF(NOT(ISBLANK($A40)), (_xlfn.XLOOKUP($A40,Index!$B$2:$B$995,Index!$D$2:$D$995,"Not Found")),"")</f>
        <v/>
      </c>
      <c r="F40" s="1" t="str">
        <f t="array" ref="F40">IF(NOT(ISBLANK($A40)), (_xlfn.XLOOKUP($A40,Index!$B$2:$B$995,Index!$E$2:$E$995,"Not Found")),"")</f>
        <v/>
      </c>
      <c r="G40" s="1" t="str">
        <f t="array" ref="G40">IF(NOT(ISBLANK(A40)), ((_xlfn.XLOOKUP(A40,Index!$B$2:$B$995,Index!$F$2:$F$995,"Not Found"))*B40),"")</f>
        <v/>
      </c>
    </row>
    <row r="41">
      <c r="C41" s="1" t="str">
        <f t="array" ref="C41">IF(NOT(ISBLANK($A41)), (_xlfn.XLOOKUP($A41,Index!$B$2:$B$995,Index!$C$2:$C$995,"Not Found")),"")</f>
        <v/>
      </c>
      <c r="D41" s="1" t="str">
        <f t="array" ref="D41">IF(NOT(ISBLANK(A41)), (_xlfn.XLOOKUP($A41,Index!$B$2:B$995,Index!$A$2:$A$995,"Not Found")),"")</f>
        <v/>
      </c>
      <c r="E41" s="2" t="str">
        <f t="array" ref="E41">IF(NOT(ISBLANK($A41)), (_xlfn.XLOOKUP($A41,Index!$B$2:$B$995,Index!$D$2:$D$995,"Not Found")),"")</f>
        <v/>
      </c>
      <c r="F41" s="1" t="str">
        <f t="array" ref="F41">IF(NOT(ISBLANK($A41)), (_xlfn.XLOOKUP($A41,Index!$B$2:$B$995,Index!$E$2:$E$995,"Not Found")),"")</f>
        <v/>
      </c>
      <c r="G41" s="1" t="str">
        <f t="array" ref="G41">IF(NOT(ISBLANK(A41)), ((_xlfn.XLOOKUP(A41,Index!$B$2:$B$995,Index!$F$2:$F$995,"Not Found"))*B41),"")</f>
        <v/>
      </c>
    </row>
    <row r="42">
      <c r="C42" s="1" t="str">
        <f t="array" ref="C42">IF(NOT(ISBLANK($A42)), (_xlfn.XLOOKUP($A42,Index!$B$2:$B$995,Index!$C$2:$C$995,"Not Found")),"")</f>
        <v/>
      </c>
      <c r="D42" s="1" t="str">
        <f t="array" ref="D42">IF(NOT(ISBLANK(A42)), (_xlfn.XLOOKUP($A42,Index!$B$2:B$995,Index!$A$2:$A$995,"Not Found")),"")</f>
        <v/>
      </c>
      <c r="E42" s="2" t="str">
        <f t="array" ref="E42">IF(NOT(ISBLANK($A42)), (_xlfn.XLOOKUP($A42,Index!$B$2:$B$995,Index!$D$2:$D$995,"Not Found")),"")</f>
        <v/>
      </c>
      <c r="F42" s="1" t="str">
        <f t="array" ref="F42">IF(NOT(ISBLANK($A42)), (_xlfn.XLOOKUP($A42,Index!$B$2:$B$995,Index!$E$2:$E$995,"Not Found")),"")</f>
        <v/>
      </c>
      <c r="G42" s="1" t="str">
        <f t="array" ref="G42">IF(NOT(ISBLANK(A42)), ((_xlfn.XLOOKUP(A42,Index!$B$2:$B$995,Index!$F$2:$F$995,"Not Found"))*B42),"")</f>
        <v/>
      </c>
    </row>
    <row r="43">
      <c r="C43" s="1" t="str">
        <f t="array" ref="C43">IF(NOT(ISBLANK($A43)), (_xlfn.XLOOKUP($A43,Index!$B$2:$B$995,Index!$C$2:$C$995,"Not Found")),"")</f>
        <v/>
      </c>
      <c r="D43" s="1" t="str">
        <f t="array" ref="D43">IF(NOT(ISBLANK(A43)), (_xlfn.XLOOKUP($A43,Index!$B$2:B$995,Index!$A$2:$A$995,"Not Found")),"")</f>
        <v/>
      </c>
      <c r="E43" s="2" t="str">
        <f t="array" ref="E43">IF(NOT(ISBLANK($A43)), (_xlfn.XLOOKUP($A43,Index!$B$2:$B$995,Index!$D$2:$D$995,"Not Found")),"")</f>
        <v/>
      </c>
      <c r="F43" s="1" t="str">
        <f t="array" ref="F43">IF(NOT(ISBLANK($A43)), (_xlfn.XLOOKUP($A43,Index!$B$2:$B$995,Index!$E$2:$E$995,"Not Found")),"")</f>
        <v/>
      </c>
      <c r="G43" s="1" t="str">
        <f t="array" ref="G43">IF(NOT(ISBLANK(A43)), ((_xlfn.XLOOKUP(A43,Index!$B$2:$B$995,Index!$F$2:$F$995,"Not Found"))*B43),"")</f>
        <v/>
      </c>
    </row>
    <row r="44">
      <c r="C44" s="1" t="str">
        <f t="array" ref="C44">IF(NOT(ISBLANK($A44)), (_xlfn.XLOOKUP($A44,Index!$B$2:$B$995,Index!$C$2:$C$995,"Not Found")),"")</f>
        <v/>
      </c>
      <c r="D44" s="1" t="str">
        <f t="array" ref="D44">IF(NOT(ISBLANK(A44)), (_xlfn.XLOOKUP($A44,Index!$B$2:B$995,Index!$A$2:$A$995,"Not Found")),"")</f>
        <v/>
      </c>
      <c r="E44" s="2" t="str">
        <f t="array" ref="E44">IF(NOT(ISBLANK($A44)), (_xlfn.XLOOKUP($A44,Index!$B$2:$B$995,Index!$D$2:$D$995,"Not Found")),"")</f>
        <v/>
      </c>
      <c r="F44" s="1" t="str">
        <f t="array" ref="F44">IF(NOT(ISBLANK($A44)), (_xlfn.XLOOKUP($A44,Index!$B$2:$B$995,Index!$E$2:$E$995,"Not Found")),"")</f>
        <v/>
      </c>
      <c r="G44" s="1" t="str">
        <f t="array" ref="G44">IF(NOT(ISBLANK(A44)), ((_xlfn.XLOOKUP(A44,Index!$B$2:$B$995,Index!$F$2:$F$995,"Not Found"))*B44),"")</f>
        <v/>
      </c>
    </row>
    <row r="45">
      <c r="C45" s="1" t="str">
        <f t="array" ref="C45">IF(NOT(ISBLANK($A45)), (_xlfn.XLOOKUP($A45,Index!$B$2:$B$995,Index!$C$2:$C$995,"Not Found")),"")</f>
        <v/>
      </c>
      <c r="D45" s="1" t="str">
        <f t="array" ref="D45">IF(NOT(ISBLANK(A45)), (_xlfn.XLOOKUP($A45,Index!$B$2:B$995,Index!$A$2:$A$995,"Not Found")),"")</f>
        <v/>
      </c>
      <c r="E45" s="2" t="str">
        <f t="array" ref="E45">IF(NOT(ISBLANK($A45)), (_xlfn.XLOOKUP($A45,Index!$B$2:$B$995,Index!$D$2:$D$995,"Not Found")),"")</f>
        <v/>
      </c>
      <c r="F45" s="1" t="str">
        <f t="array" ref="F45">IF(NOT(ISBLANK($A45)), (_xlfn.XLOOKUP($A45,Index!$B$2:$B$995,Index!$E$2:$E$995,"Not Found")),"")</f>
        <v/>
      </c>
      <c r="G45" s="1" t="str">
        <f t="array" ref="G45">IF(NOT(ISBLANK(A45)), ((_xlfn.XLOOKUP(A45,Index!$B$2:$B$995,Index!$F$2:$F$995,"Not Found"))*B45),"")</f>
        <v/>
      </c>
    </row>
    <row r="46">
      <c r="C46" s="1" t="str">
        <f t="array" ref="C46">IF(NOT(ISBLANK($A46)), (_xlfn.XLOOKUP($A46,Index!$B$2:$B$995,Index!$C$2:$C$995,"Not Found")),"")</f>
        <v/>
      </c>
      <c r="D46" s="1" t="str">
        <f t="array" ref="D46">IF(NOT(ISBLANK(A46)), (_xlfn.XLOOKUP($A46,Index!$B$2:B$995,Index!$A$2:$A$995,"Not Found")),"")</f>
        <v/>
      </c>
      <c r="E46" s="2" t="str">
        <f t="array" ref="E46">IF(NOT(ISBLANK($A46)), (_xlfn.XLOOKUP($A46,Index!$B$2:$B$995,Index!$D$2:$D$995,"Not Found")),"")</f>
        <v/>
      </c>
      <c r="F46" s="1" t="str">
        <f t="array" ref="F46">IF(NOT(ISBLANK($A46)), (_xlfn.XLOOKUP($A46,Index!$B$2:$B$995,Index!$E$2:$E$995,"Not Found")),"")</f>
        <v/>
      </c>
      <c r="G46" s="1" t="str">
        <f t="array" ref="G46">IF(NOT(ISBLANK(A46)), ((_xlfn.XLOOKUP(A46,Index!$B$2:$B$995,Index!$F$2:$F$995,"Not Found"))*B46),"")</f>
        <v/>
      </c>
    </row>
    <row r="47">
      <c r="C47" s="1" t="str">
        <f t="array" ref="C47">IF(NOT(ISBLANK($A47)), (_xlfn.XLOOKUP($A47,Index!$B$2:$B$995,Index!$C$2:$C$995,"Not Found")),"")</f>
        <v/>
      </c>
      <c r="D47" s="1" t="str">
        <f t="array" ref="D47">IF(NOT(ISBLANK(A47)), (_xlfn.XLOOKUP($A47,Index!$B$2:B$995,Index!$A$2:$A$995,"Not Found")),"")</f>
        <v/>
      </c>
      <c r="E47" s="2" t="str">
        <f t="array" ref="E47">IF(NOT(ISBLANK($A47)), (_xlfn.XLOOKUP($A47,Index!$B$2:$B$995,Index!$D$2:$D$995,"Not Found")),"")</f>
        <v/>
      </c>
      <c r="F47" s="1" t="str">
        <f t="array" ref="F47">IF(NOT(ISBLANK($A47)), (_xlfn.XLOOKUP($A47,Index!$B$2:$B$995,Index!$E$2:$E$995,"Not Found")),"")</f>
        <v/>
      </c>
      <c r="G47" s="1" t="str">
        <f t="array" ref="G47">IF(NOT(ISBLANK(A47)), ((_xlfn.XLOOKUP(A47,Index!$B$2:$B$995,Index!$F$2:$F$995,"Not Found"))*B47),"")</f>
        <v/>
      </c>
    </row>
    <row r="48">
      <c r="C48" s="1" t="str">
        <f t="array" ref="C48">IF(NOT(ISBLANK($A48)), (_xlfn.XLOOKUP($A48,Index!$B$2:$B$995,Index!$C$2:$C$995,"Not Found")),"")</f>
        <v/>
      </c>
      <c r="D48" s="1" t="str">
        <f t="array" ref="D48">IF(NOT(ISBLANK(A48)), (_xlfn.XLOOKUP($A48,Index!$B$2:B$995,Index!$A$2:$A$995,"Not Found")),"")</f>
        <v/>
      </c>
      <c r="E48" s="2" t="str">
        <f t="array" ref="E48">IF(NOT(ISBLANK($A48)), (_xlfn.XLOOKUP($A48,Index!$B$2:$B$995,Index!$D$2:$D$995,"Not Found")),"")</f>
        <v/>
      </c>
      <c r="F48" s="1" t="str">
        <f t="array" ref="F48">IF(NOT(ISBLANK($A48)), (_xlfn.XLOOKUP($A48,Index!$B$2:$B$995,Index!$E$2:$E$995,"Not Found")),"")</f>
        <v/>
      </c>
      <c r="G48" s="1" t="str">
        <f t="array" ref="G48">IF(NOT(ISBLANK(A48)), ((_xlfn.XLOOKUP(A48,Index!$B$2:$B$995,Index!$F$2:$F$995,"Not Found"))*B48),"")</f>
        <v/>
      </c>
    </row>
    <row r="49">
      <c r="C49" s="1" t="str">
        <f t="array" ref="C49">IF(NOT(ISBLANK($A49)), (_xlfn.XLOOKUP($A49,Index!$B$2:$B$995,Index!$C$2:$C$995,"Not Found")),"")</f>
        <v/>
      </c>
      <c r="D49" s="1" t="str">
        <f t="array" ref="D49">IF(NOT(ISBLANK(A49)), (_xlfn.XLOOKUP($A49,Index!$B$2:B$995,Index!$A$2:$A$995,"Not Found")),"")</f>
        <v/>
      </c>
      <c r="E49" s="2" t="str">
        <f t="array" ref="E49">IF(NOT(ISBLANK($A49)), (_xlfn.XLOOKUP($A49,Index!$B$2:$B$995,Index!$D$2:$D$995,"Not Found")),"")</f>
        <v/>
      </c>
      <c r="F49" s="1" t="str">
        <f t="array" ref="F49">IF(NOT(ISBLANK($A49)), (_xlfn.XLOOKUP($A49,Index!$B$2:$B$995,Index!$E$2:$E$995,"Not Found")),"")</f>
        <v/>
      </c>
      <c r="G49" s="1" t="str">
        <f t="array" ref="G49">IF(NOT(ISBLANK(A49)), ((_xlfn.XLOOKUP(A49,Index!$B$2:$B$995,Index!$F$2:$F$995,"Not Found"))*B49),"")</f>
        <v/>
      </c>
    </row>
    <row r="50">
      <c r="C50" s="1" t="str">
        <f t="array" ref="C50">IF(NOT(ISBLANK($A50)), (_xlfn.XLOOKUP($A50,Index!$B$2:$B$995,Index!$C$2:$C$995,"Not Found")),"")</f>
        <v/>
      </c>
      <c r="D50" s="1" t="str">
        <f t="array" ref="D50">IF(NOT(ISBLANK(A50)), (_xlfn.XLOOKUP($A50,Index!$B$2:B$995,Index!$A$2:$A$995,"Not Found")),"")</f>
        <v/>
      </c>
      <c r="E50" s="2" t="str">
        <f t="array" ref="E50">IF(NOT(ISBLANK($A50)), (_xlfn.XLOOKUP($A50,Index!$B$2:$B$995,Index!$D$2:$D$995,"Not Found")),"")</f>
        <v/>
      </c>
      <c r="F50" s="1" t="str">
        <f t="array" ref="F50">IF(NOT(ISBLANK($A50)), (_xlfn.XLOOKUP($A50,Index!$B$2:$B$995,Index!$E$2:$E$995,"Not Found")),"")</f>
        <v/>
      </c>
      <c r="G50" s="1" t="str">
        <f t="array" ref="G50">IF(NOT(ISBLANK(A50)), ((_xlfn.XLOOKUP(A50,Index!$B$2:$B$995,Index!$F$2:$F$995,"Not Found"))*B50),"")</f>
        <v/>
      </c>
    </row>
    <row r="51">
      <c r="C51" s="1" t="str">
        <f t="array" ref="C51">IF(NOT(ISBLANK($A51)), (_xlfn.XLOOKUP($A51,Index!$B$2:$B$995,Index!$C$2:$C$995,"Not Found")),"")</f>
        <v/>
      </c>
      <c r="D51" s="1" t="str">
        <f t="array" ref="D51">IF(NOT(ISBLANK(A51)), (_xlfn.XLOOKUP($A51,Index!$B$2:B$995,Index!$A$2:$A$995,"Not Found")),"")</f>
        <v/>
      </c>
      <c r="E51" s="2" t="str">
        <f t="array" ref="E51">IF(NOT(ISBLANK($A51)), (_xlfn.XLOOKUP($A51,Index!$B$2:$B$995,Index!$D$2:$D$995,"Not Found")),"")</f>
        <v/>
      </c>
      <c r="F51" s="1" t="str">
        <f t="array" ref="F51">IF(NOT(ISBLANK($A51)), (_xlfn.XLOOKUP($A51,Index!$B$2:$B$995,Index!$E$2:$E$995,"Not Found")),"")</f>
        <v/>
      </c>
      <c r="G51" s="1" t="str">
        <f t="array" ref="G51">IF(NOT(ISBLANK(A51)), ((_xlfn.XLOOKUP(A51,Index!$B$2:$B$995,Index!$F$2:$F$995,"Not Found"))*B51),"")</f>
        <v/>
      </c>
    </row>
    <row r="52">
      <c r="C52" s="1" t="str">
        <f t="array" ref="C52">IF(NOT(ISBLANK($A52)), (_xlfn.XLOOKUP($A52,Index!$B$2:$B$995,Index!$C$2:$C$995,"Not Found")),"")</f>
        <v/>
      </c>
      <c r="D52" s="1" t="str">
        <f t="array" ref="D52">IF(NOT(ISBLANK(A52)), (_xlfn.XLOOKUP($A52,Index!$B$2:B$995,Index!$A$2:$A$995,"Not Found")),"")</f>
        <v/>
      </c>
      <c r="E52" s="2" t="str">
        <f t="array" ref="E52">IF(NOT(ISBLANK($A52)), (_xlfn.XLOOKUP($A52,Index!$B$2:$B$995,Index!$D$2:$D$995,"Not Found")),"")</f>
        <v/>
      </c>
      <c r="F52" s="1" t="str">
        <f t="array" ref="F52">IF(NOT(ISBLANK($A52)), (_xlfn.XLOOKUP($A52,Index!$B$2:$B$995,Index!$E$2:$E$995,"Not Found")),"")</f>
        <v/>
      </c>
      <c r="G52" s="1" t="str">
        <f t="array" ref="G52">IF(NOT(ISBLANK(A52)), ((_xlfn.XLOOKUP(A52,Index!$B$2:$B$995,Index!$F$2:$F$995,"Not Found"))*B52),"")</f>
        <v/>
      </c>
    </row>
    <row r="53">
      <c r="C53" s="1" t="str">
        <f t="array" ref="C53">IF(NOT(ISBLANK($A53)), (_xlfn.XLOOKUP($A53,Index!$B$2:$B$995,Index!$C$2:$C$995,"Not Found")),"")</f>
        <v/>
      </c>
      <c r="D53" s="1" t="str">
        <f t="array" ref="D53">IF(NOT(ISBLANK(A53)), (_xlfn.XLOOKUP($A53,Index!$B$2:B$995,Index!$A$2:$A$995,"Not Found")),"")</f>
        <v/>
      </c>
      <c r="E53" s="2" t="str">
        <f t="array" ref="E53">IF(NOT(ISBLANK($A53)), (_xlfn.XLOOKUP($A53,Index!$B$2:$B$995,Index!$D$2:$D$995,"Not Found")),"")</f>
        <v/>
      </c>
      <c r="F53" s="1" t="str">
        <f t="array" ref="F53">IF(NOT(ISBLANK($A53)), (_xlfn.XLOOKUP($A53,Index!$B$2:$B$995,Index!$E$2:$E$995,"Not Found")),"")</f>
        <v/>
      </c>
      <c r="G53" s="1" t="str">
        <f t="array" ref="G53">IF(NOT(ISBLANK(A53)), ((_xlfn.XLOOKUP(A53,Index!$B$2:$B$995,Index!$F$2:$F$995,"Not Found"))*B53),"")</f>
        <v/>
      </c>
    </row>
    <row r="54">
      <c r="C54" s="1" t="str">
        <f t="array" ref="C54">IF(NOT(ISBLANK($A54)), (_xlfn.XLOOKUP($A54,Index!$B$2:$B$995,Index!$C$2:$C$995,"Not Found")),"")</f>
        <v/>
      </c>
      <c r="D54" s="1" t="str">
        <f t="array" ref="D54">IF(NOT(ISBLANK(A54)), (_xlfn.XLOOKUP($A54,Index!$B$2:B$995,Index!$A$2:$A$995,"Not Found")),"")</f>
        <v/>
      </c>
      <c r="E54" s="2" t="str">
        <f t="array" ref="E54">IF(NOT(ISBLANK($A54)), (_xlfn.XLOOKUP($A54,Index!$B$2:$B$995,Index!$D$2:$D$995,"Not Found")),"")</f>
        <v/>
      </c>
      <c r="F54" s="1" t="str">
        <f t="array" ref="F54">IF(NOT(ISBLANK($A54)), (_xlfn.XLOOKUP($A54,Index!$B$2:$B$995,Index!$E$2:$E$995,"Not Found")),"")</f>
        <v/>
      </c>
      <c r="G54" s="1" t="str">
        <f t="array" ref="G54">IF(NOT(ISBLANK(A54)), ((_xlfn.XLOOKUP(A54,Index!$B$2:$B$995,Index!$F$2:$F$995,"Not Found"))*B54),"")</f>
        <v/>
      </c>
    </row>
    <row r="55">
      <c r="C55" s="1" t="str">
        <f t="array" ref="C55">IF(NOT(ISBLANK($A55)), (_xlfn.XLOOKUP($A55,Index!$B$2:$B$995,Index!$C$2:$C$995,"Not Found")),"")</f>
        <v/>
      </c>
      <c r="D55" s="1" t="str">
        <f t="array" ref="D55">IF(NOT(ISBLANK(A55)), (_xlfn.XLOOKUP($A55,Index!$B$2:B$995,Index!$A$2:$A$995,"Not Found")),"")</f>
        <v/>
      </c>
      <c r="E55" s="2" t="str">
        <f t="array" ref="E55">IF(NOT(ISBLANK($A55)), (_xlfn.XLOOKUP($A55,Index!$B$2:$B$995,Index!$D$2:$D$995,"Not Found")),"")</f>
        <v/>
      </c>
      <c r="F55" s="1" t="str">
        <f t="array" ref="F55">IF(NOT(ISBLANK($A55)), (_xlfn.XLOOKUP($A55,Index!$B$2:$B$995,Index!$E$2:$E$995,"Not Found")),"")</f>
        <v/>
      </c>
      <c r="G55" s="1" t="str">
        <f t="array" ref="G55">IF(NOT(ISBLANK(A55)), ((_xlfn.XLOOKUP(A55,Index!$B$2:$B$995,Index!$F$2:$F$995,"Not Found"))*B55),"")</f>
        <v/>
      </c>
    </row>
    <row r="56">
      <c r="C56" s="1" t="str">
        <f t="array" ref="C56">IF(NOT(ISBLANK($A56)), (_xlfn.XLOOKUP($A56,Index!$B$2:$B$995,Index!$C$2:$C$995,"Not Found")),"")</f>
        <v/>
      </c>
      <c r="D56" s="1" t="str">
        <f t="array" ref="D56">IF(NOT(ISBLANK(A56)), (_xlfn.XLOOKUP($A56,Index!$B$2:B$995,Index!$A$2:$A$995,"Not Found")),"")</f>
        <v/>
      </c>
      <c r="E56" s="2" t="str">
        <f t="array" ref="E56">IF(NOT(ISBLANK($A56)), (_xlfn.XLOOKUP($A56,Index!$B$2:$B$995,Index!$D$2:$D$995,"Not Found")),"")</f>
        <v/>
      </c>
      <c r="F56" s="1" t="str">
        <f t="array" ref="F56">IF(NOT(ISBLANK($A56)), (_xlfn.XLOOKUP($A56,Index!$B$2:$B$995,Index!$E$2:$E$995,"Not Found")),"")</f>
        <v/>
      </c>
      <c r="G56" s="1" t="str">
        <f t="array" ref="G56">IF(NOT(ISBLANK(A56)), ((_xlfn.XLOOKUP(A56,Index!$B$2:$B$995,Index!$F$2:$F$995,"Not Found"))*B56),"")</f>
        <v/>
      </c>
    </row>
    <row r="57">
      <c r="C57" s="1" t="str">
        <f t="array" ref="C57">IF(NOT(ISBLANK($A57)), (_xlfn.XLOOKUP($A57,Index!$B$2:$B$995,Index!$C$2:$C$995,"Not Found")),"")</f>
        <v/>
      </c>
      <c r="D57" s="1" t="str">
        <f t="array" ref="D57">IF(NOT(ISBLANK(A57)), (_xlfn.XLOOKUP($A57,Index!$B$2:B$995,Index!$A$2:$A$995,"Not Found")),"")</f>
        <v/>
      </c>
      <c r="E57" s="2" t="str">
        <f t="array" ref="E57">IF(NOT(ISBLANK($A57)), (_xlfn.XLOOKUP($A57,Index!$B$2:$B$995,Index!$D$2:$D$995,"Not Found")),"")</f>
        <v/>
      </c>
      <c r="F57" s="1" t="str">
        <f t="array" ref="F57">IF(NOT(ISBLANK($A57)), (_xlfn.XLOOKUP($A57,Index!$B$2:$B$995,Index!$E$2:$E$995,"Not Found")),"")</f>
        <v/>
      </c>
      <c r="G57" s="1" t="str">
        <f t="array" ref="G57">IF(NOT(ISBLANK(A57)), ((_xlfn.XLOOKUP(A57,Index!$B$2:$B$995,Index!$F$2:$F$995,"Not Found"))*B57),"")</f>
        <v/>
      </c>
    </row>
    <row r="58">
      <c r="C58" s="1" t="str">
        <f t="array" ref="C58">IF(NOT(ISBLANK($A58)), (_xlfn.XLOOKUP($A58,Index!$B$2:$B$995,Index!$C$2:$C$995,"Not Found")),"")</f>
        <v/>
      </c>
      <c r="D58" s="1" t="str">
        <f t="array" ref="D58">IF(NOT(ISBLANK(A58)), (_xlfn.XLOOKUP($A58,Index!$B$2:B$995,Index!$A$2:$A$995,"Not Found")),"")</f>
        <v/>
      </c>
      <c r="E58" s="2" t="str">
        <f t="array" ref="E58">IF(NOT(ISBLANK($A58)), (_xlfn.XLOOKUP($A58,Index!$B$2:$B$995,Index!$D$2:$D$995,"Not Found")),"")</f>
        <v/>
      </c>
      <c r="F58" s="1" t="str">
        <f t="array" ref="F58">IF(NOT(ISBLANK($A58)), (_xlfn.XLOOKUP($A58,Index!$B$2:$B$995,Index!$E$2:$E$995,"Not Found")),"")</f>
        <v/>
      </c>
      <c r="G58" s="1" t="str">
        <f t="array" ref="G58">IF(NOT(ISBLANK(A58)), ((_xlfn.XLOOKUP(A58,Index!$B$2:$B$995,Index!$F$2:$F$995,"Not Found"))*B58),"")</f>
        <v/>
      </c>
    </row>
    <row r="59">
      <c r="C59" s="1" t="str">
        <f t="array" ref="C59">IF(NOT(ISBLANK($A59)), (_xlfn.XLOOKUP($A59,Index!$B$2:$B$995,Index!$C$2:$C$995,"Not Found")),"")</f>
        <v/>
      </c>
      <c r="D59" s="1" t="str">
        <f t="array" ref="D59">IF(NOT(ISBLANK(A59)), (_xlfn.XLOOKUP($A59,Index!$B$2:B$995,Index!$A$2:$A$995,"Not Found")),"")</f>
        <v/>
      </c>
      <c r="E59" s="2" t="str">
        <f t="array" ref="E59">IF(NOT(ISBLANK($A59)), (_xlfn.XLOOKUP($A59,Index!$B$2:$B$995,Index!$D$2:$D$995,"Not Found")),"")</f>
        <v/>
      </c>
      <c r="F59" s="1" t="str">
        <f t="array" ref="F59">IF(NOT(ISBLANK($A59)), (_xlfn.XLOOKUP($A59,Index!$B$2:$B$995,Index!$E$2:$E$995,"Not Found")),"")</f>
        <v/>
      </c>
      <c r="G59" s="1" t="str">
        <f t="array" ref="G59">IF(NOT(ISBLANK(A59)), ((_xlfn.XLOOKUP(A59,Index!$B$2:$B$995,Index!$F$2:$F$995,"Not Found"))*B59),"")</f>
        <v/>
      </c>
    </row>
    <row r="60">
      <c r="C60" s="1" t="str">
        <f t="array" ref="C60">IF(NOT(ISBLANK($A60)), (_xlfn.XLOOKUP($A60,Index!$B$2:$B$995,Index!$C$2:$C$995,"Not Found")),"")</f>
        <v/>
      </c>
      <c r="D60" s="1" t="str">
        <f t="array" ref="D60">IF(NOT(ISBLANK(A60)), (_xlfn.XLOOKUP($A60,Index!$B$2:B$995,Index!$A$2:$A$995,"Not Found")),"")</f>
        <v/>
      </c>
      <c r="E60" s="2" t="str">
        <f t="array" ref="E60">IF(NOT(ISBLANK($A60)), (_xlfn.XLOOKUP($A60,Index!$B$2:$B$995,Index!$D$2:$D$995,"Not Found")),"")</f>
        <v/>
      </c>
      <c r="F60" s="1" t="str">
        <f t="array" ref="F60">IF(NOT(ISBLANK($A60)), (_xlfn.XLOOKUP($A60,Index!$B$2:$B$995,Index!$E$2:$E$995,"Not Found")),"")</f>
        <v/>
      </c>
      <c r="G60" s="1" t="str">
        <f t="array" ref="G60">IF(NOT(ISBLANK(A60)), ((_xlfn.XLOOKUP(A60,Index!$B$2:$B$995,Index!$F$2:$F$995,"Not Found"))*B60),"")</f>
        <v/>
      </c>
    </row>
    <row r="61">
      <c r="C61" s="1" t="str">
        <f t="array" ref="C61">IF(NOT(ISBLANK($A61)), (_xlfn.XLOOKUP($A61,Index!$B$2:$B$995,Index!$C$2:$C$995,"Not Found")),"")</f>
        <v/>
      </c>
      <c r="D61" s="1" t="str">
        <f t="array" ref="D61">IF(NOT(ISBLANK(A61)), (_xlfn.XLOOKUP($A61,Index!$B$2:B$995,Index!$A$2:$A$995,"Not Found")),"")</f>
        <v/>
      </c>
      <c r="E61" s="2" t="str">
        <f t="array" ref="E61">IF(NOT(ISBLANK($A61)), (_xlfn.XLOOKUP($A61,Index!$B$2:$B$995,Index!$D$2:$D$995,"Not Found")),"")</f>
        <v/>
      </c>
      <c r="F61" s="1" t="str">
        <f t="array" ref="F61">IF(NOT(ISBLANK($A61)), (_xlfn.XLOOKUP($A61,Index!$B$2:$B$995,Index!$E$2:$E$995,"Not Found")),"")</f>
        <v/>
      </c>
      <c r="G61" s="1" t="str">
        <f t="array" ref="G61">IF(NOT(ISBLANK(A61)), ((_xlfn.XLOOKUP(A61,Index!$B$2:$B$995,Index!$F$2:$F$995,"Not Found"))*B61),"")</f>
        <v/>
      </c>
    </row>
    <row r="62">
      <c r="C62" s="1" t="str">
        <f t="array" ref="C62">IF(NOT(ISBLANK($A62)), (_xlfn.XLOOKUP($A62,Index!$B$2:$B$995,Index!$C$2:$C$995,"Not Found")),"")</f>
        <v/>
      </c>
      <c r="D62" s="1" t="str">
        <f t="array" ref="D62">IF(NOT(ISBLANK(A62)), (_xlfn.XLOOKUP($A62,Index!$B$2:B$995,Index!$A$2:$A$995,"Not Found")),"")</f>
        <v/>
      </c>
      <c r="E62" s="2" t="str">
        <f t="array" ref="E62">IF(NOT(ISBLANK($A62)), (_xlfn.XLOOKUP($A62,Index!$B$2:$B$995,Index!$D$2:$D$995,"Not Found")),"")</f>
        <v/>
      </c>
      <c r="F62" s="1" t="str">
        <f t="array" ref="F62">IF(NOT(ISBLANK($A62)), (_xlfn.XLOOKUP($A62,Index!$B$2:$B$995,Index!$E$2:$E$995,"Not Found")),"")</f>
        <v/>
      </c>
      <c r="G62" s="1" t="str">
        <f t="array" ref="G62">IF(NOT(ISBLANK(A62)), ((_xlfn.XLOOKUP(A62,Index!$B$2:$B$995,Index!$F$2:$F$995,"Not Found"))*B62),"")</f>
        <v/>
      </c>
    </row>
    <row r="63">
      <c r="C63" s="1" t="str">
        <f t="array" ref="C63">IF(NOT(ISBLANK($A63)), (_xlfn.XLOOKUP($A63,Index!$B$2:$B$995,Index!$C$2:$C$995,"Not Found")),"")</f>
        <v/>
      </c>
      <c r="D63" s="1" t="str">
        <f t="array" ref="D63">IF(NOT(ISBLANK(A63)), (_xlfn.XLOOKUP($A63,Index!$B$2:B$995,Index!$A$2:$A$995,"Not Found")),"")</f>
        <v/>
      </c>
      <c r="E63" s="2" t="str">
        <f t="array" ref="E63">IF(NOT(ISBLANK($A63)), (_xlfn.XLOOKUP($A63,Index!$B$2:$B$995,Index!$D$2:$D$995,"Not Found")),"")</f>
        <v/>
      </c>
      <c r="F63" s="1" t="str">
        <f t="array" ref="F63">IF(NOT(ISBLANK($A63)), (_xlfn.XLOOKUP($A63,Index!$B$2:$B$995,Index!$E$2:$E$995,"Not Found")),"")</f>
        <v/>
      </c>
      <c r="G63" s="1" t="str">
        <f t="array" ref="G63">IF(NOT(ISBLANK(A63)), ((_xlfn.XLOOKUP(A63,Index!$B$2:$B$995,Index!$F$2:$F$995,"Not Found"))*B63),"")</f>
        <v/>
      </c>
    </row>
    <row r="64">
      <c r="C64" s="1" t="str">
        <f t="array" ref="C64">IF(NOT(ISBLANK($A64)), (_xlfn.XLOOKUP($A64,Index!$B$2:$B$995,Index!$C$2:$C$995,"Not Found")),"")</f>
        <v/>
      </c>
      <c r="D64" s="1" t="str">
        <f t="array" ref="D64">IF(NOT(ISBLANK(A64)), (_xlfn.XLOOKUP($A64,Index!$B$2:B$995,Index!$A$2:$A$995,"Not Found")),"")</f>
        <v/>
      </c>
      <c r="E64" s="2" t="str">
        <f t="array" ref="E64">IF(NOT(ISBLANK($A64)), (_xlfn.XLOOKUP($A64,Index!$B$2:$B$995,Index!$D$2:$D$995,"Not Found")),"")</f>
        <v/>
      </c>
      <c r="F64" s="1" t="str">
        <f t="array" ref="F64">IF(NOT(ISBLANK($A64)), (_xlfn.XLOOKUP($A64,Index!$B$2:$B$995,Index!$E$2:$E$995,"Not Found")),"")</f>
        <v/>
      </c>
      <c r="G64" s="1" t="str">
        <f t="array" ref="G64">IF(NOT(ISBLANK(A64)), ((_xlfn.XLOOKUP(A64,Index!$B$2:$B$995,Index!$F$2:$F$995,"Not Found"))*B64),"")</f>
        <v/>
      </c>
    </row>
    <row r="65">
      <c r="C65" s="1" t="str">
        <f t="array" ref="C65">IF(NOT(ISBLANK($A65)), (_xlfn.XLOOKUP($A65,Index!$B$2:$B$995,Index!$C$2:$C$995,"Not Found")),"")</f>
        <v/>
      </c>
      <c r="D65" s="1" t="str">
        <f t="array" ref="D65">IF(NOT(ISBLANK(A65)), (_xlfn.XLOOKUP($A65,Index!$B$2:B$995,Index!$A$2:$A$995,"Not Found")),"")</f>
        <v/>
      </c>
      <c r="E65" s="2" t="str">
        <f t="array" ref="E65">IF(NOT(ISBLANK($A65)), (_xlfn.XLOOKUP($A65,Index!$B$2:$B$995,Index!$D$2:$D$995,"Not Found")),"")</f>
        <v/>
      </c>
      <c r="F65" s="1" t="str">
        <f t="array" ref="F65">IF(NOT(ISBLANK($A65)), (_xlfn.XLOOKUP($A65,Index!$B$2:$B$995,Index!$E$2:$E$995,"Not Found")),"")</f>
        <v/>
      </c>
      <c r="G65" s="1" t="str">
        <f t="array" ref="G65">IF(NOT(ISBLANK(A65)), ((_xlfn.XLOOKUP(A65,Index!$B$2:$B$995,Index!$F$2:$F$995,"Not Found"))*B65),"")</f>
        <v/>
      </c>
    </row>
    <row r="66">
      <c r="C66" s="1" t="str">
        <f t="array" ref="C66">IF(NOT(ISBLANK($A66)), (_xlfn.XLOOKUP($A66,Index!$B$2:$B$995,Index!$C$2:$C$995,"Not Found")),"")</f>
        <v/>
      </c>
      <c r="D66" s="1" t="str">
        <f t="array" ref="D66">IF(NOT(ISBLANK(A66)), (_xlfn.XLOOKUP($A66,Index!$B$2:B$995,Index!$A$2:$A$995,"Not Found")),"")</f>
        <v/>
      </c>
      <c r="E66" s="2" t="str">
        <f t="array" ref="E66">IF(NOT(ISBLANK($A66)), (_xlfn.XLOOKUP($A66,Index!$B$2:$B$995,Index!$D$2:$D$995,"Not Found")),"")</f>
        <v/>
      </c>
      <c r="F66" s="1" t="str">
        <f t="array" ref="F66">IF(NOT(ISBLANK($A66)), (_xlfn.XLOOKUP($A66,Index!$B$2:$B$995,Index!$E$2:$E$995,"Not Found")),"")</f>
        <v/>
      </c>
      <c r="G66" s="1" t="str">
        <f t="array" ref="G66">IF(NOT(ISBLANK(A66)), ((_xlfn.XLOOKUP(A66,Index!$B$2:$B$995,Index!$F$2:$F$995,"Not Found"))*B66),"")</f>
        <v/>
      </c>
    </row>
    <row r="67">
      <c r="C67" s="1" t="str">
        <f t="array" ref="C67">IF(NOT(ISBLANK($A67)), (_xlfn.XLOOKUP($A67,Index!$B$2:$B$995,Index!$C$2:$C$995,"Not Found")),"")</f>
        <v/>
      </c>
      <c r="D67" s="1" t="str">
        <f t="array" ref="D67">IF(NOT(ISBLANK(A67)), (_xlfn.XLOOKUP($A67,Index!$B$2:B$995,Index!$A$2:$A$995,"Not Found")),"")</f>
        <v/>
      </c>
      <c r="E67" s="2" t="str">
        <f t="array" ref="E67">IF(NOT(ISBLANK($A67)), (_xlfn.XLOOKUP($A67,Index!$B$2:$B$995,Index!$D$2:$D$995,"Not Found")),"")</f>
        <v/>
      </c>
      <c r="F67" s="1" t="str">
        <f t="array" ref="F67">IF(NOT(ISBLANK($A67)), (_xlfn.XLOOKUP($A67,Index!$B$2:$B$995,Index!$E$2:$E$995,"Not Found")),"")</f>
        <v/>
      </c>
      <c r="G67" s="1" t="str">
        <f t="array" ref="G67">IF(NOT(ISBLANK(A67)), ((_xlfn.XLOOKUP(A67,Index!$B$2:$B$995,Index!$F$2:$F$995,"Not Found"))*B67),"")</f>
        <v/>
      </c>
    </row>
    <row r="68">
      <c r="C68" s="1" t="str">
        <f t="array" ref="C68">IF(NOT(ISBLANK($A68)), (_xlfn.XLOOKUP($A68,Index!$B$2:$B$995,Index!$C$2:$C$995,"Not Found")),"")</f>
        <v/>
      </c>
      <c r="D68" s="1" t="str">
        <f t="array" ref="D68">IF(NOT(ISBLANK(A68)), (_xlfn.XLOOKUP($A68,Index!$B$2:B$995,Index!$A$2:$A$995,"Not Found")),"")</f>
        <v/>
      </c>
      <c r="E68" s="2" t="str">
        <f t="array" ref="E68">IF(NOT(ISBLANK($A68)), (_xlfn.XLOOKUP($A68,Index!$B$2:$B$995,Index!$D$2:$D$995,"Not Found")),"")</f>
        <v/>
      </c>
      <c r="F68" s="1" t="str">
        <f t="array" ref="F68">IF(NOT(ISBLANK($A68)), (_xlfn.XLOOKUP($A68,Index!$B$2:$B$995,Index!$E$2:$E$995,"Not Found")),"")</f>
        <v/>
      </c>
      <c r="G68" s="1" t="str">
        <f t="array" ref="G68">IF(NOT(ISBLANK(A68)), ((_xlfn.XLOOKUP(A68,Index!$B$2:$B$995,Index!$F$2:$F$995,"Not Found"))*B68),"")</f>
        <v/>
      </c>
    </row>
    <row r="69">
      <c r="C69" s="1" t="str">
        <f t="array" ref="C69">IF(NOT(ISBLANK($A69)), (_xlfn.XLOOKUP($A69,Index!$B$2:$B$995,Index!$C$2:$C$995,"Not Found")),"")</f>
        <v/>
      </c>
      <c r="D69" s="1" t="str">
        <f t="array" ref="D69">IF(NOT(ISBLANK(A69)), (_xlfn.XLOOKUP($A69,Index!$B$2:B$995,Index!$A$2:$A$995,"Not Found")),"")</f>
        <v/>
      </c>
      <c r="E69" s="2" t="str">
        <f t="array" ref="E69">IF(NOT(ISBLANK($A69)), (_xlfn.XLOOKUP($A69,Index!$B$2:$B$995,Index!$D$2:$D$995,"Not Found")),"")</f>
        <v/>
      </c>
      <c r="F69" s="1" t="str">
        <f t="array" ref="F69">IF(NOT(ISBLANK($A69)), (_xlfn.XLOOKUP($A69,Index!$B$2:$B$995,Index!$E$2:$E$995,"Not Found")),"")</f>
        <v/>
      </c>
      <c r="G69" s="1" t="str">
        <f t="array" ref="G69">IF(NOT(ISBLANK(A69)), ((_xlfn.XLOOKUP(A69,Index!$B$2:$B$995,Index!$F$2:$F$995,"Not Found"))*B69),"")</f>
        <v/>
      </c>
    </row>
    <row r="70">
      <c r="C70" s="1" t="str">
        <f t="array" ref="C70">IF(NOT(ISBLANK($A70)), (_xlfn.XLOOKUP($A70,Index!$B$2:$B$995,Index!$C$2:$C$995,"Not Found")),"")</f>
        <v/>
      </c>
      <c r="D70" s="1" t="str">
        <f t="array" ref="D70">IF(NOT(ISBLANK(A70)), (_xlfn.XLOOKUP($A70,Index!$B$2:B$995,Index!$A$2:$A$995,"Not Found")),"")</f>
        <v/>
      </c>
      <c r="E70" s="2" t="str">
        <f t="array" ref="E70">IF(NOT(ISBLANK($A70)), (_xlfn.XLOOKUP($A70,Index!$B$2:$B$995,Index!$D$2:$D$995,"Not Found")),"")</f>
        <v/>
      </c>
      <c r="F70" s="1" t="str">
        <f t="array" ref="F70">IF(NOT(ISBLANK($A70)), (_xlfn.XLOOKUP($A70,Index!$B$2:$B$995,Index!$E$2:$E$995,"Not Found")),"")</f>
        <v/>
      </c>
      <c r="G70" s="1" t="str">
        <f t="array" ref="G70">IF(NOT(ISBLANK(A70)), ((_xlfn.XLOOKUP(A70,Index!$B$2:$B$995,Index!$F$2:$F$995,"Not Found"))*B70),"")</f>
        <v/>
      </c>
    </row>
    <row r="71">
      <c r="C71" s="1" t="str">
        <f t="array" ref="C71">IF(NOT(ISBLANK($A71)), (_xlfn.XLOOKUP($A71,Index!$B$2:$B$995,Index!$C$2:$C$995,"Not Found")),"")</f>
        <v/>
      </c>
      <c r="D71" s="1" t="str">
        <f t="array" ref="D71">IF(NOT(ISBLANK(A71)), (_xlfn.XLOOKUP($A71,Index!$B$2:B$995,Index!$A$2:$A$995,"Not Found")),"")</f>
        <v/>
      </c>
      <c r="E71" s="2" t="str">
        <f t="array" ref="E71">IF(NOT(ISBLANK($A71)), (_xlfn.XLOOKUP($A71,Index!$B$2:$B$995,Index!$D$2:$D$995,"Not Found")),"")</f>
        <v/>
      </c>
      <c r="F71" s="1" t="str">
        <f t="array" ref="F71">IF(NOT(ISBLANK($A71)), (_xlfn.XLOOKUP($A71,Index!$B$2:$B$995,Index!$E$2:$E$995,"Not Found")),"")</f>
        <v/>
      </c>
      <c r="G71" s="1" t="str">
        <f t="array" ref="G71">IF(NOT(ISBLANK(A71)), ((_xlfn.XLOOKUP(A71,Index!$B$2:$B$995,Index!$F$2:$F$995,"Not Found"))*B71),"")</f>
        <v/>
      </c>
    </row>
    <row r="72">
      <c r="C72" s="1" t="str">
        <f t="array" ref="C72">IF(NOT(ISBLANK($A72)), (_xlfn.XLOOKUP($A72,Index!$B$2:$B$995,Index!$C$2:$C$995,"Not Found")),"")</f>
        <v/>
      </c>
      <c r="D72" s="1" t="str">
        <f t="array" ref="D72">IF(NOT(ISBLANK(A72)), (_xlfn.XLOOKUP($A72,Index!$B$2:B$995,Index!$A$2:$A$995,"Not Found")),"")</f>
        <v/>
      </c>
      <c r="E72" s="2" t="str">
        <f t="array" ref="E72">IF(NOT(ISBLANK($A72)), (_xlfn.XLOOKUP($A72,Index!$B$2:$B$995,Index!$D$2:$D$995,"Not Found")),"")</f>
        <v/>
      </c>
      <c r="F72" s="1" t="str">
        <f t="array" ref="F72">IF(NOT(ISBLANK($A72)), (_xlfn.XLOOKUP($A72,Index!$B$2:$B$995,Index!$E$2:$E$995,"Not Found")),"")</f>
        <v/>
      </c>
      <c r="G72" s="1" t="str">
        <f t="array" ref="G72">IF(NOT(ISBLANK(A72)), ((_xlfn.XLOOKUP(A72,Index!$B$2:$B$995,Index!$F$2:$F$995,"Not Found"))*B72),"")</f>
        <v/>
      </c>
    </row>
    <row r="73">
      <c r="C73" s="1" t="str">
        <f t="array" ref="C73">IF(NOT(ISBLANK($A73)), (_xlfn.XLOOKUP($A73,Index!$B$2:$B$995,Index!$C$2:$C$995,"Not Found")),"")</f>
        <v/>
      </c>
      <c r="D73" s="1" t="str">
        <f t="array" ref="D73">IF(NOT(ISBLANK(A73)), (_xlfn.XLOOKUP($A73,Index!$B$2:B$995,Index!$A$2:$A$995,"Not Found")),"")</f>
        <v/>
      </c>
      <c r="E73" s="2" t="str">
        <f t="array" ref="E73">IF(NOT(ISBLANK($A73)), (_xlfn.XLOOKUP($A73,Index!$B$2:$B$995,Index!$D$2:$D$995,"Not Found")),"")</f>
        <v/>
      </c>
      <c r="F73" s="1" t="str">
        <f t="array" ref="F73">IF(NOT(ISBLANK($A73)), (_xlfn.XLOOKUP($A73,Index!$B$2:$B$995,Index!$E$2:$E$995,"Not Found")),"")</f>
        <v/>
      </c>
      <c r="G73" s="1" t="str">
        <f t="array" ref="G73">IF(NOT(ISBLANK(A73)), ((_xlfn.XLOOKUP(A73,Index!$B$2:$B$995,Index!$F$2:$F$995,"Not Found"))*B73),"")</f>
        <v/>
      </c>
    </row>
    <row r="74">
      <c r="C74" s="1" t="str">
        <f t="array" ref="C74">IF(NOT(ISBLANK($A74)), (_xlfn.XLOOKUP($A74,Index!$B$2:$B$995,Index!$C$2:$C$995,"Not Found")),"")</f>
        <v/>
      </c>
      <c r="D74" s="1" t="str">
        <f t="array" ref="D74">IF(NOT(ISBLANK(A74)), (_xlfn.XLOOKUP($A74,Index!$B$2:B$995,Index!$A$2:$A$995,"Not Found")),"")</f>
        <v/>
      </c>
      <c r="E74" s="2" t="str">
        <f t="array" ref="E74">IF(NOT(ISBLANK($A74)), (_xlfn.XLOOKUP($A74,Index!$B$2:$B$995,Index!$D$2:$D$995,"Not Found")),"")</f>
        <v/>
      </c>
      <c r="F74" s="1" t="str">
        <f t="array" ref="F74">IF(NOT(ISBLANK($A74)), (_xlfn.XLOOKUP($A74,Index!$B$2:$B$995,Index!$E$2:$E$995,"Not Found")),"")</f>
        <v/>
      </c>
      <c r="G74" s="1" t="str">
        <f t="array" ref="G74">IF(NOT(ISBLANK(A74)), ((_xlfn.XLOOKUP(A74,Index!$B$2:$B$995,Index!$F$2:$F$995,"Not Found"))*B74),"")</f>
        <v/>
      </c>
    </row>
    <row r="75">
      <c r="C75" s="1" t="str">
        <f t="array" ref="C75">IF(NOT(ISBLANK($A75)), (_xlfn.XLOOKUP($A75,Index!$B$2:$B$995,Index!$C$2:$C$995,"Not Found")),"")</f>
        <v/>
      </c>
      <c r="D75" s="1" t="str">
        <f t="array" ref="D75">IF(NOT(ISBLANK(A75)), (_xlfn.XLOOKUP($A75,Index!$B$2:B$995,Index!$A$2:$A$995,"Not Found")),"")</f>
        <v/>
      </c>
      <c r="E75" s="2" t="str">
        <f t="array" ref="E75">IF(NOT(ISBLANK($A75)), (_xlfn.XLOOKUP($A75,Index!$B$2:$B$995,Index!$D$2:$D$995,"Not Found")),"")</f>
        <v/>
      </c>
      <c r="F75" s="1" t="str">
        <f t="array" ref="F75">IF(NOT(ISBLANK($A75)), (_xlfn.XLOOKUP($A75,Index!$B$2:$B$995,Index!$E$2:$E$995,"Not Found")),"")</f>
        <v/>
      </c>
      <c r="G75" s="1" t="str">
        <f t="array" ref="G75">IF(NOT(ISBLANK(A75)), ((_xlfn.XLOOKUP(A75,Index!$B$2:$B$995,Index!$F$2:$F$995,"Not Found"))*B75),"")</f>
        <v/>
      </c>
    </row>
    <row r="76">
      <c r="C76" s="1" t="str">
        <f t="array" ref="C76">IF(NOT(ISBLANK($A76)), (_xlfn.XLOOKUP($A76,Index!$B$2:$B$995,Index!$C$2:$C$995,"Not Found")),"")</f>
        <v/>
      </c>
      <c r="D76" s="1" t="str">
        <f t="array" ref="D76">IF(NOT(ISBLANK(A76)), (_xlfn.XLOOKUP($A76,Index!$B$2:B$995,Index!$A$2:$A$995,"Not Found")),"")</f>
        <v/>
      </c>
      <c r="E76" s="2" t="str">
        <f t="array" ref="E76">IF(NOT(ISBLANK($A76)), (_xlfn.XLOOKUP($A76,Index!$B$2:$B$995,Index!$D$2:$D$995,"Not Found")),"")</f>
        <v/>
      </c>
      <c r="F76" s="1" t="str">
        <f t="array" ref="F76">IF(NOT(ISBLANK($A76)), (_xlfn.XLOOKUP($A76,Index!$B$2:$B$995,Index!$E$2:$E$995,"Not Found")),"")</f>
        <v/>
      </c>
      <c r="G76" s="1" t="str">
        <f t="array" ref="G76">IF(NOT(ISBLANK(A76)), ((_xlfn.XLOOKUP(A76,Index!$B$2:$B$995,Index!$F$2:$F$995,"Not Found"))*B76),"")</f>
        <v/>
      </c>
    </row>
    <row r="77">
      <c r="C77" s="1" t="str">
        <f t="array" ref="C77">IF(NOT(ISBLANK($A77)), (_xlfn.XLOOKUP($A77,Index!$B$2:$B$995,Index!$C$2:$C$995,"Not Found")),"")</f>
        <v/>
      </c>
      <c r="D77" s="1" t="str">
        <f t="array" ref="D77">IF(NOT(ISBLANK(A77)), (_xlfn.XLOOKUP($A77,Index!$B$2:B$995,Index!$A$2:$A$995,"Not Found")),"")</f>
        <v/>
      </c>
      <c r="E77" s="2" t="str">
        <f t="array" ref="E77">IF(NOT(ISBLANK($A77)), (_xlfn.XLOOKUP($A77,Index!$B$2:$B$995,Index!$D$2:$D$995,"Not Found")),"")</f>
        <v/>
      </c>
      <c r="F77" s="1" t="str">
        <f t="array" ref="F77">IF(NOT(ISBLANK($A77)), (_xlfn.XLOOKUP($A77,Index!$B$2:$B$995,Index!$E$2:$E$995,"Not Found")),"")</f>
        <v/>
      </c>
      <c r="G77" s="1" t="str">
        <f t="array" ref="G77">IF(NOT(ISBLANK(A77)), ((_xlfn.XLOOKUP(A77,Index!$B$2:$B$995,Index!$F$2:$F$995,"Not Found"))*B77),"")</f>
        <v/>
      </c>
    </row>
    <row r="78">
      <c r="E78" s="7"/>
    </row>
    <row r="79">
      <c r="E79" s="7"/>
    </row>
    <row r="80">
      <c r="E80" s="7"/>
    </row>
    <row r="81">
      <c r="E81" s="7"/>
    </row>
    <row r="82">
      <c r="E82" s="7"/>
    </row>
    <row r="83">
      <c r="E83" s="7"/>
    </row>
    <row r="84">
      <c r="E84" s="7"/>
    </row>
    <row r="85">
      <c r="E85" s="7"/>
    </row>
    <row r="86">
      <c r="E86" s="7"/>
    </row>
    <row r="87">
      <c r="E87" s="7"/>
    </row>
    <row r="88">
      <c r="E88" s="7"/>
    </row>
    <row r="89">
      <c r="E89" s="7"/>
    </row>
    <row r="90">
      <c r="E90" s="7"/>
    </row>
    <row r="91">
      <c r="E91" s="7"/>
    </row>
    <row r="92">
      <c r="E92" s="7"/>
    </row>
    <row r="93">
      <c r="E93" s="7"/>
    </row>
    <row r="94">
      <c r="E94" s="7"/>
    </row>
    <row r="95">
      <c r="E95" s="7"/>
    </row>
    <row r="96">
      <c r="E96" s="7"/>
    </row>
    <row r="97">
      <c r="E97" s="7"/>
    </row>
    <row r="98">
      <c r="E98" s="7"/>
    </row>
    <row r="99">
      <c r="E99" s="7"/>
    </row>
    <row r="100">
      <c r="E100" s="7"/>
    </row>
    <row r="101">
      <c r="E101" s="7"/>
    </row>
    <row r="102">
      <c r="E102" s="7"/>
    </row>
    <row r="103">
      <c r="E103" s="7"/>
    </row>
    <row r="104">
      <c r="E104" s="7"/>
    </row>
    <row r="105">
      <c r="E105" s="7"/>
    </row>
    <row r="106">
      <c r="E106" s="7"/>
    </row>
    <row r="107">
      <c r="E107" s="7"/>
    </row>
    <row r="108">
      <c r="E108" s="7"/>
    </row>
    <row r="109">
      <c r="E109" s="7"/>
    </row>
    <row r="110">
      <c r="E110" s="7"/>
    </row>
    <row r="111">
      <c r="E111" s="7"/>
    </row>
    <row r="112">
      <c r="E112" s="7"/>
    </row>
    <row r="113">
      <c r="E113" s="7"/>
    </row>
    <row r="114">
      <c r="E114" s="7"/>
    </row>
    <row r="115">
      <c r="E115" s="7"/>
    </row>
    <row r="116">
      <c r="E116" s="7"/>
    </row>
    <row r="117">
      <c r="E117" s="7"/>
    </row>
    <row r="118">
      <c r="E118" s="7"/>
    </row>
    <row r="119">
      <c r="E119" s="7"/>
    </row>
    <row r="120">
      <c r="E120" s="7"/>
    </row>
    <row r="121">
      <c r="E121" s="7"/>
    </row>
    <row r="122">
      <c r="E122" s="7"/>
    </row>
    <row r="123">
      <c r="E123" s="7"/>
    </row>
    <row r="124">
      <c r="E124" s="7"/>
    </row>
    <row r="125">
      <c r="E125" s="7"/>
    </row>
    <row r="126">
      <c r="E126" s="7"/>
    </row>
    <row r="127">
      <c r="E127" s="7"/>
    </row>
    <row r="128">
      <c r="E128" s="7"/>
    </row>
    <row r="129">
      <c r="E129" s="7"/>
    </row>
    <row r="130">
      <c r="E130" s="7"/>
    </row>
    <row r="131">
      <c r="E131" s="7"/>
    </row>
    <row r="132">
      <c r="E132" s="7"/>
    </row>
    <row r="133">
      <c r="E133" s="7"/>
    </row>
    <row r="134">
      <c r="E134" s="7"/>
    </row>
    <row r="135">
      <c r="E135" s="7"/>
    </row>
    <row r="136">
      <c r="E136" s="7"/>
    </row>
    <row r="137">
      <c r="E137" s="7"/>
    </row>
    <row r="138">
      <c r="E138" s="7"/>
    </row>
    <row r="139">
      <c r="E139" s="7"/>
    </row>
    <row r="140">
      <c r="E140" s="7"/>
    </row>
    <row r="141">
      <c r="E141" s="7"/>
    </row>
    <row r="142">
      <c r="E142" s="7"/>
    </row>
    <row r="143">
      <c r="E143" s="7"/>
    </row>
    <row r="144">
      <c r="E144" s="7"/>
    </row>
    <row r="145">
      <c r="E145" s="7"/>
    </row>
    <row r="146">
      <c r="E146" s="7"/>
    </row>
    <row r="147">
      <c r="E147" s="7"/>
    </row>
    <row r="148">
      <c r="E148" s="7"/>
    </row>
    <row r="149">
      <c r="E149" s="7"/>
    </row>
    <row r="150">
      <c r="E150" s="7"/>
    </row>
    <row r="151">
      <c r="E151" s="7"/>
    </row>
    <row r="152">
      <c r="E152" s="7"/>
    </row>
    <row r="153">
      <c r="E153" s="7"/>
    </row>
    <row r="154">
      <c r="E154" s="7"/>
    </row>
    <row r="155">
      <c r="E155" s="7"/>
    </row>
    <row r="156">
      <c r="E156" s="7"/>
    </row>
    <row r="157">
      <c r="E157" s="7"/>
    </row>
    <row r="158">
      <c r="E158" s="7"/>
    </row>
    <row r="159">
      <c r="E159" s="7"/>
    </row>
    <row r="160">
      <c r="E160" s="7"/>
    </row>
    <row r="161">
      <c r="E161" s="7"/>
    </row>
    <row r="162">
      <c r="E162" s="7"/>
    </row>
    <row r="163">
      <c r="E163" s="7"/>
    </row>
    <row r="164">
      <c r="E164" s="7"/>
    </row>
    <row r="165">
      <c r="E165" s="7"/>
    </row>
    <row r="166">
      <c r="E166" s="7"/>
    </row>
    <row r="167">
      <c r="E167" s="7"/>
    </row>
    <row r="168">
      <c r="E168" s="7"/>
    </row>
    <row r="169">
      <c r="E169" s="7"/>
    </row>
    <row r="170">
      <c r="E170" s="7"/>
    </row>
    <row r="171">
      <c r="E171" s="7"/>
    </row>
    <row r="172">
      <c r="E172" s="7"/>
    </row>
    <row r="173">
      <c r="E173" s="7"/>
    </row>
    <row r="174">
      <c r="E174" s="7"/>
    </row>
    <row r="175">
      <c r="E175" s="7"/>
    </row>
    <row r="176">
      <c r="E176" s="7"/>
    </row>
    <row r="177">
      <c r="E177" s="7"/>
    </row>
    <row r="178">
      <c r="E178" s="7"/>
    </row>
    <row r="179">
      <c r="E179" s="7"/>
    </row>
    <row r="180">
      <c r="E180" s="7"/>
    </row>
    <row r="181">
      <c r="E181" s="7"/>
    </row>
    <row r="182">
      <c r="E182" s="7"/>
    </row>
    <row r="183">
      <c r="E183" s="7"/>
    </row>
    <row r="184">
      <c r="E184" s="7"/>
    </row>
    <row r="185">
      <c r="E185" s="7"/>
    </row>
    <row r="186">
      <c r="E186" s="7"/>
    </row>
    <row r="187">
      <c r="E187" s="7"/>
    </row>
    <row r="188">
      <c r="E188" s="7"/>
    </row>
    <row r="189">
      <c r="E189" s="7"/>
    </row>
    <row r="190">
      <c r="E190" s="7"/>
    </row>
    <row r="191">
      <c r="E191" s="7"/>
    </row>
    <row r="192">
      <c r="E192" s="7"/>
    </row>
    <row r="193">
      <c r="E193" s="7"/>
    </row>
    <row r="194">
      <c r="E194" s="7"/>
    </row>
    <row r="195">
      <c r="E195" s="7"/>
    </row>
    <row r="196">
      <c r="E196" s="7"/>
    </row>
    <row r="197">
      <c r="E197" s="7"/>
    </row>
    <row r="198">
      <c r="E198" s="7"/>
    </row>
    <row r="199">
      <c r="E199" s="7"/>
    </row>
    <row r="200">
      <c r="E200" s="7"/>
    </row>
    <row r="201">
      <c r="E201" s="7"/>
    </row>
    <row r="202">
      <c r="E202" s="7"/>
    </row>
    <row r="203">
      <c r="E203" s="7"/>
    </row>
    <row r="204">
      <c r="E204" s="7"/>
    </row>
    <row r="205">
      <c r="E205" s="7"/>
    </row>
    <row r="206">
      <c r="E206" s="7"/>
    </row>
    <row r="207">
      <c r="E207" s="7"/>
    </row>
    <row r="208">
      <c r="E208" s="7"/>
    </row>
    <row r="209">
      <c r="E209" s="7"/>
    </row>
    <row r="210">
      <c r="E210" s="7"/>
    </row>
    <row r="211">
      <c r="E211" s="7"/>
    </row>
    <row r="212">
      <c r="E212" s="7"/>
    </row>
    <row r="213">
      <c r="E213" s="7"/>
    </row>
    <row r="214">
      <c r="E214" s="7"/>
    </row>
    <row r="215">
      <c r="E215" s="7"/>
    </row>
    <row r="216">
      <c r="E216" s="7"/>
    </row>
    <row r="217">
      <c r="E217" s="7"/>
    </row>
    <row r="218">
      <c r="E218" s="7"/>
    </row>
    <row r="219">
      <c r="E219" s="7"/>
    </row>
    <row r="220">
      <c r="E220" s="7"/>
    </row>
    <row r="221">
      <c r="E221" s="7"/>
    </row>
    <row r="222">
      <c r="E222" s="7"/>
    </row>
    <row r="223">
      <c r="E223" s="7"/>
    </row>
    <row r="224">
      <c r="E224" s="7"/>
    </row>
    <row r="225">
      <c r="E225" s="7"/>
    </row>
    <row r="226">
      <c r="E226" s="7"/>
    </row>
    <row r="227">
      <c r="E227" s="7"/>
    </row>
    <row r="228">
      <c r="E228" s="7"/>
    </row>
    <row r="229">
      <c r="E229" s="7"/>
    </row>
    <row r="230">
      <c r="E230" s="7"/>
    </row>
    <row r="231">
      <c r="E231" s="7"/>
    </row>
    <row r="232">
      <c r="E232" s="7"/>
    </row>
    <row r="233">
      <c r="E233" s="7"/>
    </row>
    <row r="234">
      <c r="E234" s="7"/>
    </row>
    <row r="235">
      <c r="E235" s="7"/>
    </row>
    <row r="236">
      <c r="E236" s="7"/>
    </row>
    <row r="237">
      <c r="E237" s="7"/>
    </row>
    <row r="238">
      <c r="E238" s="7"/>
    </row>
    <row r="239">
      <c r="E239" s="7"/>
    </row>
    <row r="240">
      <c r="E240" s="7"/>
    </row>
    <row r="241">
      <c r="E241" s="7"/>
    </row>
    <row r="242">
      <c r="E242" s="7"/>
    </row>
    <row r="243">
      <c r="E243" s="7"/>
    </row>
    <row r="244">
      <c r="E244" s="7"/>
    </row>
    <row r="245">
      <c r="E245" s="7"/>
    </row>
    <row r="246">
      <c r="E246" s="7"/>
    </row>
    <row r="247">
      <c r="E247" s="7"/>
    </row>
    <row r="248">
      <c r="E248" s="7"/>
    </row>
    <row r="249">
      <c r="E249" s="7"/>
    </row>
    <row r="250">
      <c r="E250" s="7"/>
    </row>
    <row r="251">
      <c r="E251" s="7"/>
    </row>
    <row r="252">
      <c r="E252" s="7"/>
    </row>
    <row r="253">
      <c r="E253" s="7"/>
    </row>
    <row r="254">
      <c r="E254" s="7"/>
    </row>
    <row r="255">
      <c r="E255" s="7"/>
    </row>
    <row r="256">
      <c r="E256" s="7"/>
    </row>
    <row r="257">
      <c r="E257" s="7"/>
    </row>
    <row r="258">
      <c r="E258" s="7"/>
    </row>
    <row r="259">
      <c r="E259" s="7"/>
    </row>
    <row r="260">
      <c r="E260" s="7"/>
    </row>
    <row r="261">
      <c r="E261" s="7"/>
    </row>
    <row r="262">
      <c r="E262" s="7"/>
    </row>
    <row r="263">
      <c r="E263" s="7"/>
    </row>
    <row r="264">
      <c r="E264" s="7"/>
    </row>
    <row r="265">
      <c r="E265" s="7"/>
    </row>
    <row r="266">
      <c r="E266" s="7"/>
    </row>
    <row r="267">
      <c r="E267" s="7"/>
    </row>
    <row r="268">
      <c r="E268" s="7"/>
    </row>
    <row r="269">
      <c r="E269" s="7"/>
    </row>
    <row r="270">
      <c r="E270" s="7"/>
    </row>
    <row r="271">
      <c r="E271" s="7"/>
    </row>
    <row r="272">
      <c r="E272" s="7"/>
    </row>
    <row r="273">
      <c r="E273" s="7"/>
    </row>
    <row r="274">
      <c r="E274" s="7"/>
    </row>
    <row r="275">
      <c r="E275" s="7"/>
    </row>
    <row r="276">
      <c r="E276" s="7"/>
    </row>
    <row r="277">
      <c r="E277" s="7"/>
    </row>
    <row r="278">
      <c r="E278" s="7"/>
    </row>
    <row r="279">
      <c r="E279" s="7"/>
    </row>
    <row r="280">
      <c r="E280" s="7"/>
    </row>
    <row r="281">
      <c r="E281" s="7"/>
    </row>
    <row r="282">
      <c r="E282" s="7"/>
    </row>
    <row r="283">
      <c r="E283" s="7"/>
    </row>
    <row r="284">
      <c r="E284" s="7"/>
    </row>
    <row r="285">
      <c r="E285" s="7"/>
    </row>
    <row r="286">
      <c r="E286" s="7"/>
    </row>
    <row r="287">
      <c r="E287" s="7"/>
    </row>
    <row r="288">
      <c r="E288" s="7"/>
    </row>
    <row r="289">
      <c r="E289" s="7"/>
    </row>
    <row r="290">
      <c r="E290" s="7"/>
    </row>
    <row r="291">
      <c r="E291" s="7"/>
    </row>
    <row r="292">
      <c r="E292" s="7"/>
    </row>
    <row r="293">
      <c r="E293" s="7"/>
    </row>
    <row r="294">
      <c r="E294" s="7"/>
    </row>
    <row r="295">
      <c r="E295" s="7"/>
    </row>
    <row r="296">
      <c r="E296" s="7"/>
    </row>
    <row r="297">
      <c r="E297" s="7"/>
    </row>
    <row r="298">
      <c r="E298" s="7"/>
    </row>
    <row r="299">
      <c r="E299" s="7"/>
    </row>
    <row r="300">
      <c r="E300" s="7"/>
    </row>
    <row r="301">
      <c r="E301" s="7"/>
    </row>
    <row r="302">
      <c r="E302" s="7"/>
    </row>
    <row r="303">
      <c r="E303" s="7"/>
    </row>
    <row r="304">
      <c r="E304" s="7"/>
    </row>
    <row r="305">
      <c r="E305" s="7"/>
    </row>
    <row r="306">
      <c r="E306" s="7"/>
    </row>
    <row r="307">
      <c r="E307" s="7"/>
    </row>
    <row r="308">
      <c r="E308" s="7"/>
    </row>
    <row r="309">
      <c r="E309" s="7"/>
    </row>
    <row r="310">
      <c r="E310" s="7"/>
    </row>
    <row r="311">
      <c r="E311" s="7"/>
    </row>
    <row r="312">
      <c r="E312" s="7"/>
    </row>
    <row r="313">
      <c r="E313" s="7"/>
    </row>
    <row r="314">
      <c r="E314" s="7"/>
    </row>
    <row r="315">
      <c r="E315" s="7"/>
    </row>
    <row r="316">
      <c r="E316" s="7"/>
    </row>
    <row r="317">
      <c r="E317" s="7"/>
    </row>
    <row r="318">
      <c r="E318" s="7"/>
    </row>
    <row r="319">
      <c r="E319" s="7"/>
    </row>
    <row r="320">
      <c r="E320" s="7"/>
    </row>
    <row r="321">
      <c r="E321" s="7"/>
    </row>
    <row r="322">
      <c r="E322" s="7"/>
    </row>
    <row r="323">
      <c r="E323" s="7"/>
    </row>
    <row r="324">
      <c r="E324" s="7"/>
    </row>
    <row r="325">
      <c r="E325" s="7"/>
    </row>
    <row r="326">
      <c r="E326" s="7"/>
    </row>
    <row r="327">
      <c r="E327" s="7"/>
    </row>
    <row r="328">
      <c r="E328" s="7"/>
    </row>
    <row r="329">
      <c r="E329" s="7"/>
    </row>
    <row r="330">
      <c r="E330" s="7"/>
    </row>
    <row r="331">
      <c r="E331" s="7"/>
    </row>
    <row r="332">
      <c r="E332" s="7"/>
    </row>
    <row r="333">
      <c r="E333" s="7"/>
    </row>
    <row r="334">
      <c r="E334" s="7"/>
    </row>
    <row r="335">
      <c r="E335" s="7"/>
    </row>
    <row r="336">
      <c r="E336" s="7"/>
    </row>
    <row r="337">
      <c r="E337" s="7"/>
    </row>
    <row r="338">
      <c r="E338" s="7"/>
    </row>
    <row r="339">
      <c r="E339" s="7"/>
    </row>
    <row r="340">
      <c r="E340" s="7"/>
    </row>
    <row r="341">
      <c r="E341" s="7"/>
    </row>
    <row r="342">
      <c r="E342" s="7"/>
    </row>
    <row r="343">
      <c r="E343" s="7"/>
    </row>
    <row r="344">
      <c r="E344" s="7"/>
    </row>
    <row r="345">
      <c r="E345" s="7"/>
    </row>
    <row r="346">
      <c r="E346" s="7"/>
    </row>
    <row r="347">
      <c r="E347" s="7"/>
    </row>
    <row r="348">
      <c r="E348" s="7"/>
    </row>
    <row r="349">
      <c r="E349" s="7"/>
    </row>
    <row r="350">
      <c r="E350" s="7"/>
    </row>
    <row r="351">
      <c r="E351" s="7"/>
    </row>
    <row r="352">
      <c r="E352" s="7"/>
    </row>
    <row r="353">
      <c r="E353" s="7"/>
    </row>
    <row r="354">
      <c r="E354" s="7"/>
    </row>
    <row r="355">
      <c r="E355" s="7"/>
    </row>
    <row r="356">
      <c r="E356" s="7"/>
    </row>
    <row r="357">
      <c r="E357" s="7"/>
    </row>
    <row r="358">
      <c r="E358" s="7"/>
    </row>
    <row r="359">
      <c r="E359" s="7"/>
    </row>
    <row r="360">
      <c r="E360" s="7"/>
    </row>
    <row r="361">
      <c r="E361" s="7"/>
    </row>
    <row r="362">
      <c r="E362" s="7"/>
    </row>
    <row r="363">
      <c r="E363" s="7"/>
    </row>
    <row r="364">
      <c r="E364" s="7"/>
    </row>
    <row r="365">
      <c r="E365" s="7"/>
    </row>
    <row r="366">
      <c r="E366" s="7"/>
    </row>
    <row r="367">
      <c r="E367" s="7"/>
    </row>
    <row r="368">
      <c r="E368" s="7"/>
    </row>
    <row r="369">
      <c r="E369" s="7"/>
    </row>
    <row r="370">
      <c r="E370" s="7"/>
    </row>
    <row r="371">
      <c r="E371" s="7"/>
    </row>
    <row r="372">
      <c r="E372" s="7"/>
    </row>
    <row r="373">
      <c r="E373" s="7"/>
    </row>
    <row r="374">
      <c r="E374" s="7"/>
    </row>
    <row r="375">
      <c r="E375" s="7"/>
    </row>
    <row r="376">
      <c r="E376" s="7"/>
    </row>
    <row r="377">
      <c r="E377" s="7"/>
    </row>
    <row r="378">
      <c r="E378" s="7"/>
    </row>
    <row r="379">
      <c r="E379" s="7"/>
    </row>
    <row r="380">
      <c r="E380" s="7"/>
    </row>
    <row r="381">
      <c r="E381" s="7"/>
    </row>
    <row r="382">
      <c r="E382" s="7"/>
    </row>
    <row r="383">
      <c r="E383" s="7"/>
    </row>
    <row r="384">
      <c r="E384" s="7"/>
    </row>
    <row r="385">
      <c r="E385" s="7"/>
    </row>
    <row r="386">
      <c r="E386" s="7"/>
    </row>
    <row r="387">
      <c r="E387" s="7"/>
    </row>
    <row r="388">
      <c r="E388" s="7"/>
    </row>
    <row r="389">
      <c r="E389" s="7"/>
    </row>
    <row r="390">
      <c r="E390" s="7"/>
    </row>
    <row r="391">
      <c r="E391" s="7"/>
    </row>
    <row r="392">
      <c r="E392" s="7"/>
    </row>
    <row r="393">
      <c r="E393" s="7"/>
    </row>
    <row r="394">
      <c r="E394" s="7"/>
    </row>
    <row r="395">
      <c r="E395" s="7"/>
    </row>
    <row r="396">
      <c r="E396" s="7"/>
    </row>
    <row r="397">
      <c r="E397" s="7"/>
    </row>
    <row r="398">
      <c r="E398" s="7"/>
    </row>
    <row r="399">
      <c r="E399" s="7"/>
    </row>
    <row r="400">
      <c r="E400" s="7"/>
    </row>
    <row r="401">
      <c r="E401" s="7"/>
    </row>
    <row r="402">
      <c r="E402" s="7"/>
    </row>
    <row r="403">
      <c r="E403" s="7"/>
    </row>
    <row r="404">
      <c r="E404" s="7"/>
    </row>
    <row r="405">
      <c r="E405" s="7"/>
    </row>
    <row r="406">
      <c r="E406" s="7"/>
    </row>
    <row r="407">
      <c r="E407" s="7"/>
    </row>
    <row r="408">
      <c r="E408" s="7"/>
    </row>
    <row r="409">
      <c r="E409" s="7"/>
    </row>
    <row r="410">
      <c r="E410" s="7"/>
    </row>
    <row r="411">
      <c r="E411" s="7"/>
    </row>
    <row r="412">
      <c r="E412" s="7"/>
    </row>
    <row r="413">
      <c r="E413" s="7"/>
    </row>
    <row r="414">
      <c r="E414" s="7"/>
    </row>
    <row r="415">
      <c r="E415" s="7"/>
    </row>
    <row r="416">
      <c r="E416" s="7"/>
    </row>
    <row r="417">
      <c r="E417" s="7"/>
    </row>
    <row r="418">
      <c r="E418" s="7"/>
    </row>
    <row r="419">
      <c r="E419" s="7"/>
    </row>
    <row r="420">
      <c r="E420" s="7"/>
    </row>
    <row r="421">
      <c r="E421" s="7"/>
    </row>
    <row r="422">
      <c r="E422" s="7"/>
    </row>
    <row r="423">
      <c r="E423" s="7"/>
    </row>
    <row r="424">
      <c r="E424" s="7"/>
    </row>
    <row r="425">
      <c r="E425" s="7"/>
    </row>
    <row r="426">
      <c r="E426" s="7"/>
    </row>
    <row r="427">
      <c r="E427" s="7"/>
    </row>
    <row r="428">
      <c r="E428" s="7"/>
    </row>
    <row r="429">
      <c r="E429" s="7"/>
    </row>
    <row r="430">
      <c r="E430" s="7"/>
    </row>
    <row r="431">
      <c r="E431" s="7"/>
    </row>
    <row r="432">
      <c r="E432" s="7"/>
    </row>
    <row r="433">
      <c r="E433" s="7"/>
    </row>
    <row r="434">
      <c r="E434" s="7"/>
    </row>
    <row r="435">
      <c r="E435" s="7"/>
    </row>
    <row r="436">
      <c r="E436" s="7"/>
    </row>
    <row r="437">
      <c r="E437" s="7"/>
    </row>
    <row r="438">
      <c r="E438" s="7"/>
    </row>
    <row r="439">
      <c r="E439" s="7"/>
    </row>
    <row r="440">
      <c r="E440" s="7"/>
    </row>
    <row r="441">
      <c r="E441" s="7"/>
    </row>
    <row r="442">
      <c r="E442" s="7"/>
    </row>
    <row r="443">
      <c r="E443" s="7"/>
    </row>
    <row r="444">
      <c r="E444" s="7"/>
    </row>
    <row r="445">
      <c r="E445" s="7"/>
    </row>
    <row r="446">
      <c r="E446" s="7"/>
    </row>
    <row r="447">
      <c r="E447" s="7"/>
    </row>
    <row r="448">
      <c r="E448" s="7"/>
    </row>
    <row r="449">
      <c r="E449" s="7"/>
    </row>
    <row r="450">
      <c r="E450" s="7"/>
    </row>
    <row r="451">
      <c r="E451" s="7"/>
    </row>
    <row r="452">
      <c r="E452" s="7"/>
    </row>
    <row r="453">
      <c r="E453" s="7"/>
    </row>
    <row r="454">
      <c r="E454" s="7"/>
    </row>
    <row r="455">
      <c r="E455" s="7"/>
    </row>
    <row r="456">
      <c r="E456" s="7"/>
    </row>
    <row r="457">
      <c r="E457" s="7"/>
    </row>
    <row r="458">
      <c r="E458" s="7"/>
    </row>
    <row r="459">
      <c r="E459" s="7"/>
    </row>
    <row r="460">
      <c r="E460" s="7"/>
    </row>
    <row r="461">
      <c r="E461" s="7"/>
    </row>
    <row r="462">
      <c r="E462" s="7"/>
    </row>
    <row r="463">
      <c r="E463" s="7"/>
    </row>
    <row r="464">
      <c r="E464" s="7"/>
    </row>
    <row r="465">
      <c r="E465" s="7"/>
    </row>
    <row r="466">
      <c r="E466" s="7"/>
    </row>
    <row r="467">
      <c r="E467" s="7"/>
    </row>
    <row r="468">
      <c r="E468" s="7"/>
    </row>
    <row r="469">
      <c r="E469" s="7"/>
    </row>
    <row r="470">
      <c r="E470" s="7"/>
    </row>
    <row r="471">
      <c r="E471" s="7"/>
    </row>
    <row r="472">
      <c r="E472" s="7"/>
    </row>
    <row r="473">
      <c r="E473" s="7"/>
    </row>
    <row r="474">
      <c r="E474" s="7"/>
    </row>
    <row r="475">
      <c r="E475" s="7"/>
    </row>
    <row r="476">
      <c r="E476" s="7"/>
    </row>
    <row r="477">
      <c r="E477" s="7"/>
    </row>
    <row r="478">
      <c r="E478" s="7"/>
    </row>
    <row r="479">
      <c r="E479" s="7"/>
    </row>
    <row r="480">
      <c r="E480" s="7"/>
    </row>
    <row r="481">
      <c r="E481" s="7"/>
    </row>
    <row r="482">
      <c r="E482" s="7"/>
    </row>
    <row r="483">
      <c r="E483" s="7"/>
    </row>
    <row r="484">
      <c r="E484" s="7"/>
    </row>
    <row r="485">
      <c r="E485" s="7"/>
    </row>
    <row r="486">
      <c r="E486" s="7"/>
    </row>
    <row r="487">
      <c r="E487" s="7"/>
    </row>
    <row r="488">
      <c r="E488" s="7"/>
    </row>
    <row r="489">
      <c r="E489" s="7"/>
    </row>
    <row r="490">
      <c r="E490" s="7"/>
    </row>
    <row r="491">
      <c r="E491" s="7"/>
    </row>
    <row r="492">
      <c r="E492" s="7"/>
    </row>
    <row r="493">
      <c r="E493" s="7"/>
    </row>
    <row r="494">
      <c r="E494" s="7"/>
    </row>
    <row r="495">
      <c r="E495" s="7"/>
    </row>
    <row r="496">
      <c r="E496" s="7"/>
    </row>
    <row r="497">
      <c r="E497" s="7"/>
    </row>
    <row r="498">
      <c r="E498" s="7"/>
    </row>
    <row r="499">
      <c r="E499" s="7"/>
    </row>
    <row r="500">
      <c r="E500" s="7"/>
    </row>
    <row r="501">
      <c r="E501" s="7"/>
    </row>
    <row r="502">
      <c r="E502" s="7"/>
    </row>
    <row r="503">
      <c r="E503" s="7"/>
    </row>
    <row r="504">
      <c r="E504" s="7"/>
    </row>
    <row r="505">
      <c r="E505" s="7"/>
    </row>
    <row r="506">
      <c r="E506" s="7"/>
    </row>
    <row r="507">
      <c r="E507" s="7"/>
    </row>
    <row r="508">
      <c r="E508" s="7"/>
    </row>
    <row r="509">
      <c r="E509" s="7"/>
    </row>
    <row r="510">
      <c r="E510" s="7"/>
    </row>
    <row r="511">
      <c r="E511" s="7"/>
    </row>
    <row r="512">
      <c r="E512" s="7"/>
    </row>
    <row r="513">
      <c r="E513" s="7"/>
    </row>
    <row r="514">
      <c r="E514" s="7"/>
    </row>
    <row r="515">
      <c r="E515" s="7"/>
    </row>
    <row r="516">
      <c r="E516" s="7"/>
    </row>
    <row r="517">
      <c r="E517" s="7"/>
    </row>
    <row r="518">
      <c r="E518" s="7"/>
    </row>
    <row r="519">
      <c r="E519" s="7"/>
    </row>
    <row r="520">
      <c r="E520" s="7"/>
    </row>
    <row r="521">
      <c r="E521" s="7"/>
    </row>
    <row r="522">
      <c r="E522" s="7"/>
    </row>
    <row r="523">
      <c r="E523" s="7"/>
    </row>
    <row r="524">
      <c r="E524" s="7"/>
    </row>
    <row r="525">
      <c r="E525" s="7"/>
    </row>
    <row r="526">
      <c r="E526" s="7"/>
    </row>
    <row r="527">
      <c r="E527" s="7"/>
    </row>
    <row r="528">
      <c r="E528" s="7"/>
    </row>
    <row r="529">
      <c r="E529" s="7"/>
    </row>
    <row r="530">
      <c r="E530" s="7"/>
    </row>
    <row r="531">
      <c r="E531" s="7"/>
    </row>
    <row r="532">
      <c r="E532" s="7"/>
    </row>
    <row r="533">
      <c r="E533" s="7"/>
    </row>
    <row r="534">
      <c r="E534" s="7"/>
    </row>
    <row r="535">
      <c r="E535" s="7"/>
    </row>
    <row r="536">
      <c r="E536" s="7"/>
    </row>
    <row r="537">
      <c r="E537" s="7"/>
    </row>
    <row r="538">
      <c r="E538" s="7"/>
    </row>
    <row r="539">
      <c r="E539" s="7"/>
    </row>
    <row r="540">
      <c r="E540" s="7"/>
    </row>
    <row r="541">
      <c r="E541" s="7"/>
    </row>
    <row r="542">
      <c r="E542" s="7"/>
    </row>
    <row r="543">
      <c r="E543" s="7"/>
    </row>
    <row r="544">
      <c r="E544" s="7"/>
    </row>
    <row r="545">
      <c r="E545" s="7"/>
    </row>
    <row r="546">
      <c r="E546" s="7"/>
    </row>
    <row r="547">
      <c r="E547" s="7"/>
    </row>
    <row r="548">
      <c r="E548" s="7"/>
    </row>
    <row r="549">
      <c r="E549" s="7"/>
    </row>
    <row r="550">
      <c r="E550" s="7"/>
    </row>
    <row r="551">
      <c r="E551" s="7"/>
    </row>
    <row r="552">
      <c r="E552" s="7"/>
    </row>
    <row r="553">
      <c r="E553" s="7"/>
    </row>
    <row r="554">
      <c r="E554" s="7"/>
    </row>
    <row r="555">
      <c r="E555" s="7"/>
    </row>
    <row r="556">
      <c r="E556" s="7"/>
    </row>
    <row r="557">
      <c r="E557" s="7"/>
    </row>
    <row r="558">
      <c r="E558" s="7"/>
    </row>
    <row r="559">
      <c r="E559" s="7"/>
    </row>
    <row r="560">
      <c r="E560" s="7"/>
    </row>
    <row r="561">
      <c r="E561" s="7"/>
    </row>
    <row r="562">
      <c r="E562" s="7"/>
    </row>
    <row r="563">
      <c r="E563" s="7"/>
    </row>
    <row r="564">
      <c r="E564" s="7"/>
    </row>
    <row r="565">
      <c r="E565" s="7"/>
    </row>
    <row r="566">
      <c r="E566" s="7"/>
    </row>
    <row r="567">
      <c r="E567" s="7"/>
    </row>
    <row r="568">
      <c r="E568" s="7"/>
    </row>
    <row r="569">
      <c r="E569" s="7"/>
    </row>
    <row r="570">
      <c r="E570" s="7"/>
    </row>
    <row r="571">
      <c r="E571" s="7"/>
    </row>
    <row r="572">
      <c r="E572" s="7"/>
    </row>
    <row r="573">
      <c r="E573" s="7"/>
    </row>
    <row r="574">
      <c r="E574" s="7"/>
    </row>
    <row r="575">
      <c r="E575" s="7"/>
    </row>
    <row r="576">
      <c r="E576" s="7"/>
    </row>
    <row r="577">
      <c r="E577" s="7"/>
    </row>
    <row r="578">
      <c r="E578" s="7"/>
    </row>
    <row r="579">
      <c r="E579" s="7"/>
    </row>
    <row r="580">
      <c r="E580" s="7"/>
    </row>
    <row r="581">
      <c r="E581" s="7"/>
    </row>
    <row r="582">
      <c r="E582" s="7"/>
    </row>
    <row r="583">
      <c r="E583" s="7"/>
    </row>
    <row r="584">
      <c r="E584" s="7"/>
    </row>
    <row r="585">
      <c r="E585" s="7"/>
    </row>
    <row r="586">
      <c r="E586" s="7"/>
    </row>
    <row r="587">
      <c r="E587" s="7"/>
    </row>
    <row r="588">
      <c r="E588" s="7"/>
    </row>
    <row r="589">
      <c r="E589" s="7"/>
    </row>
    <row r="590">
      <c r="E590" s="7"/>
    </row>
    <row r="591">
      <c r="E591" s="7"/>
    </row>
    <row r="592">
      <c r="E592" s="7"/>
    </row>
    <row r="593">
      <c r="E593" s="7"/>
    </row>
    <row r="594">
      <c r="E594" s="7"/>
    </row>
    <row r="595">
      <c r="E595" s="7"/>
    </row>
    <row r="596">
      <c r="E596" s="7"/>
    </row>
    <row r="597">
      <c r="E597" s="7"/>
    </row>
    <row r="598">
      <c r="E598" s="7"/>
    </row>
    <row r="599">
      <c r="E599" s="7"/>
    </row>
    <row r="600">
      <c r="E600" s="7"/>
    </row>
    <row r="601">
      <c r="E601" s="7"/>
    </row>
    <row r="602">
      <c r="E602" s="7"/>
    </row>
    <row r="603">
      <c r="E603" s="7"/>
    </row>
    <row r="604">
      <c r="E604" s="7"/>
    </row>
    <row r="605">
      <c r="E605" s="7"/>
    </row>
    <row r="606">
      <c r="E606" s="7"/>
    </row>
    <row r="607">
      <c r="E607" s="7"/>
    </row>
    <row r="608">
      <c r="E608" s="7"/>
    </row>
    <row r="609">
      <c r="E609" s="7"/>
    </row>
    <row r="610">
      <c r="E610" s="7"/>
    </row>
    <row r="611">
      <c r="E611" s="7"/>
    </row>
    <row r="612">
      <c r="E612" s="7"/>
    </row>
    <row r="613">
      <c r="E613" s="7"/>
    </row>
    <row r="614">
      <c r="E614" s="7"/>
    </row>
    <row r="615">
      <c r="E615" s="7"/>
    </row>
    <row r="616">
      <c r="E616" s="7"/>
    </row>
    <row r="617">
      <c r="E617" s="7"/>
    </row>
    <row r="618">
      <c r="E618" s="7"/>
    </row>
    <row r="619">
      <c r="E619" s="7"/>
    </row>
    <row r="620">
      <c r="E620" s="7"/>
    </row>
    <row r="621">
      <c r="E621" s="7"/>
    </row>
    <row r="622">
      <c r="E622" s="7"/>
    </row>
    <row r="623">
      <c r="E623" s="7"/>
    </row>
    <row r="624">
      <c r="E624" s="7"/>
    </row>
    <row r="625">
      <c r="E625" s="7"/>
    </row>
    <row r="626">
      <c r="E626" s="7"/>
    </row>
    <row r="627">
      <c r="E627" s="7"/>
    </row>
    <row r="628">
      <c r="E628" s="7"/>
    </row>
    <row r="629">
      <c r="E629" s="7"/>
    </row>
    <row r="630">
      <c r="E630" s="7"/>
    </row>
    <row r="631">
      <c r="E631" s="7"/>
    </row>
    <row r="632">
      <c r="E632" s="7"/>
    </row>
    <row r="633">
      <c r="E633" s="7"/>
    </row>
    <row r="634">
      <c r="E634" s="7"/>
    </row>
    <row r="635">
      <c r="E635" s="7"/>
    </row>
    <row r="636">
      <c r="E636" s="7"/>
    </row>
    <row r="637">
      <c r="E637" s="7"/>
    </row>
    <row r="638">
      <c r="E638" s="7"/>
    </row>
    <row r="639">
      <c r="E639" s="7"/>
    </row>
    <row r="640">
      <c r="E640" s="7"/>
    </row>
    <row r="641">
      <c r="E641" s="7"/>
    </row>
    <row r="642">
      <c r="E642" s="7"/>
    </row>
    <row r="643">
      <c r="E643" s="7"/>
    </row>
    <row r="644">
      <c r="E644" s="7"/>
    </row>
    <row r="645">
      <c r="E645" s="7"/>
    </row>
    <row r="646">
      <c r="E646" s="7"/>
    </row>
    <row r="647">
      <c r="E647" s="7"/>
    </row>
    <row r="648">
      <c r="E648" s="7"/>
    </row>
    <row r="649">
      <c r="E649" s="7"/>
    </row>
    <row r="650">
      <c r="E650" s="7"/>
    </row>
    <row r="651">
      <c r="E651" s="7"/>
    </row>
    <row r="652">
      <c r="E652" s="7"/>
    </row>
    <row r="653">
      <c r="E653" s="7"/>
    </row>
    <row r="654">
      <c r="E654" s="7"/>
    </row>
    <row r="655">
      <c r="E655" s="7"/>
    </row>
    <row r="656">
      <c r="E656" s="7"/>
    </row>
    <row r="657">
      <c r="E657" s="7"/>
    </row>
    <row r="658">
      <c r="E658" s="7"/>
    </row>
    <row r="659">
      <c r="E659" s="7"/>
    </row>
    <row r="660">
      <c r="E660" s="7"/>
    </row>
    <row r="661">
      <c r="E661" s="7"/>
    </row>
    <row r="662">
      <c r="E662" s="7"/>
    </row>
    <row r="663">
      <c r="E663" s="7"/>
    </row>
    <row r="664">
      <c r="E664" s="7"/>
    </row>
    <row r="665">
      <c r="E665" s="7"/>
    </row>
    <row r="666">
      <c r="E666" s="7"/>
    </row>
    <row r="667">
      <c r="E667" s="7"/>
    </row>
    <row r="668">
      <c r="E668" s="7"/>
    </row>
    <row r="669">
      <c r="E669" s="7"/>
    </row>
    <row r="670">
      <c r="E670" s="7"/>
    </row>
    <row r="671">
      <c r="E671" s="7"/>
    </row>
    <row r="672">
      <c r="E672" s="7"/>
    </row>
    <row r="673">
      <c r="E673" s="7"/>
    </row>
    <row r="674">
      <c r="E674" s="7"/>
    </row>
    <row r="675">
      <c r="E675" s="7"/>
    </row>
    <row r="676">
      <c r="E676" s="7"/>
    </row>
    <row r="677">
      <c r="E677" s="7"/>
    </row>
    <row r="678">
      <c r="E678" s="7"/>
    </row>
    <row r="679">
      <c r="E679" s="7"/>
    </row>
    <row r="680">
      <c r="E680" s="7"/>
    </row>
    <row r="681">
      <c r="E681" s="7"/>
    </row>
    <row r="682">
      <c r="E682" s="7"/>
    </row>
    <row r="683">
      <c r="E683" s="7"/>
    </row>
    <row r="684">
      <c r="E684" s="7"/>
    </row>
    <row r="685">
      <c r="E685" s="7"/>
    </row>
    <row r="686">
      <c r="E686" s="7"/>
    </row>
    <row r="687">
      <c r="E687" s="7"/>
    </row>
    <row r="688">
      <c r="E688" s="7"/>
    </row>
    <row r="689">
      <c r="E689" s="7"/>
    </row>
    <row r="690">
      <c r="E690" s="7"/>
    </row>
    <row r="691">
      <c r="E691" s="7"/>
    </row>
    <row r="692">
      <c r="E692" s="7"/>
    </row>
    <row r="693">
      <c r="E693" s="7"/>
    </row>
    <row r="694">
      <c r="E694" s="7"/>
    </row>
    <row r="695">
      <c r="E695" s="7"/>
    </row>
    <row r="696">
      <c r="E696" s="7"/>
    </row>
    <row r="697">
      <c r="E697" s="7"/>
    </row>
    <row r="698">
      <c r="E698" s="7"/>
    </row>
    <row r="699">
      <c r="E699" s="7"/>
    </row>
    <row r="700">
      <c r="E700" s="7"/>
    </row>
    <row r="701">
      <c r="E701" s="7"/>
    </row>
    <row r="702">
      <c r="E702" s="7"/>
    </row>
    <row r="703">
      <c r="E703" s="7"/>
    </row>
    <row r="704">
      <c r="E704" s="7"/>
    </row>
    <row r="705">
      <c r="E705" s="7"/>
    </row>
    <row r="706">
      <c r="E706" s="7"/>
    </row>
    <row r="707">
      <c r="E707" s="7"/>
    </row>
    <row r="708">
      <c r="E708" s="7"/>
    </row>
    <row r="709">
      <c r="E709" s="7"/>
    </row>
    <row r="710">
      <c r="E710" s="7"/>
    </row>
    <row r="711">
      <c r="E711" s="7"/>
    </row>
    <row r="712">
      <c r="E712" s="7"/>
    </row>
    <row r="713">
      <c r="E713" s="7"/>
    </row>
    <row r="714">
      <c r="E714" s="7"/>
    </row>
    <row r="715">
      <c r="E715" s="7"/>
    </row>
    <row r="716">
      <c r="E716" s="7"/>
    </row>
    <row r="717">
      <c r="E717" s="7"/>
    </row>
    <row r="718">
      <c r="E718" s="7"/>
    </row>
    <row r="719">
      <c r="E719" s="7"/>
    </row>
    <row r="720">
      <c r="E720" s="7"/>
    </row>
    <row r="721">
      <c r="E721" s="7"/>
    </row>
    <row r="722">
      <c r="E722" s="7"/>
    </row>
    <row r="723">
      <c r="E723" s="7"/>
    </row>
    <row r="724">
      <c r="E724" s="7"/>
    </row>
    <row r="725">
      <c r="E725" s="7"/>
    </row>
    <row r="726">
      <c r="E726" s="7"/>
    </row>
    <row r="727">
      <c r="E727" s="7"/>
    </row>
    <row r="728">
      <c r="E728" s="7"/>
    </row>
    <row r="729">
      <c r="E729" s="7"/>
    </row>
    <row r="730">
      <c r="E730" s="7"/>
    </row>
    <row r="731">
      <c r="E731" s="7"/>
    </row>
    <row r="732">
      <c r="E732" s="7"/>
    </row>
    <row r="733">
      <c r="E733" s="7"/>
    </row>
    <row r="734">
      <c r="E734" s="7"/>
    </row>
    <row r="735">
      <c r="E735" s="7"/>
    </row>
    <row r="736">
      <c r="E736" s="7"/>
    </row>
    <row r="737">
      <c r="E737" s="7"/>
    </row>
    <row r="738">
      <c r="E738" s="7"/>
    </row>
    <row r="739">
      <c r="E739" s="7"/>
    </row>
    <row r="740">
      <c r="E740" s="7"/>
    </row>
    <row r="741">
      <c r="E741" s="7"/>
    </row>
    <row r="742">
      <c r="E742" s="7"/>
    </row>
    <row r="743">
      <c r="E743" s="7"/>
    </row>
    <row r="744">
      <c r="E744" s="7"/>
    </row>
    <row r="745">
      <c r="E745" s="7"/>
    </row>
    <row r="746">
      <c r="E746" s="7"/>
    </row>
    <row r="747">
      <c r="E747" s="7"/>
    </row>
    <row r="748">
      <c r="E748" s="7"/>
    </row>
    <row r="749">
      <c r="E749" s="7"/>
    </row>
    <row r="750">
      <c r="E750" s="7"/>
    </row>
    <row r="751">
      <c r="E751" s="7"/>
    </row>
    <row r="752">
      <c r="E752" s="7"/>
    </row>
    <row r="753">
      <c r="E753" s="7"/>
    </row>
    <row r="754">
      <c r="E754" s="7"/>
    </row>
    <row r="755">
      <c r="E755" s="7"/>
    </row>
    <row r="756">
      <c r="E756" s="7"/>
    </row>
    <row r="757">
      <c r="E757" s="7"/>
    </row>
    <row r="758">
      <c r="E758" s="7"/>
    </row>
    <row r="759">
      <c r="E759" s="7"/>
    </row>
    <row r="760">
      <c r="E760" s="7"/>
    </row>
    <row r="761">
      <c r="E761" s="7"/>
    </row>
    <row r="762">
      <c r="E762" s="7"/>
    </row>
    <row r="763">
      <c r="E763" s="7"/>
    </row>
    <row r="764">
      <c r="E764" s="7"/>
    </row>
    <row r="765">
      <c r="E765" s="7"/>
    </row>
    <row r="766">
      <c r="E766" s="7"/>
    </row>
    <row r="767">
      <c r="E767" s="7"/>
    </row>
    <row r="768">
      <c r="E768" s="7"/>
    </row>
    <row r="769">
      <c r="E769" s="7"/>
    </row>
    <row r="770">
      <c r="E770" s="7"/>
    </row>
    <row r="771">
      <c r="E771" s="7"/>
    </row>
    <row r="772">
      <c r="E772" s="7"/>
    </row>
    <row r="773">
      <c r="E773" s="7"/>
    </row>
    <row r="774">
      <c r="E774" s="7"/>
    </row>
    <row r="775">
      <c r="E775" s="7"/>
    </row>
    <row r="776">
      <c r="E776" s="7"/>
    </row>
    <row r="777">
      <c r="E777" s="7"/>
    </row>
    <row r="778">
      <c r="E778" s="7"/>
    </row>
    <row r="779">
      <c r="E779" s="7"/>
    </row>
    <row r="780">
      <c r="E780" s="7"/>
    </row>
    <row r="781">
      <c r="E781" s="7"/>
    </row>
    <row r="782">
      <c r="E782" s="7"/>
    </row>
    <row r="783">
      <c r="E783" s="7"/>
    </row>
    <row r="784">
      <c r="E784" s="7"/>
    </row>
    <row r="785">
      <c r="E785" s="7"/>
    </row>
    <row r="786">
      <c r="E786" s="7"/>
    </row>
    <row r="787">
      <c r="E787" s="7"/>
    </row>
    <row r="788">
      <c r="E788" s="7"/>
    </row>
    <row r="789">
      <c r="E789" s="7"/>
    </row>
    <row r="790">
      <c r="E790" s="7"/>
    </row>
    <row r="791">
      <c r="E791" s="7"/>
    </row>
    <row r="792">
      <c r="E792" s="7"/>
    </row>
    <row r="793">
      <c r="E793" s="7"/>
    </row>
    <row r="794">
      <c r="E794" s="7"/>
    </row>
    <row r="795">
      <c r="E795" s="7"/>
    </row>
    <row r="796">
      <c r="E796" s="7"/>
    </row>
    <row r="797">
      <c r="E797" s="7"/>
    </row>
    <row r="798">
      <c r="E798" s="7"/>
    </row>
    <row r="799">
      <c r="E799" s="7"/>
    </row>
    <row r="800">
      <c r="E800" s="7"/>
    </row>
    <row r="801">
      <c r="E801" s="7"/>
    </row>
    <row r="802">
      <c r="E802" s="7"/>
    </row>
    <row r="803">
      <c r="E803" s="7"/>
    </row>
    <row r="804">
      <c r="E804" s="7"/>
    </row>
    <row r="805">
      <c r="E805" s="7"/>
    </row>
    <row r="806">
      <c r="E806" s="7"/>
    </row>
    <row r="807">
      <c r="E807" s="7"/>
    </row>
    <row r="808">
      <c r="E808" s="7"/>
    </row>
    <row r="809">
      <c r="E809" s="7"/>
    </row>
    <row r="810">
      <c r="E810" s="7"/>
    </row>
    <row r="811">
      <c r="E811" s="7"/>
    </row>
    <row r="812">
      <c r="E812" s="7"/>
    </row>
    <row r="813">
      <c r="E813" s="7"/>
    </row>
    <row r="814">
      <c r="E814" s="7"/>
    </row>
    <row r="815">
      <c r="E815" s="7"/>
    </row>
    <row r="816">
      <c r="E816" s="7"/>
    </row>
    <row r="817">
      <c r="E817" s="7"/>
    </row>
    <row r="818">
      <c r="E818" s="7"/>
    </row>
    <row r="819">
      <c r="E819" s="7"/>
    </row>
    <row r="820">
      <c r="E820" s="7"/>
    </row>
    <row r="821">
      <c r="E821" s="7"/>
    </row>
    <row r="822">
      <c r="E822" s="7"/>
    </row>
    <row r="823">
      <c r="E823" s="7"/>
    </row>
    <row r="824">
      <c r="E824" s="7"/>
    </row>
    <row r="825">
      <c r="E825" s="7"/>
    </row>
    <row r="826">
      <c r="E826" s="7"/>
    </row>
    <row r="827">
      <c r="E827" s="7"/>
    </row>
    <row r="828">
      <c r="E828" s="7"/>
    </row>
    <row r="829">
      <c r="E829" s="7"/>
    </row>
    <row r="830">
      <c r="E830" s="7"/>
    </row>
    <row r="831">
      <c r="E831" s="7"/>
    </row>
    <row r="832">
      <c r="E832" s="7"/>
    </row>
    <row r="833">
      <c r="E833" s="7"/>
    </row>
    <row r="834">
      <c r="E834" s="7"/>
    </row>
    <row r="835">
      <c r="E835" s="7"/>
    </row>
    <row r="836">
      <c r="E836" s="7"/>
    </row>
    <row r="837">
      <c r="E837" s="7"/>
    </row>
    <row r="838">
      <c r="E838" s="7"/>
    </row>
    <row r="839">
      <c r="E839" s="7"/>
    </row>
    <row r="840">
      <c r="E840" s="7"/>
    </row>
    <row r="841">
      <c r="E841" s="7"/>
    </row>
    <row r="842">
      <c r="E842" s="7"/>
    </row>
    <row r="843">
      <c r="E843" s="7"/>
    </row>
    <row r="844">
      <c r="E844" s="7"/>
    </row>
    <row r="845">
      <c r="E845" s="7"/>
    </row>
    <row r="846">
      <c r="E846" s="7"/>
    </row>
    <row r="847">
      <c r="E847" s="7"/>
    </row>
    <row r="848">
      <c r="E848" s="7"/>
    </row>
    <row r="849">
      <c r="E849" s="7"/>
    </row>
    <row r="850">
      <c r="E850" s="7"/>
    </row>
    <row r="851">
      <c r="E851" s="7"/>
    </row>
    <row r="852">
      <c r="E852" s="7"/>
    </row>
    <row r="853">
      <c r="E853" s="7"/>
    </row>
    <row r="854">
      <c r="E854" s="7"/>
    </row>
    <row r="855">
      <c r="E855" s="7"/>
    </row>
    <row r="856">
      <c r="E856" s="7"/>
    </row>
    <row r="857">
      <c r="E857" s="7"/>
    </row>
    <row r="858">
      <c r="E858" s="7"/>
    </row>
    <row r="859">
      <c r="E859" s="7"/>
    </row>
    <row r="860">
      <c r="E860" s="7"/>
    </row>
    <row r="861">
      <c r="E861" s="7"/>
    </row>
    <row r="862">
      <c r="E862" s="7"/>
    </row>
    <row r="863">
      <c r="E863" s="7"/>
    </row>
    <row r="864">
      <c r="E864" s="7"/>
    </row>
    <row r="865">
      <c r="E865" s="7"/>
    </row>
    <row r="866">
      <c r="E866" s="7"/>
    </row>
    <row r="867">
      <c r="E867" s="7"/>
    </row>
    <row r="868">
      <c r="E868" s="7"/>
    </row>
    <row r="869">
      <c r="E869" s="7"/>
    </row>
    <row r="870">
      <c r="E870" s="7"/>
    </row>
    <row r="871">
      <c r="E871" s="7"/>
    </row>
    <row r="872">
      <c r="E872" s="7"/>
    </row>
    <row r="873">
      <c r="E873" s="7"/>
    </row>
    <row r="874">
      <c r="E874" s="7"/>
    </row>
    <row r="875">
      <c r="E875" s="7"/>
    </row>
    <row r="876">
      <c r="E876" s="7"/>
    </row>
    <row r="877">
      <c r="E877" s="7"/>
    </row>
    <row r="878">
      <c r="E878" s="7"/>
    </row>
    <row r="879">
      <c r="E879" s="7"/>
    </row>
    <row r="880">
      <c r="E880" s="7"/>
    </row>
    <row r="881">
      <c r="E881" s="7"/>
    </row>
    <row r="882">
      <c r="E882" s="7"/>
    </row>
    <row r="883">
      <c r="E883" s="7"/>
    </row>
    <row r="884">
      <c r="E884" s="7"/>
    </row>
    <row r="885">
      <c r="E885" s="7"/>
    </row>
    <row r="886">
      <c r="E886" s="7"/>
    </row>
    <row r="887">
      <c r="E887" s="7"/>
    </row>
    <row r="888">
      <c r="E888" s="7"/>
    </row>
    <row r="889">
      <c r="E889" s="7"/>
    </row>
    <row r="890">
      <c r="E890" s="7"/>
    </row>
    <row r="891">
      <c r="E891" s="7"/>
    </row>
    <row r="892">
      <c r="E892" s="7"/>
    </row>
    <row r="893">
      <c r="E893" s="7"/>
    </row>
    <row r="894">
      <c r="E894" s="7"/>
    </row>
    <row r="895">
      <c r="E895" s="7"/>
    </row>
    <row r="896">
      <c r="E896" s="7"/>
    </row>
    <row r="897">
      <c r="E897" s="7"/>
    </row>
    <row r="898">
      <c r="E898" s="7"/>
    </row>
    <row r="899">
      <c r="E899" s="7"/>
    </row>
    <row r="900">
      <c r="E900" s="7"/>
    </row>
    <row r="901">
      <c r="E901" s="7"/>
    </row>
    <row r="902">
      <c r="E902" s="7"/>
    </row>
    <row r="903">
      <c r="E903" s="7"/>
    </row>
    <row r="904">
      <c r="E904" s="7"/>
    </row>
    <row r="905">
      <c r="E905" s="7"/>
    </row>
    <row r="906">
      <c r="E906" s="7"/>
    </row>
    <row r="907">
      <c r="E907" s="7"/>
    </row>
    <row r="908">
      <c r="E908" s="7"/>
    </row>
    <row r="909">
      <c r="E909" s="7"/>
    </row>
    <row r="910">
      <c r="E910" s="7"/>
    </row>
    <row r="911">
      <c r="E911" s="7"/>
    </row>
    <row r="912">
      <c r="E912" s="7"/>
    </row>
    <row r="913">
      <c r="E913" s="7"/>
    </row>
    <row r="914">
      <c r="E914" s="7"/>
    </row>
    <row r="915">
      <c r="E915" s="7"/>
    </row>
    <row r="916">
      <c r="E916" s="7"/>
    </row>
    <row r="917">
      <c r="E917" s="7"/>
    </row>
    <row r="918">
      <c r="E918" s="7"/>
    </row>
    <row r="919">
      <c r="E919" s="7"/>
    </row>
    <row r="920">
      <c r="E920" s="7"/>
    </row>
    <row r="921">
      <c r="E921" s="7"/>
    </row>
    <row r="922">
      <c r="E922" s="7"/>
    </row>
    <row r="923">
      <c r="E923" s="7"/>
    </row>
    <row r="924">
      <c r="E924" s="7"/>
    </row>
    <row r="925">
      <c r="E925" s="7"/>
    </row>
    <row r="926">
      <c r="E926" s="7"/>
    </row>
    <row r="927">
      <c r="E927" s="7"/>
    </row>
    <row r="928">
      <c r="E928" s="7"/>
    </row>
    <row r="929">
      <c r="E929" s="7"/>
    </row>
    <row r="930">
      <c r="E930" s="7"/>
    </row>
    <row r="931">
      <c r="E931" s="7"/>
    </row>
    <row r="932">
      <c r="E932" s="7"/>
    </row>
    <row r="933">
      <c r="E933" s="7"/>
    </row>
    <row r="934">
      <c r="E934" s="7"/>
    </row>
    <row r="935">
      <c r="E935" s="7"/>
    </row>
    <row r="936">
      <c r="E936" s="7"/>
    </row>
    <row r="937">
      <c r="E937" s="7"/>
    </row>
    <row r="938">
      <c r="E938" s="7"/>
    </row>
    <row r="939">
      <c r="E939" s="7"/>
    </row>
    <row r="940">
      <c r="E940" s="7"/>
    </row>
    <row r="941">
      <c r="E941" s="7"/>
    </row>
    <row r="942">
      <c r="E942" s="7"/>
    </row>
    <row r="943">
      <c r="E943" s="7"/>
    </row>
    <row r="944">
      <c r="E944" s="7"/>
    </row>
    <row r="945">
      <c r="E945" s="7"/>
    </row>
    <row r="946">
      <c r="E946" s="7"/>
    </row>
    <row r="947">
      <c r="E947" s="7"/>
    </row>
    <row r="948">
      <c r="E948" s="7"/>
    </row>
    <row r="949">
      <c r="E949" s="7"/>
    </row>
    <row r="950">
      <c r="E950" s="7"/>
    </row>
    <row r="951">
      <c r="E951" s="7"/>
    </row>
    <row r="952">
      <c r="E952" s="7"/>
    </row>
    <row r="953">
      <c r="E953" s="7"/>
    </row>
    <row r="954">
      <c r="E954" s="7"/>
    </row>
    <row r="955">
      <c r="E955" s="7"/>
    </row>
    <row r="956">
      <c r="E956" s="7"/>
    </row>
    <row r="957">
      <c r="E957" s="7"/>
    </row>
    <row r="958">
      <c r="E958" s="7"/>
    </row>
    <row r="959">
      <c r="E959" s="7"/>
    </row>
    <row r="960">
      <c r="E960" s="7"/>
    </row>
    <row r="961">
      <c r="E961" s="7"/>
    </row>
    <row r="962">
      <c r="E962" s="7"/>
    </row>
    <row r="963">
      <c r="E963" s="7"/>
    </row>
    <row r="964">
      <c r="E964" s="7"/>
    </row>
    <row r="965">
      <c r="E965" s="7"/>
    </row>
    <row r="966">
      <c r="E966" s="7"/>
    </row>
    <row r="967">
      <c r="E967" s="7"/>
    </row>
    <row r="968">
      <c r="E968" s="7"/>
    </row>
    <row r="969">
      <c r="E969" s="7"/>
    </row>
    <row r="970">
      <c r="E970" s="7"/>
    </row>
    <row r="971">
      <c r="E971" s="7"/>
    </row>
    <row r="972">
      <c r="E972" s="7"/>
    </row>
    <row r="973">
      <c r="E973" s="7"/>
    </row>
    <row r="974">
      <c r="E974" s="7"/>
    </row>
    <row r="975">
      <c r="E975" s="7"/>
    </row>
    <row r="976">
      <c r="E976" s="7"/>
    </row>
    <row r="977">
      <c r="E977" s="7"/>
    </row>
    <row r="978">
      <c r="E978" s="7"/>
    </row>
    <row r="979">
      <c r="E979" s="7"/>
    </row>
    <row r="980">
      <c r="E980" s="7"/>
    </row>
    <row r="981">
      <c r="E981" s="7"/>
    </row>
    <row r="982">
      <c r="E982" s="7"/>
    </row>
    <row r="983">
      <c r="E983" s="7"/>
    </row>
    <row r="984">
      <c r="E984" s="7"/>
    </row>
    <row r="985">
      <c r="E985" s="7"/>
    </row>
    <row r="986">
      <c r="E986" s="7"/>
    </row>
    <row r="987">
      <c r="E987" s="7"/>
    </row>
    <row r="988">
      <c r="E988" s="7"/>
    </row>
    <row r="989">
      <c r="E989" s="7"/>
    </row>
    <row r="990">
      <c r="E990" s="7"/>
    </row>
    <row r="991">
      <c r="E991" s="7"/>
    </row>
    <row r="992">
      <c r="E992" s="7"/>
    </row>
    <row r="993">
      <c r="E993" s="7"/>
    </row>
    <row r="994">
      <c r="E994" s="7"/>
    </row>
    <row r="995">
      <c r="E995" s="7"/>
    </row>
    <row r="996">
      <c r="E996" s="7"/>
    </row>
    <row r="997">
      <c r="E997" s="7"/>
    </row>
    <row r="998">
      <c r="E998" s="7"/>
    </row>
    <row r="999">
      <c r="E999" s="7"/>
    </row>
    <row r="1000">
      <c r="E1000" s="7"/>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0</v>
      </c>
      <c r="B1" s="1" t="s">
        <v>2</v>
      </c>
      <c r="C1" s="1" t="s">
        <v>3</v>
      </c>
      <c r="D1" s="1" t="s">
        <v>1</v>
      </c>
      <c r="E1" s="2" t="s">
        <v>4</v>
      </c>
      <c r="F1" s="1" t="s">
        <v>6</v>
      </c>
      <c r="G1" s="1" t="s">
        <v>7</v>
      </c>
      <c r="I1" s="1" t="s">
        <v>9</v>
      </c>
      <c r="K1" s="1" t="s">
        <v>3</v>
      </c>
      <c r="L1" s="1" t="s">
        <v>11</v>
      </c>
      <c r="M1" s="1" t="s">
        <v>13</v>
      </c>
      <c r="N1" s="1" t="s">
        <v>14</v>
      </c>
      <c r="O1" s="1" t="s">
        <v>15</v>
      </c>
      <c r="P1" s="1" t="s">
        <v>16</v>
      </c>
      <c r="Q1" s="1" t="s">
        <v>17</v>
      </c>
    </row>
    <row r="2">
      <c r="A2" s="1" t="s">
        <v>28</v>
      </c>
      <c r="B2" s="1">
        <v>24.0</v>
      </c>
      <c r="C2" s="1" t="str">
        <f t="array" ref="C2">IF(NOT(ISBLANK($A2)), (_xlfn.XLOOKUP($A2,Index!$B$2:$B$995,Index!$C$2:$C$995,"Not Found")),"")</f>
        <v>Energy</v>
      </c>
      <c r="D2" s="1" t="str">
        <f t="array" ref="D2">IF(NOT(ISBLANK(A2)), (_xlfn.XLOOKUP($A2,Index!$B$2:B$995,Index!$A$2:$A$995,"Not Found")),"")</f>
        <v>base1-100</v>
      </c>
      <c r="E2" s="2" t="str">
        <f t="array" ref="E2">IF(NOT(ISBLANK($A2)), (_xlfn.XLOOKUP($A2,Index!$B$2:$B$995,Index!$D$2:$D$995,"Not Found")),"")</f>
        <v/>
      </c>
      <c r="F2" s="1" t="str">
        <f t="array" ref="F2">IF(NOT(ISBLANK($A2)), (_xlfn.XLOOKUP($A2,Index!$B$2:$B$995,Index!$E$2:$E$995,"Not Found")),"")</f>
        <v/>
      </c>
      <c r="G2" s="1">
        <f t="array" ref="G2">IF(NOT(ISBLANK(A2)), ((_xlfn.XLOOKUP(A2,Index!$B$2:$B$995,Index!$F$2:$F$995,"Not Found"))*B2),"")</f>
        <v>0</v>
      </c>
      <c r="I2" s="6">
        <f>SUM(B2:B38)</f>
        <v>60</v>
      </c>
      <c r="K2" s="1" t="s">
        <v>128</v>
      </c>
      <c r="L2" s="6">
        <f t="shared" ref="L2:L6" si="1">IF(NOT(ISBLANK(K2)), SUM(M2:P2), "")</f>
        <v>17</v>
      </c>
      <c r="M2" s="1">
        <f t="shared" ref="M2:M5" si="2">IF(NOT(ISBLANK($K2)), SUMIFS($B$2:$B$32, $E$2:$E$32, "B", $C$2:$C$32,$K2), "")</f>
        <v>10</v>
      </c>
      <c r="N2" s="1">
        <f t="shared" ref="N2:N5" si="3">IF(NOT(ISBLANK($K2)),SUMIFS($B$2:$B$32,$E$2:$E$32, "1", $C$2:$C$32,$K2,$F$2:$F$32,"N"), "")</f>
        <v>7</v>
      </c>
      <c r="O2" s="1">
        <f t="shared" ref="O2:O5" si="4">IF(NOT(ISBLANK($K2)),SUMIFS($B$2:$B$32,$E$2:$E$32, "1", $C$2:$C$32,$K2,$F$2:$F$32,"Y"), "")</f>
        <v>0</v>
      </c>
      <c r="P2" s="1">
        <f t="shared" ref="P2:P5" si="5">IF(NOT(ISBLANK($K2)),SUMIFS($B$2:$B$32,$E$2:$E$32, "2", $C$2:$C$32,$K2), "")</f>
        <v>0</v>
      </c>
      <c r="Q2" s="1">
        <f t="shared" ref="Q2:Q5" si="6">IF(NOT(ISBLANK($K2)),SUMIFS($B$2:$B$32,$E$2:$E$32, "B", $C$2:$C$32,$K2,$F$2:$F$32,"N"), "")</f>
        <v>3</v>
      </c>
    </row>
    <row r="3">
      <c r="A3" s="1" t="s">
        <v>233</v>
      </c>
      <c r="B3" s="1">
        <v>1.0</v>
      </c>
      <c r="C3" s="1" t="str">
        <f t="array" ref="C3">IF(NOT(ISBLANK($A3)), (_xlfn.XLOOKUP($A3,Index!$B$2:$B$995,Index!$C$2:$C$995,"Not Found")),"")</f>
        <v>E</v>
      </c>
      <c r="D3" s="1" t="str">
        <f t="array" ref="D3">IF(NOT(ISBLANK(A3)), (_xlfn.XLOOKUP($A3,Index!$B$2:B$995,Index!$A$2:$A$995,"Not Found")),"")</f>
        <v>base1-58</v>
      </c>
      <c r="E3" s="2" t="str">
        <f t="array" ref="E3">IF(NOT(ISBLANK($A3)), (_xlfn.XLOOKUP($A3,Index!$B$2:$B$995,Index!$D$2:$D$995,"Not Found")),"")</f>
        <v>b</v>
      </c>
      <c r="F3" s="1" t="str">
        <f t="array" ref="F3">IF(NOT(ISBLANK($A3)), (_xlfn.XLOOKUP($A3,Index!$B$2:$B$995,Index!$E$2:$E$995,"Not Found")),"")</f>
        <v>y</v>
      </c>
      <c r="G3" s="1">
        <f t="array" ref="G3">IF(NOT(ISBLANK(A3)), ((_xlfn.XLOOKUP(A3,Index!$B$2:$B$995,Index!$F$2:$F$995,"Not Found"))*B3),"")</f>
        <v>0</v>
      </c>
      <c r="K3" s="1" t="s">
        <v>26</v>
      </c>
      <c r="L3" s="6">
        <f t="shared" si="1"/>
        <v>3</v>
      </c>
      <c r="M3" s="1">
        <f t="shared" si="2"/>
        <v>3</v>
      </c>
      <c r="N3" s="1">
        <f t="shared" si="3"/>
        <v>0</v>
      </c>
      <c r="O3" s="1">
        <f t="shared" si="4"/>
        <v>0</v>
      </c>
      <c r="P3" s="1">
        <f t="shared" si="5"/>
        <v>0</v>
      </c>
      <c r="Q3" s="1">
        <f t="shared" si="6"/>
        <v>0</v>
      </c>
    </row>
    <row r="4">
      <c r="A4" s="1" t="s">
        <v>235</v>
      </c>
      <c r="B4" s="1">
        <v>1.0</v>
      </c>
      <c r="C4" s="1" t="str">
        <f t="array" ref="C4">IF(NOT(ISBLANK($A4)), (_xlfn.XLOOKUP($A4,Index!$B$2:$B$995,Index!$C$2:$C$995,"Not Found")),"")</f>
        <v>E</v>
      </c>
      <c r="D4" s="1" t="str">
        <f t="array" ref="D4">IF(NOT(ISBLANK(A4)), (_xlfn.XLOOKUP($A4,Index!$B$2:B$995,Index!$A$2:$A$995,"Not Found")),"")</f>
        <v>base2-60</v>
      </c>
      <c r="E4" s="2" t="str">
        <f t="array" ref="E4">IF(NOT(ISBLANK($A4)), (_xlfn.XLOOKUP($A4,Index!$B$2:$B$995,Index!$D$2:$D$995,"Not Found")),"")</f>
        <v>b</v>
      </c>
      <c r="F4" s="1" t="str">
        <f t="array" ref="F4">IF(NOT(ISBLANK($A4)), (_xlfn.XLOOKUP($A4,Index!$B$2:$B$995,Index!$E$2:$E$995,"Not Found")),"")</f>
        <v>y</v>
      </c>
      <c r="G4" s="1">
        <f t="array" ref="G4">IF(NOT(ISBLANK(A4)), ((_xlfn.XLOOKUP(A4,Index!$B$2:$B$995,Index!$F$2:$F$995,"Not Found"))*B4),"")</f>
        <v>0</v>
      </c>
      <c r="L4" s="6" t="str">
        <f t="shared" si="1"/>
        <v/>
      </c>
      <c r="M4" s="1" t="str">
        <f t="shared" si="2"/>
        <v/>
      </c>
      <c r="N4" s="1" t="str">
        <f t="shared" si="3"/>
        <v/>
      </c>
      <c r="O4" s="1" t="str">
        <f t="shared" si="4"/>
        <v/>
      </c>
      <c r="P4" s="1" t="str">
        <f t="shared" si="5"/>
        <v/>
      </c>
      <c r="Q4" s="1" t="str">
        <f t="shared" si="6"/>
        <v/>
      </c>
    </row>
    <row r="5">
      <c r="A5" s="1" t="s">
        <v>238</v>
      </c>
      <c r="B5" s="1">
        <v>1.0</v>
      </c>
      <c r="C5" s="1" t="str">
        <f t="array" ref="C5">IF(NOT(ISBLANK($A5)), (_xlfn.XLOOKUP($A5,Index!$B$2:$B$995,Index!$C$2:$C$995,"Not Found")),"")</f>
        <v>E</v>
      </c>
      <c r="D5" s="1" t="str">
        <f t="array" ref="D5">IF(NOT(ISBLANK(A5)), (_xlfn.XLOOKUP($A5,Index!$B$2:B$995,Index!$A$2:$A$995,"Not Found")),"")</f>
        <v>basep-1</v>
      </c>
      <c r="E5" s="2" t="str">
        <f t="array" ref="E5">IF(NOT(ISBLANK($A5)), (_xlfn.XLOOKUP($A5,Index!$B$2:$B$995,Index!$D$2:$D$995,"Not Found")),"")</f>
        <v>b</v>
      </c>
      <c r="F5" s="1" t="str">
        <f t="array" ref="F5">IF(NOT(ISBLANK($A5)), (_xlfn.XLOOKUP($A5,Index!$B$2:$B$995,Index!$E$2:$E$995,"Not Found")),"")</f>
        <v>y</v>
      </c>
      <c r="G5" s="1">
        <f t="array" ref="G5">IF(NOT(ISBLANK(A5)), ((_xlfn.XLOOKUP(A5,Index!$B$2:$B$995,Index!$F$2:$F$995,"Not Found"))*B5),"")</f>
        <v>0</v>
      </c>
      <c r="L5" s="6" t="str">
        <f t="shared" si="1"/>
        <v/>
      </c>
      <c r="M5" s="1" t="str">
        <f t="shared" si="2"/>
        <v/>
      </c>
      <c r="N5" s="1" t="str">
        <f t="shared" si="3"/>
        <v/>
      </c>
      <c r="O5" s="1" t="str">
        <f t="shared" si="4"/>
        <v/>
      </c>
      <c r="P5" s="1" t="str">
        <f t="shared" si="5"/>
        <v/>
      </c>
      <c r="Q5" s="1" t="str">
        <f t="shared" si="6"/>
        <v/>
      </c>
    </row>
    <row r="6">
      <c r="A6" s="1" t="s">
        <v>723</v>
      </c>
      <c r="B6" s="1">
        <v>1.0</v>
      </c>
      <c r="C6" s="1" t="str">
        <f t="array" ref="C6">IF(NOT(ISBLANK($A6)), (_xlfn.XLOOKUP($A6,Index!$B$2:$B$995,Index!$C$2:$C$995,"Not Found")),"")</f>
        <v>E</v>
      </c>
      <c r="D6" s="1" t="str">
        <f t="array" ref="D6">IF(NOT(ISBLANK(A6)), (_xlfn.XLOOKUP($A6,Index!$B$2:B$995,Index!$A$2:$A$995,"Not Found")),"")</f>
        <v>basep-26</v>
      </c>
      <c r="E6" s="2" t="str">
        <f t="array" ref="E6">IF(NOT(ISBLANK($A6)), (_xlfn.XLOOKUP($A6,Index!$B$2:$B$995,Index!$D$2:$D$995,"Not Found")),"")</f>
        <v>b</v>
      </c>
      <c r="F6" s="1" t="str">
        <f t="array" ref="F6">IF(NOT(ISBLANK($A6)), (_xlfn.XLOOKUP($A6,Index!$B$2:$B$995,Index!$E$2:$E$995,"Not Found")),"")</f>
        <v>y</v>
      </c>
      <c r="G6" s="1">
        <f t="array" ref="G6">IF(NOT(ISBLANK(A6)), ((_xlfn.XLOOKUP(A6,Index!$B$2:$B$995,Index!$F$2:$F$995,"Not Found"))*B6),"")</f>
        <v>0</v>
      </c>
      <c r="L6" s="6"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253</v>
      </c>
      <c r="B7" s="1">
        <v>1.0</v>
      </c>
      <c r="C7" s="1" t="str">
        <f t="array" ref="C7">IF(NOT(ISBLANK($A7)), (_xlfn.XLOOKUP($A7,Index!$B$2:$B$995,Index!$C$2:$C$995,"Not Found")),"")</f>
        <v>E</v>
      </c>
      <c r="D7" s="1" t="str">
        <f t="array" ref="D7">IF(NOT(ISBLANK(A7)), (_xlfn.XLOOKUP($A7,Index!$B$2:B$995,Index!$A$2:$A$995,"Not Found")),"")</f>
        <v>base1-14</v>
      </c>
      <c r="E7" s="2">
        <f t="array" ref="E7">IF(NOT(ISBLANK($A7)), (_xlfn.XLOOKUP($A7,Index!$B$2:$B$995,Index!$D$2:$D$995,"Not Found")),"")</f>
        <v>1</v>
      </c>
      <c r="F7" s="1" t="str">
        <f t="array" ref="F7">IF(NOT(ISBLANK($A7)), (_xlfn.XLOOKUP($A7,Index!$B$2:$B$995,Index!$E$2:$E$995,"Not Found")),"")</f>
        <v>n</v>
      </c>
      <c r="G7" s="1">
        <f t="array" ref="G7">IF(NOT(ISBLANK(A7)), ((_xlfn.XLOOKUP(A7,Index!$B$2:$B$995,Index!$F$2:$F$995,"Not Found"))*B7),"")</f>
        <v>2</v>
      </c>
      <c r="K7" s="1" t="s">
        <v>724</v>
      </c>
      <c r="L7" s="6">
        <f t="shared" ref="L7:Q7" si="7">SUM(L2:L6)</f>
        <v>20</v>
      </c>
      <c r="M7" s="6">
        <f t="shared" si="7"/>
        <v>13</v>
      </c>
      <c r="N7" s="6">
        <f t="shared" si="7"/>
        <v>7</v>
      </c>
      <c r="O7" s="6">
        <f t="shared" si="7"/>
        <v>0</v>
      </c>
      <c r="P7" s="6">
        <f t="shared" si="7"/>
        <v>0</v>
      </c>
      <c r="Q7" s="6">
        <f t="shared" si="7"/>
        <v>3</v>
      </c>
    </row>
    <row r="8">
      <c r="A8" s="1" t="s">
        <v>256</v>
      </c>
      <c r="B8" s="1">
        <v>2.0</v>
      </c>
      <c r="C8" s="1" t="str">
        <f t="array" ref="C8">IF(NOT(ISBLANK($A8)), (_xlfn.XLOOKUP($A8,Index!$B$2:$B$995,Index!$C$2:$C$995,"Not Found")),"")</f>
        <v>E</v>
      </c>
      <c r="D8" s="1" t="str">
        <f t="array" ref="D8">IF(NOT(ISBLANK(A8)), (_xlfn.XLOOKUP($A8,Index!$B$2:B$995,Index!$A$2:$A$995,"Not Found")),"")</f>
        <v>base3-14</v>
      </c>
      <c r="E8" s="2">
        <f t="array" ref="E8">IF(NOT(ISBLANK($A8)), (_xlfn.XLOOKUP($A8,Index!$B$2:$B$995,Index!$D$2:$D$995,"Not Found")),"")</f>
        <v>1</v>
      </c>
      <c r="F8" s="1" t="str">
        <f t="array" ref="F8">IF(NOT(ISBLANK($A8)), (_xlfn.XLOOKUP($A8,Index!$B$2:$B$995,Index!$E$2:$E$995,"Not Found")),"")</f>
        <v>n</v>
      </c>
      <c r="G8" s="1">
        <f t="array" ref="G8">IF(NOT(ISBLANK(A8)), ((_xlfn.XLOOKUP(A8,Index!$B$2:$B$995,Index!$F$2:$F$995,"Not Found"))*B8),"")</f>
        <v>4</v>
      </c>
    </row>
    <row r="9">
      <c r="A9" s="1" t="s">
        <v>220</v>
      </c>
      <c r="B9" s="1">
        <v>3.0</v>
      </c>
      <c r="C9" s="1" t="str">
        <f t="array" ref="C9">IF(NOT(ISBLANK($A9)), (_xlfn.XLOOKUP($A9,Index!$B$2:$B$995,Index!$C$2:$C$995,"Not Found")),"")</f>
        <v>E</v>
      </c>
      <c r="D9" s="1" t="str">
        <f t="array" ref="D9">IF(NOT(ISBLANK(A9)), (_xlfn.XLOOKUP($A9,Index!$B$2:B$995,Index!$A$2:$A$995,"Not Found")),"")</f>
        <v>base1-53</v>
      </c>
      <c r="E9" s="2" t="str">
        <f t="array" ref="E9">IF(NOT(ISBLANK($A9)), (_xlfn.XLOOKUP($A9,Index!$B$2:$B$995,Index!$D$2:$D$995,"Not Found")),"")</f>
        <v>b</v>
      </c>
      <c r="F9" s="1" t="str">
        <f t="array" ref="F9">IF(NOT(ISBLANK($A9)), (_xlfn.XLOOKUP($A9,Index!$B$2:$B$995,Index!$E$2:$E$995,"Not Found")),"")</f>
        <v>y</v>
      </c>
      <c r="G9" s="1">
        <f t="array" ref="G9">IF(NOT(ISBLANK(A9)), ((_xlfn.XLOOKUP(A9,Index!$B$2:$B$995,Index!$F$2:$F$995,"Not Found"))*B9),"")</f>
        <v>0</v>
      </c>
      <c r="M9" s="1" t="s">
        <v>725</v>
      </c>
      <c r="N9" s="1" t="s">
        <v>726</v>
      </c>
      <c r="O9" s="1" t="s">
        <v>727</v>
      </c>
    </row>
    <row r="10">
      <c r="A10" s="1" t="s">
        <v>223</v>
      </c>
      <c r="B10" s="1">
        <v>1.0</v>
      </c>
      <c r="C10" s="1" t="str">
        <f t="array" ref="C10">IF(NOT(ISBLANK($A10)), (_xlfn.XLOOKUP($A10,Index!$B$2:$B$995,Index!$C$2:$C$995,"Not Found")),"")</f>
        <v>E</v>
      </c>
      <c r="D10" s="1" t="str">
        <f t="array" ref="D10">IF(NOT(ISBLANK(A10)), (_xlfn.XLOOKUP($A10,Index!$B$2:B$995,Index!$A$2:$A$995,"Not Found")),"")</f>
        <v>base1-9</v>
      </c>
      <c r="E10" s="2">
        <f t="array" ref="E10">IF(NOT(ISBLANK($A10)), (_xlfn.XLOOKUP($A10,Index!$B$2:$B$995,Index!$D$2:$D$995,"Not Found")),"")</f>
        <v>1</v>
      </c>
      <c r="F10" s="1" t="str">
        <f t="array" ref="F10">IF(NOT(ISBLANK($A10)), (_xlfn.XLOOKUP($A10,Index!$B$2:$B$995,Index!$E$2:$E$995,"Not Found")),"")</f>
        <v>n</v>
      </c>
      <c r="G10" s="1">
        <f t="array" ref="G10">IF(NOT(ISBLANK(A10)), ((_xlfn.XLOOKUP(A10,Index!$B$2:$B$995,Index!$F$2:$F$995,"Not Found"))*B10),"")</f>
        <v>2</v>
      </c>
      <c r="K10" s="1" t="s">
        <v>728</v>
      </c>
      <c r="L10" s="6">
        <f>SUM(M10:P10)</f>
        <v>16</v>
      </c>
      <c r="M10" s="6">
        <f>IF(NOT(ISBLANK($K10)), SUMIFS($B$2:$B$32,$E$2:$E$32, "C", $C$2:$C$32,"T"), "")</f>
        <v>10</v>
      </c>
      <c r="N10" s="6">
        <f>IF(NOT(ISBLANK($K10)), SUMIFS($B$2:$B$32,$E$2:$E$32, "U", $C$2:$C$32,"T"), "")</f>
        <v>4</v>
      </c>
      <c r="O10" s="6">
        <f>IF(NOT(ISBLANK($K$2)), SUMIFS($B$2:$B$32,$E$2:$E$32, "R", $C$2:$C$32,"T"), "")</f>
        <v>2</v>
      </c>
    </row>
    <row r="11">
      <c r="A11" s="1" t="s">
        <v>226</v>
      </c>
      <c r="B11" s="1">
        <v>1.0</v>
      </c>
      <c r="C11" s="1" t="str">
        <f t="array" ref="C11">IF(NOT(ISBLANK($A11)), (_xlfn.XLOOKUP($A11,Index!$B$2:$B$995,Index!$C$2:$C$995,"Not Found")),"")</f>
        <v>E</v>
      </c>
      <c r="D11" s="1" t="str">
        <f t="array" ref="D11">IF(NOT(ISBLANK(A11)), (_xlfn.XLOOKUP($A11,Index!$B$2:B$995,Index!$A$2:$A$995,"Not Found")),"")</f>
        <v>base3-11</v>
      </c>
      <c r="E11" s="2">
        <f t="array" ref="E11">IF(NOT(ISBLANK($A11)), (_xlfn.XLOOKUP($A11,Index!$B$2:$B$995,Index!$D$2:$D$995,"Not Found")),"")</f>
        <v>1</v>
      </c>
      <c r="F11" s="1" t="str">
        <f t="array" ref="F11">IF(NOT(ISBLANK($A11)), (_xlfn.XLOOKUP($A11,Index!$B$2:$B$995,Index!$E$2:$E$995,"Not Found")),"")</f>
        <v>n</v>
      </c>
      <c r="G11" s="1">
        <f t="array" ref="G11">IF(NOT(ISBLANK(A11)), ((_xlfn.XLOOKUP(A11,Index!$B$2:$B$995,Index!$F$2:$F$995,"Not Found"))*B11),"")</f>
        <v>2</v>
      </c>
      <c r="K11" s="1" t="s">
        <v>289</v>
      </c>
      <c r="L11" s="1">
        <f>IF(NOT(ISBLANK($K$2)), SUMIFS($B$2:$B$32, $C$2:$C$32,"Energy"), "")</f>
        <v>24</v>
      </c>
    </row>
    <row r="12">
      <c r="A12" s="1" t="s">
        <v>279</v>
      </c>
      <c r="B12" s="1">
        <v>2.0</v>
      </c>
      <c r="C12" s="1" t="str">
        <f t="array" ref="C12">IF(NOT(ISBLANK($A12)), (_xlfn.XLOOKUP($A12,Index!$B$2:$B$995,Index!$C$2:$C$995,"Not Found")),"")</f>
        <v>E</v>
      </c>
      <c r="D12" s="1" t="str">
        <f t="array" ref="D12">IF(NOT(ISBLANK(A12)), (_xlfn.XLOOKUP($A12,Index!$B$2:B$995,Index!$A$2:$A$995,"Not Found")),"")</f>
        <v>base3-15</v>
      </c>
      <c r="E12" s="2" t="str">
        <f t="array" ref="E12">IF(NOT(ISBLANK($A12)), (_xlfn.XLOOKUP($A12,Index!$B$2:$B$995,Index!$D$2:$D$995,"Not Found")),"")</f>
        <v>b</v>
      </c>
      <c r="F12" s="1" t="str">
        <f t="array" ref="F12">IF(NOT(ISBLANK($A12)), (_xlfn.XLOOKUP($A12,Index!$B$2:$B$995,Index!$E$2:$E$995,"Not Found")),"")</f>
        <v>n</v>
      </c>
      <c r="G12" s="1">
        <f t="array" ref="G12">IF(NOT(ISBLANK(A12)), ((_xlfn.XLOOKUP(A12,Index!$B$2:$B$995,Index!$F$2:$F$995,"Not Found"))*B12),"")</f>
        <v>4</v>
      </c>
      <c r="K12" s="1" t="s">
        <v>729</v>
      </c>
      <c r="L12" s="6">
        <f>L7</f>
        <v>20</v>
      </c>
    </row>
    <row r="13">
      <c r="A13" s="1" t="s">
        <v>95</v>
      </c>
      <c r="B13" s="1">
        <v>1.0</v>
      </c>
      <c r="C13" s="1" t="str">
        <f t="array" ref="C13">IF(NOT(ISBLANK($A13)), (_xlfn.XLOOKUP($A13,Index!$B$2:$B$995,Index!$C$2:$C$995,"Not Found")),"")</f>
        <v>C</v>
      </c>
      <c r="D13" s="1" t="str">
        <f t="array" ref="D13">IF(NOT(ISBLANK(A13)), (_xlfn.XLOOKUP($A13,Index!$B$2:B$995,Index!$A$2:$A$995,"Not Found")),"")</f>
        <v>basep-11</v>
      </c>
      <c r="E13" s="2" t="str">
        <f t="array" ref="E13">IF(NOT(ISBLANK($A13)), (_xlfn.XLOOKUP($A13,Index!$B$2:$B$995,Index!$D$2:$D$995,"Not Found")),"")</f>
        <v>b</v>
      </c>
      <c r="F13" s="1" t="str">
        <f t="array" ref="F13">IF(NOT(ISBLANK($A13)), (_xlfn.XLOOKUP($A13,Index!$B$2:$B$995,Index!$E$2:$E$995,"Not Found")),"")</f>
        <v>y</v>
      </c>
      <c r="G13" s="1">
        <f t="array" ref="G13">IF(NOT(ISBLANK(A13)), ((_xlfn.XLOOKUP(A13,Index!$B$2:$B$995,Index!$F$2:$F$995,"Not Found"))*B13),"")</f>
        <v>0.5</v>
      </c>
    </row>
    <row r="14">
      <c r="A14" s="1" t="s">
        <v>213</v>
      </c>
      <c r="B14" s="1">
        <v>2.0</v>
      </c>
      <c r="C14" s="1" t="str">
        <f t="array" ref="C14">IF(NOT(ISBLANK($A14)), (_xlfn.XLOOKUP($A14,Index!$B$2:$B$995,Index!$C$2:$C$995,"Not Found")),"")</f>
        <v>E</v>
      </c>
      <c r="D14" s="1" t="str">
        <f t="array" ref="D14">IF(NOT(ISBLANK(A14)), (_xlfn.XLOOKUP($A14,Index!$B$2:B$995,Index!$A$2:$A$995,"Not Found")),"")</f>
        <v>base2-4</v>
      </c>
      <c r="E14" s="2">
        <f t="array" ref="E14">IF(NOT(ISBLANK($A14)), (_xlfn.XLOOKUP($A14,Index!$B$2:$B$995,Index!$D$2:$D$995,"Not Found")),"")</f>
        <v>1</v>
      </c>
      <c r="F14" s="1" t="str">
        <f t="array" ref="F14">IF(NOT(ISBLANK($A14)), (_xlfn.XLOOKUP($A14,Index!$B$2:$B$995,Index!$E$2:$E$995,"Not Found")),"")</f>
        <v>n</v>
      </c>
      <c r="G14" s="1">
        <f t="array" ref="G14">IF(NOT(ISBLANK(A14)), ((_xlfn.XLOOKUP(A14,Index!$B$2:$B$995,Index!$F$2:$F$995,"Not Found"))*B14),"")</f>
        <v>4</v>
      </c>
    </row>
    <row r="15">
      <c r="A15" s="1" t="s">
        <v>190</v>
      </c>
      <c r="B15" s="1">
        <v>1.0</v>
      </c>
      <c r="C15" s="1" t="str">
        <f t="array" ref="C15">IF(NOT(ISBLANK($A15)), (_xlfn.XLOOKUP($A15,Index!$B$2:$B$995,Index!$C$2:$C$995,"Not Found")),"")</f>
        <v>E</v>
      </c>
      <c r="D15" s="1" t="str">
        <f t="array" ref="D15">IF(NOT(ISBLANK(A15)), (_xlfn.XLOOKUP($A15,Index!$B$2:B$995,Index!$A$2:$A$995,"Not Found")),"")</f>
        <v>base1-20</v>
      </c>
      <c r="E15" s="2" t="str">
        <f t="array" ref="E15">IF(NOT(ISBLANK($A15)), (_xlfn.XLOOKUP($A15,Index!$B$2:$B$995,Index!$D$2:$D$995,"Not Found")),"")</f>
        <v>b</v>
      </c>
      <c r="F15" s="1" t="str">
        <f t="array" ref="F15">IF(NOT(ISBLANK($A15)), (_xlfn.XLOOKUP($A15,Index!$B$2:$B$995,Index!$E$2:$E$995,"Not Found")),"")</f>
        <v>n</v>
      </c>
      <c r="G15" s="1">
        <f t="array" ref="G15">IF(NOT(ISBLANK(A15)), ((_xlfn.XLOOKUP(A15,Index!$B$2:$B$995,Index!$F$2:$F$995,"Not Found"))*B15),"")</f>
        <v>1</v>
      </c>
      <c r="K15" s="1" t="s">
        <v>730</v>
      </c>
    </row>
    <row r="16">
      <c r="A16" s="1" t="s">
        <v>570</v>
      </c>
      <c r="B16" s="1">
        <v>3.0</v>
      </c>
      <c r="C16" s="1" t="str">
        <f t="array" ref="C16">IF(NOT(ISBLANK($A16)), (_xlfn.XLOOKUP($A16,Index!$B$2:$B$995,Index!$C$2:$C$995,"Not Found")),"")</f>
        <v>T</v>
      </c>
      <c r="D16" s="1" t="str">
        <f t="array" ref="D16">IF(NOT(ISBLANK(A16)), (_xlfn.XLOOKUP($A16,Index!$B$2:B$995,Index!$A$2:$A$995,"Not Found")),"")</f>
        <v>base1-91</v>
      </c>
      <c r="E16" s="2" t="str">
        <f t="array" ref="E16">IF(NOT(ISBLANK($A16)), (_xlfn.XLOOKUP($A16,Index!$B$2:$B$995,Index!$D$2:$D$995,"Not Found")),"")</f>
        <v>c</v>
      </c>
      <c r="F16" s="1" t="str">
        <f t="array" ref="F16">IF(NOT(ISBLANK($A16)), (_xlfn.XLOOKUP($A16,Index!$B$2:$B$995,Index!$E$2:$E$995,"Not Found")),"")</f>
        <v/>
      </c>
      <c r="G16" s="1" t="str">
        <f t="array" ref="G16">IF(NOT(ISBLANK(A16)), ((_xlfn.XLOOKUP(A16,Index!$B$2:$B$995,Index!$F$2:$F$995,"Not Found"))*B16),"")</f>
        <v>#VALUE!</v>
      </c>
      <c r="K16" s="6" t="str">
        <f t="shared" ref="K16:K20" si="8">K2</f>
        <v>E</v>
      </c>
      <c r="L16" s="1">
        <f t="shared" ref="L16:L19" si="9">IF(NOT(ISBLANK($K2)), SUMIFS($G$2:$G$32, $C$2:$C$32,$K2), "")</f>
        <v>19</v>
      </c>
    </row>
    <row r="17">
      <c r="A17" s="1" t="s">
        <v>638</v>
      </c>
      <c r="B17" s="1">
        <v>1.0</v>
      </c>
      <c r="C17" s="1" t="str">
        <f t="array" ref="C17">IF(NOT(ISBLANK($A17)), (_xlfn.XLOOKUP($A17,Index!$B$2:$B$995,Index!$C$2:$C$995,"Not Found")),"")</f>
        <v>T</v>
      </c>
      <c r="D17" s="1" t="str">
        <f t="array" ref="D17">IF(NOT(ISBLANK(A17)), (_xlfn.XLOOKUP($A17,Index!$B$2:B$995,Index!$A$2:$A$995,"Not Found")),"")</f>
        <v>base1-88</v>
      </c>
      <c r="E17" s="2" t="str">
        <f t="array" ref="E17">IF(NOT(ISBLANK($A17)), (_xlfn.XLOOKUP($A17,Index!$B$2:$B$995,Index!$D$2:$D$995,"Not Found")),"")</f>
        <v>u</v>
      </c>
      <c r="F17" s="1" t="str">
        <f t="array" ref="F17">IF(NOT(ISBLANK($A17)), (_xlfn.XLOOKUP($A17,Index!$B$2:$B$995,Index!$E$2:$E$995,"Not Found")),"")</f>
        <v/>
      </c>
      <c r="G17" s="1" t="str">
        <f t="array" ref="G17">IF(NOT(ISBLANK(A17)), ((_xlfn.XLOOKUP(A17,Index!$B$2:$B$995,Index!$F$2:$F$995,"Not Found"))*B17),"")</f>
        <v>#VALUE!</v>
      </c>
      <c r="K17" s="6" t="str">
        <f t="shared" si="8"/>
        <v>C</v>
      </c>
      <c r="L17" s="1">
        <f t="shared" si="9"/>
        <v>0.5</v>
      </c>
    </row>
    <row r="18">
      <c r="A18" s="1" t="s">
        <v>580</v>
      </c>
      <c r="B18" s="1">
        <v>2.0</v>
      </c>
      <c r="C18" s="1" t="str">
        <f t="array" ref="C18">IF(NOT(ISBLANK($A18)), (_xlfn.XLOOKUP($A18,Index!$B$2:$B$995,Index!$C$2:$C$995,"Not Found")),"")</f>
        <v>T</v>
      </c>
      <c r="D18" s="1" t="str">
        <f t="array" ref="D18">IF(NOT(ISBLANK(A18)), (_xlfn.XLOOKUP($A18,Index!$B$2:B$995,Index!$A$2:$A$995,"Not Found")),"")</f>
        <v>base3-60</v>
      </c>
      <c r="E18" s="2" t="str">
        <f t="array" ref="E18">IF(NOT(ISBLANK($A18)), (_xlfn.XLOOKUP($A18,Index!$B$2:$B$995,Index!$D$2:$D$995,"Not Found")),"")</f>
        <v>c</v>
      </c>
      <c r="F18" s="1" t="str">
        <f t="array" ref="F18">IF(NOT(ISBLANK($A18)), (_xlfn.XLOOKUP($A18,Index!$B$2:$B$995,Index!$E$2:$E$995,"Not Found")),"")</f>
        <v/>
      </c>
      <c r="G18" s="1" t="str">
        <f t="array" ref="G18">IF(NOT(ISBLANK(A18)), ((_xlfn.XLOOKUP(A18,Index!$B$2:$B$995,Index!$F$2:$F$995,"Not Found"))*B18),"")</f>
        <v>#VALUE!</v>
      </c>
      <c r="K18" s="6" t="str">
        <f t="shared" si="8"/>
        <v/>
      </c>
      <c r="L18" s="1" t="str">
        <f t="shared" si="9"/>
        <v/>
      </c>
    </row>
    <row r="19">
      <c r="A19" s="1" t="s">
        <v>587</v>
      </c>
      <c r="B19" s="1">
        <v>2.0</v>
      </c>
      <c r="C19" s="1" t="str">
        <f t="array" ref="C19">IF(NOT(ISBLANK($A19)), (_xlfn.XLOOKUP($A19,Index!$B$2:$B$995,Index!$C$2:$C$995,"Not Found")),"")</f>
        <v>T</v>
      </c>
      <c r="D19" s="1" t="str">
        <f t="array" ref="D19">IF(NOT(ISBLANK(A19)), (_xlfn.XLOOKUP($A19,Index!$B$2:B$995,Index!$A$2:$A$995,"Not Found")),"")</f>
        <v>base2-64</v>
      </c>
      <c r="E19" s="2" t="str">
        <f t="array" ref="E19">IF(NOT(ISBLANK($A19)), (_xlfn.XLOOKUP($A19,Index!$B$2:$B$995,Index!$D$2:$D$995,"Not Found")),"")</f>
        <v>c</v>
      </c>
      <c r="F19" s="1" t="str">
        <f t="array" ref="F19">IF(NOT(ISBLANK($A19)), (_xlfn.XLOOKUP($A19,Index!$B$2:$B$995,Index!$E$2:$E$995,"Not Found")),"")</f>
        <v/>
      </c>
      <c r="G19" s="1" t="str">
        <f t="array" ref="G19">IF(NOT(ISBLANK(A19)), ((_xlfn.XLOOKUP(A19,Index!$B$2:$B$995,Index!$F$2:$F$995,"Not Found"))*B19),"")</f>
        <v>#VALUE!</v>
      </c>
      <c r="K19" s="6" t="str">
        <f t="shared" si="8"/>
        <v/>
      </c>
      <c r="L19" s="1" t="str">
        <f t="shared" si="9"/>
        <v/>
      </c>
    </row>
    <row r="20">
      <c r="A20" s="1" t="s">
        <v>589</v>
      </c>
      <c r="B20" s="1">
        <v>1.0</v>
      </c>
      <c r="C20" s="1" t="str">
        <f t="array" ref="C20">IF(NOT(ISBLANK($A20)), (_xlfn.XLOOKUP($A20,Index!$B$2:$B$995,Index!$C$2:$C$995,"Not Found")),"")</f>
        <v>T</v>
      </c>
      <c r="D20" s="1" t="str">
        <f t="array" ref="D20">IF(NOT(ISBLANK(A20)), (_xlfn.XLOOKUP($A20,Index!$B$2:B$995,Index!$A$2:$A$995,"Not Found")),"")</f>
        <v>base1-94</v>
      </c>
      <c r="E20" s="2" t="str">
        <f t="array" ref="E20">IF(NOT(ISBLANK($A20)), (_xlfn.XLOOKUP($A20,Index!$B$2:$B$995,Index!$D$2:$D$995,"Not Found")),"")</f>
        <v>c</v>
      </c>
      <c r="F20" s="1" t="str">
        <f t="array" ref="F20">IF(NOT(ISBLANK($A20)), (_xlfn.XLOOKUP($A20,Index!$B$2:$B$995,Index!$E$2:$E$995,"Not Found")),"")</f>
        <v/>
      </c>
      <c r="G20" s="1" t="str">
        <f t="array" ref="G20">IF(NOT(ISBLANK(A20)), ((_xlfn.XLOOKUP(A20,Index!$B$2:$B$995,Index!$F$2:$F$995,"Not Found"))*B20),"")</f>
        <v>#VALUE!</v>
      </c>
      <c r="K20" s="6" t="str">
        <f t="shared" si="8"/>
        <v/>
      </c>
    </row>
    <row r="21">
      <c r="A21" s="1" t="s">
        <v>582</v>
      </c>
      <c r="B21" s="1">
        <v>2.0</v>
      </c>
      <c r="C21" s="1" t="str">
        <f t="array" ref="C21">IF(NOT(ISBLANK($A21)), (_xlfn.XLOOKUP($A21,Index!$B$2:$B$995,Index!$C$2:$C$995,"Not Found")),"")</f>
        <v>T</v>
      </c>
      <c r="D21" s="1" t="str">
        <f t="array" ref="D21">IF(NOT(ISBLANK(A21)), (_xlfn.XLOOKUP($A21,Index!$B$2:B$995,Index!$A$2:$A$995,"Not Found")),"")</f>
        <v>base1-93</v>
      </c>
      <c r="E21" s="2" t="str">
        <f t="array" ref="E21">IF(NOT(ISBLANK($A21)), (_xlfn.XLOOKUP($A21,Index!$B$2:$B$995,Index!$D$2:$D$995,"Not Found")),"")</f>
        <v>c</v>
      </c>
      <c r="F21" s="1" t="str">
        <f t="array" ref="F21">IF(NOT(ISBLANK($A21)), (_xlfn.XLOOKUP($A21,Index!$B$2:$B$995,Index!$E$2:$E$995,"Not Found")),"")</f>
        <v/>
      </c>
      <c r="G21" s="1" t="str">
        <f t="array" ref="G21">IF(NOT(ISBLANK(A21)), ((_xlfn.XLOOKUP(A21,Index!$B$2:$B$995,Index!$F$2:$F$995,"Not Found"))*B21),"")</f>
        <v>#VALUE!</v>
      </c>
      <c r="K21" s="1" t="s">
        <v>731</v>
      </c>
      <c r="L21" s="6">
        <f>SUM(L15:L19)</f>
        <v>19.5</v>
      </c>
    </row>
    <row r="22">
      <c r="A22" s="1" t="s">
        <v>616</v>
      </c>
      <c r="B22" s="1">
        <v>1.0</v>
      </c>
      <c r="C22" s="1" t="str">
        <f t="array" ref="C22">IF(NOT(ISBLANK($A22)), (_xlfn.XLOOKUP($A22,Index!$B$2:$B$995,Index!$C$2:$C$995,"Not Found")),"")</f>
        <v>T</v>
      </c>
      <c r="D22" s="1" t="str">
        <f t="array" ref="D22">IF(NOT(ISBLANK(A22)), (_xlfn.XLOOKUP($A22,Index!$B$2:B$995,Index!$A$2:$A$995,"Not Found")),"")</f>
        <v>base1-79</v>
      </c>
      <c r="E22" s="2" t="str">
        <f t="array" ref="E22">IF(NOT(ISBLANK($A22)), (_xlfn.XLOOKUP($A22,Index!$B$2:$B$995,Index!$D$2:$D$995,"Not Found")),"")</f>
        <v>r</v>
      </c>
      <c r="F22" s="1" t="str">
        <f t="array" ref="F22">IF(NOT(ISBLANK($A22)), (_xlfn.XLOOKUP($A22,Index!$B$2:$B$995,Index!$E$2:$E$995,"Not Found")),"")</f>
        <v/>
      </c>
      <c r="G22" s="1" t="str">
        <f t="array" ref="G22">IF(NOT(ISBLANK(A22)), ((_xlfn.XLOOKUP(A22,Index!$B$2:$B$995,Index!$F$2:$F$995,"Not Found"))*B22),"")</f>
        <v>#VALUE!</v>
      </c>
    </row>
    <row r="23">
      <c r="A23" s="1" t="s">
        <v>630</v>
      </c>
      <c r="B23" s="1">
        <v>2.0</v>
      </c>
      <c r="C23" s="1" t="str">
        <f t="array" ref="C23">IF(NOT(ISBLANK($A23)), (_xlfn.XLOOKUP($A23,Index!$B$2:$B$995,Index!$C$2:$C$995,"Not Found")),"")</f>
        <v>T</v>
      </c>
      <c r="D23" s="1" t="str">
        <f t="array" ref="D23">IF(NOT(ISBLANK(A23)), (_xlfn.XLOOKUP($A23,Index!$B$2:B$995,Index!$A$2:$A$995,"Not Found")),"")</f>
        <v>base1-84</v>
      </c>
      <c r="E23" s="2" t="str">
        <f t="array" ref="E23">IF(NOT(ISBLANK($A23)), (_xlfn.XLOOKUP($A23,Index!$B$2:$B$995,Index!$D$2:$D$995,"Not Found")),"")</f>
        <v>u</v>
      </c>
      <c r="F23" s="1" t="str">
        <f t="array" ref="F23">IF(NOT(ISBLANK($A23)), (_xlfn.XLOOKUP($A23,Index!$B$2:$B$995,Index!$E$2:$E$995,"Not Found")),"")</f>
        <v/>
      </c>
      <c r="G23" s="1" t="str">
        <f t="array" ref="G23">IF(NOT(ISBLANK(A23)), ((_xlfn.XLOOKUP(A23,Index!$B$2:$B$995,Index!$F$2:$F$995,"Not Found"))*B23),"")</f>
        <v>#VALUE!</v>
      </c>
    </row>
    <row r="24">
      <c r="A24" s="1" t="s">
        <v>618</v>
      </c>
      <c r="B24" s="1">
        <v>1.0</v>
      </c>
      <c r="C24" s="1" t="str">
        <f t="array" ref="C24">IF(NOT(ISBLANK($A24)), (_xlfn.XLOOKUP($A24,Index!$B$2:$B$995,Index!$C$2:$C$995,"Not Found")),"")</f>
        <v>T</v>
      </c>
      <c r="D24" s="1" t="str">
        <f t="array" ref="D24">IF(NOT(ISBLANK(A24)), (_xlfn.XLOOKUP($A24,Index!$B$2:B$995,Index!$A$2:$A$995,"Not Found")),"")</f>
        <v>base1-80</v>
      </c>
      <c r="E24" s="2" t="str">
        <f t="array" ref="E24">IF(NOT(ISBLANK($A24)), (_xlfn.XLOOKUP($A24,Index!$B$2:$B$995,Index!$D$2:$D$995,"Not Found")),"")</f>
        <v>u</v>
      </c>
      <c r="F24" s="1" t="str">
        <f t="array" ref="F24">IF(NOT(ISBLANK($A24)), (_xlfn.XLOOKUP($A24,Index!$B$2:$B$995,Index!$E$2:$E$995,"Not Found")),"")</f>
        <v/>
      </c>
      <c r="G24" s="1" t="str">
        <f t="array" ref="G24">IF(NOT(ISBLANK(A24)), ((_xlfn.XLOOKUP(A24,Index!$B$2:$B$995,Index!$F$2:$F$995,"Not Found"))*B24),"")</f>
        <v>#VALUE!</v>
      </c>
      <c r="K24" s="1" t="s">
        <v>732</v>
      </c>
      <c r="L24" s="1" t="s">
        <v>279</v>
      </c>
    </row>
    <row r="25">
      <c r="A25" s="1" t="s">
        <v>606</v>
      </c>
      <c r="B25" s="1">
        <v>1.0</v>
      </c>
      <c r="C25" s="1" t="str">
        <f t="array" ref="C25">IF(NOT(ISBLANK($A25)), (_xlfn.XLOOKUP($A25,Index!$B$2:$B$995,Index!$C$2:$C$995,"Not Found")),"")</f>
        <v>T</v>
      </c>
      <c r="D25" s="1" t="str">
        <f t="array" ref="D25">IF(NOT(ISBLANK(A25)), (_xlfn.XLOOKUP($A25,Index!$B$2:B$995,Index!$A$2:$A$995,"Not Found")),"")</f>
        <v>base1-74</v>
      </c>
      <c r="E25" s="2" t="str">
        <f t="array" ref="E25">IF(NOT(ISBLANK($A25)), (_xlfn.XLOOKUP($A25,Index!$B$2:$B$995,Index!$D$2:$D$995,"Not Found")),"")</f>
        <v>r</v>
      </c>
      <c r="F25" s="1" t="str">
        <f t="array" ref="F25">IF(NOT(ISBLANK($A25)), (_xlfn.XLOOKUP($A25,Index!$B$2:$B$995,Index!$E$2:$E$995,"Not Found")),"")</f>
        <v/>
      </c>
      <c r="G25" s="1" t="str">
        <f t="array" ref="G25">IF(NOT(ISBLANK(A25)), ((_xlfn.XLOOKUP(A25,Index!$B$2:$B$995,Index!$F$2:$F$995,"Not Found"))*B25),"")</f>
        <v>#VALUE!</v>
      </c>
    </row>
    <row r="26">
      <c r="A26" s="1" t="s">
        <v>90</v>
      </c>
      <c r="B26" s="1">
        <v>2.0</v>
      </c>
      <c r="C26" s="1" t="str">
        <f t="array" ref="C26">IF(NOT(ISBLANK($A26)), (_xlfn.XLOOKUP($A26,Index!$B$2:$B$995,Index!$C$2:$C$995,"Not Found")),"")</f>
        <v>C</v>
      </c>
      <c r="D26" s="1" t="str">
        <f t="array" ref="D26">IF(NOT(ISBLANK(A26)), (_xlfn.XLOOKUP($A26,Index!$B$2:B$995,Index!$A$2:$A$995,"Not Found")),"")</f>
        <v>base2-51</v>
      </c>
      <c r="E26" s="2" t="str">
        <f t="array" ref="E26">IF(NOT(ISBLANK($A26)), (_xlfn.XLOOKUP($A26,Index!$B$2:$B$995,Index!$D$2:$D$995,"Not Found")),"")</f>
        <v>b</v>
      </c>
      <c r="F26" s="1" t="str">
        <f t="array" ref="F26">IF(NOT(ISBLANK($A26)), (_xlfn.XLOOKUP($A26,Index!$B$2:$B$995,Index!$E$2:$E$995,"Not Found")),"")</f>
        <v>y</v>
      </c>
      <c r="G26" s="1">
        <f t="array" ref="G26">IF(NOT(ISBLANK(A26)), ((_xlfn.XLOOKUP(A26,Index!$B$2:$B$995,Index!$F$2:$F$995,"Not Found"))*B26),"")</f>
        <v>0</v>
      </c>
    </row>
    <row r="27">
      <c r="C27" s="1" t="str">
        <f t="array" ref="C27">IF(NOT(ISBLANK($A27)), (_xlfn.XLOOKUP($A27,Index!$B$2:$B$995,Index!$C$2:$C$995,"Not Found")),"")</f>
        <v/>
      </c>
      <c r="D27" s="1" t="str">
        <f t="array" ref="D27">IF(NOT(ISBLANK(A27)), (_xlfn.XLOOKUP($A27,Index!$B$2:B$995,Index!$A$2:$A$995,"Not Found")),"")</f>
        <v/>
      </c>
      <c r="E27" s="2" t="str">
        <f t="array" ref="E27">IF(NOT(ISBLANK($A27)), (_xlfn.XLOOKUP($A27,Index!$B$2:$B$995,Index!$D$2:$D$995,"Not Found")),"")</f>
        <v/>
      </c>
      <c r="F27" s="1" t="str">
        <f t="array" ref="F27">IF(NOT(ISBLANK($A27)), (_xlfn.XLOOKUP($A27,Index!$B$2:$B$995,Index!$E$2:$E$995,"Not Found")),"")</f>
        <v/>
      </c>
      <c r="G27" s="1" t="str">
        <f t="array" ref="G27">IF(NOT(ISBLANK(A27)), ((_xlfn.XLOOKUP(A27,Index!$B$2:$B$995,Index!$F$2:$F$995,"Not Found"))*B27),"")</f>
        <v/>
      </c>
    </row>
    <row r="28">
      <c r="C28" s="1" t="str">
        <f t="array" ref="C28">IF(NOT(ISBLANK($A28)), (_xlfn.XLOOKUP($A28,Index!$B$2:$B$995,Index!$C$2:$C$995,"Not Found")),"")</f>
        <v/>
      </c>
      <c r="D28" s="1" t="str">
        <f t="array" ref="D28">IF(NOT(ISBLANK(A28)), (_xlfn.XLOOKUP($A28,Index!$B$2:B$995,Index!$A$2:$A$995,"Not Found")),"")</f>
        <v/>
      </c>
      <c r="E28" s="2" t="str">
        <f t="array" ref="E28">IF(NOT(ISBLANK($A28)), (_xlfn.XLOOKUP($A28,Index!$B$2:$B$995,Index!$D$2:$D$995,"Not Found")),"")</f>
        <v/>
      </c>
      <c r="F28" s="1" t="str">
        <f t="array" ref="F28">IF(NOT(ISBLANK($A28)), (_xlfn.XLOOKUP($A28,Index!$B$2:$B$995,Index!$E$2:$E$995,"Not Found")),"")</f>
        <v/>
      </c>
      <c r="G28" s="1" t="str">
        <f t="array" ref="G28">IF(NOT(ISBLANK(A28)), ((_xlfn.XLOOKUP(A28,Index!$B$2:$B$995,Index!$F$2:$F$995,"Not Found"))*B28),"")</f>
        <v/>
      </c>
    </row>
    <row r="29">
      <c r="C29" s="1" t="str">
        <f t="array" ref="C29">IF(NOT(ISBLANK($A29)), (_xlfn.XLOOKUP($A29,Index!$B$2:$B$995,Index!$C$2:$C$995,"Not Found")),"")</f>
        <v/>
      </c>
      <c r="D29" s="1" t="str">
        <f t="array" ref="D29">IF(NOT(ISBLANK(A29)), (_xlfn.XLOOKUP($A29,Index!$B$2:B$995,Index!$A$2:$A$995,"Not Found")),"")</f>
        <v/>
      </c>
      <c r="E29" s="2" t="str">
        <f t="array" ref="E29">IF(NOT(ISBLANK($A29)), (_xlfn.XLOOKUP($A29,Index!$B$2:$B$995,Index!$D$2:$D$995,"Not Found")),"")</f>
        <v/>
      </c>
      <c r="F29" s="1" t="str">
        <f t="array" ref="F29">IF(NOT(ISBLANK($A29)), (_xlfn.XLOOKUP($A29,Index!$B$2:$B$995,Index!$E$2:$E$995,"Not Found")),"")</f>
        <v/>
      </c>
      <c r="G29" s="1" t="str">
        <f t="array" ref="G29">IF(NOT(ISBLANK(A29)), ((_xlfn.XLOOKUP(A29,Index!$B$2:$B$995,Index!$F$2:$F$995,"Not Found"))*B29),"")</f>
        <v/>
      </c>
    </row>
    <row r="30">
      <c r="C30" s="1" t="str">
        <f t="array" ref="C30">IF(NOT(ISBLANK($A30)), (_xlfn.XLOOKUP($A30,Index!$B$2:$B$995,Index!$C$2:$C$995,"Not Found")),"")</f>
        <v/>
      </c>
      <c r="D30" s="1" t="str">
        <f t="array" ref="D30">IF(NOT(ISBLANK(A30)), (_xlfn.XLOOKUP($A30,Index!$B$2:B$995,Index!$A$2:$A$995,"Not Found")),"")</f>
        <v/>
      </c>
      <c r="E30" s="2" t="str">
        <f t="array" ref="E30">IF(NOT(ISBLANK($A30)), (_xlfn.XLOOKUP($A30,Index!$B$2:$B$995,Index!$D$2:$D$995,"Not Found")),"")</f>
        <v/>
      </c>
      <c r="F30" s="1" t="str">
        <f t="array" ref="F30">IF(NOT(ISBLANK($A30)), (_xlfn.XLOOKUP($A30,Index!$B$2:$B$995,Index!$E$2:$E$995,"Not Found")),"")</f>
        <v/>
      </c>
      <c r="G30" s="1" t="str">
        <f t="array" ref="G30">IF(NOT(ISBLANK(A30)), ((_xlfn.XLOOKUP(A30,Index!$B$2:$B$995,Index!$F$2:$F$995,"Not Found"))*B30),"")</f>
        <v/>
      </c>
    </row>
    <row r="31">
      <c r="C31" s="1" t="str">
        <f t="array" ref="C31">IF(NOT(ISBLANK($A31)), (_xlfn.XLOOKUP($A31,Index!$B$2:$B$995,Index!$C$2:$C$995,"Not Found")),"")</f>
        <v/>
      </c>
      <c r="D31" s="1" t="str">
        <f t="array" ref="D31">IF(NOT(ISBLANK(A31)), (_xlfn.XLOOKUP($A31,Index!$B$2:B$995,Index!$A$2:$A$995,"Not Found")),"")</f>
        <v/>
      </c>
      <c r="E31" s="2" t="str">
        <f t="array" ref="E31">IF(NOT(ISBLANK($A31)), (_xlfn.XLOOKUP($A31,Index!$B$2:$B$995,Index!$D$2:$D$995,"Not Found")),"")</f>
        <v/>
      </c>
      <c r="F31" s="1" t="str">
        <f t="array" ref="F31">IF(NOT(ISBLANK($A31)), (_xlfn.XLOOKUP($A31,Index!$B$2:$B$995,Index!$E$2:$E$995,"Not Found")),"")</f>
        <v/>
      </c>
      <c r="G31" s="1" t="str">
        <f t="array" ref="G31">IF(NOT(ISBLANK(A31)), ((_xlfn.XLOOKUP(A31,Index!$B$2:$B$995,Index!$F$2:$F$995,"Not Found"))*B31),"")</f>
        <v/>
      </c>
    </row>
    <row r="32">
      <c r="C32" s="1" t="str">
        <f t="array" ref="C32">IF(NOT(ISBLANK($A32)), (_xlfn.XLOOKUP($A32,Index!$B$2:$B$995,Index!$C$2:$C$995,"Not Found")),"")</f>
        <v/>
      </c>
      <c r="D32" s="1" t="str">
        <f t="array" ref="D32">IF(NOT(ISBLANK(A32)), (_xlfn.XLOOKUP($A32,Index!$B$2:B$995,Index!$A$2:$A$995,"Not Found")),"")</f>
        <v/>
      </c>
      <c r="E32" s="2" t="str">
        <f t="array" ref="E32">IF(NOT(ISBLANK($A32)), (_xlfn.XLOOKUP($A32,Index!$B$2:$B$995,Index!$D$2:$D$995,"Not Found")),"")</f>
        <v/>
      </c>
      <c r="F32" s="1" t="str">
        <f t="array" ref="F32">IF(NOT(ISBLANK($A32)), (_xlfn.XLOOKUP($A32,Index!$B$2:$B$995,Index!$E$2:$E$995,"Not Found")),"")</f>
        <v/>
      </c>
      <c r="G32" s="1" t="str">
        <f t="array" ref="G32">IF(NOT(ISBLANK(A32)), ((_xlfn.XLOOKUP(A32,Index!$B$2:$B$995,Index!$F$2:$F$995,"Not Found"))*B32),"")</f>
        <v/>
      </c>
    </row>
    <row r="33">
      <c r="C33" s="1" t="str">
        <f t="array" ref="C33">IF(NOT(ISBLANK($A33)), (_xlfn.XLOOKUP($A33,Index!$B$2:$B$995,Index!$C$2:$C$995,"Not Found")),"")</f>
        <v/>
      </c>
      <c r="D33" s="1" t="str">
        <f t="array" ref="D33">IF(NOT(ISBLANK(A33)), (_xlfn.XLOOKUP($A33,Index!$B$2:B$995,Index!$A$2:$A$995,"Not Found")),"")</f>
        <v/>
      </c>
      <c r="E33" s="2" t="str">
        <f t="array" ref="E33">IF(NOT(ISBLANK($A33)), (_xlfn.XLOOKUP($A33,Index!$B$2:$B$995,Index!$D$2:$D$995,"Not Found")),"")</f>
        <v/>
      </c>
      <c r="F33" s="1" t="str">
        <f t="array" ref="F33">IF(NOT(ISBLANK($A33)), (_xlfn.XLOOKUP($A33,Index!$B$2:$B$995,Index!$E$2:$E$995,"Not Found")),"")</f>
        <v/>
      </c>
      <c r="G33" s="1" t="str">
        <f t="array" ref="G33">IF(NOT(ISBLANK(A33)), ((_xlfn.XLOOKUP(A33,Index!$B$2:$B$995,Index!$F$2:$F$995,"Not Found"))*B33),"")</f>
        <v/>
      </c>
    </row>
    <row r="34">
      <c r="C34" s="1" t="str">
        <f t="array" ref="C34">IF(NOT(ISBLANK($A34)), (_xlfn.XLOOKUP($A34,Index!$B$2:$B$995,Index!$C$2:$C$995,"Not Found")),"")</f>
        <v/>
      </c>
      <c r="D34" s="1" t="str">
        <f t="array" ref="D34">IF(NOT(ISBLANK(A34)), (_xlfn.XLOOKUP($A34,Index!$B$2:B$995,Index!$A$2:$A$995,"Not Found")),"")</f>
        <v/>
      </c>
      <c r="E34" s="2" t="str">
        <f t="array" ref="E34">IF(NOT(ISBLANK($A34)), (_xlfn.XLOOKUP($A34,Index!$B$2:$B$995,Index!$D$2:$D$995,"Not Found")),"")</f>
        <v/>
      </c>
      <c r="F34" s="1" t="str">
        <f t="array" ref="F34">IF(NOT(ISBLANK($A34)), (_xlfn.XLOOKUP($A34,Index!$B$2:$B$995,Index!$E$2:$E$995,"Not Found")),"")</f>
        <v/>
      </c>
      <c r="G34" s="1" t="str">
        <f t="array" ref="G34">IF(NOT(ISBLANK(A34)), ((_xlfn.XLOOKUP(A34,Index!$B$2:$B$995,Index!$F$2:$F$995,"Not Found"))*B34),"")</f>
        <v/>
      </c>
    </row>
    <row r="35">
      <c r="C35" s="1" t="str">
        <f t="array" ref="C35">IF(NOT(ISBLANK($A35)), (_xlfn.XLOOKUP($A35,Index!$B$2:$B$995,Index!$C$2:$C$995,"Not Found")),"")</f>
        <v/>
      </c>
      <c r="D35" s="1" t="str">
        <f t="array" ref="D35">IF(NOT(ISBLANK(A35)), (_xlfn.XLOOKUP($A35,Index!$B$2:B$995,Index!$A$2:$A$995,"Not Found")),"")</f>
        <v/>
      </c>
      <c r="E35" s="2" t="str">
        <f t="array" ref="E35">IF(NOT(ISBLANK($A35)), (_xlfn.XLOOKUP($A35,Index!$B$2:$B$995,Index!$D$2:$D$995,"Not Found")),"")</f>
        <v/>
      </c>
      <c r="F35" s="1" t="str">
        <f t="array" ref="F35">IF(NOT(ISBLANK($A35)), (_xlfn.XLOOKUP($A35,Index!$B$2:$B$995,Index!$E$2:$E$995,"Not Found")),"")</f>
        <v/>
      </c>
      <c r="G35" s="1" t="str">
        <f t="array" ref="G35">IF(NOT(ISBLANK(A35)), ((_xlfn.XLOOKUP(A35,Index!$B$2:$B$995,Index!$F$2:$F$995,"Not Found"))*B35),"")</f>
        <v/>
      </c>
    </row>
    <row r="36">
      <c r="C36" s="1" t="str">
        <f t="array" ref="C36">IF(NOT(ISBLANK($A36)), (_xlfn.XLOOKUP($A36,Index!$B$2:$B$995,Index!$C$2:$C$995,"Not Found")),"")</f>
        <v/>
      </c>
      <c r="D36" s="1" t="str">
        <f t="array" ref="D36">IF(NOT(ISBLANK(A36)), (_xlfn.XLOOKUP($A36,Index!$B$2:B$995,Index!$A$2:$A$995,"Not Found")),"")</f>
        <v/>
      </c>
      <c r="E36" s="2" t="str">
        <f t="array" ref="E36">IF(NOT(ISBLANK($A36)), (_xlfn.XLOOKUP($A36,Index!$B$2:$B$995,Index!$D$2:$D$995,"Not Found")),"")</f>
        <v/>
      </c>
      <c r="F36" s="1" t="str">
        <f t="array" ref="F36">IF(NOT(ISBLANK($A36)), (_xlfn.XLOOKUP($A36,Index!$B$2:$B$995,Index!$E$2:$E$995,"Not Found")),"")</f>
        <v/>
      </c>
      <c r="G36" s="1" t="str">
        <f t="array" ref="G36">IF(NOT(ISBLANK(A36)), ((_xlfn.XLOOKUP(A36,Index!$B$2:$B$995,Index!$F$2:$F$995,"Not Found"))*B36),"")</f>
        <v/>
      </c>
    </row>
    <row r="37">
      <c r="C37" s="1" t="str">
        <f t="array" ref="C37">IF(NOT(ISBLANK($A37)), (_xlfn.XLOOKUP($A37,Index!$B$2:$B$995,Index!$C$2:$C$995,"Not Found")),"")</f>
        <v/>
      </c>
      <c r="D37" s="1" t="str">
        <f t="array" ref="D37">IF(NOT(ISBLANK(A37)), (_xlfn.XLOOKUP($A37,Index!$B$2:B$995,Index!$A$2:$A$995,"Not Found")),"")</f>
        <v/>
      </c>
      <c r="E37" s="2" t="str">
        <f t="array" ref="E37">IF(NOT(ISBLANK($A37)), (_xlfn.XLOOKUP($A37,Index!$B$2:$B$995,Index!$D$2:$D$995,"Not Found")),"")</f>
        <v/>
      </c>
      <c r="F37" s="1" t="str">
        <f t="array" ref="F37">IF(NOT(ISBLANK($A37)), (_xlfn.XLOOKUP($A37,Index!$B$2:$B$995,Index!$E$2:$E$995,"Not Found")),"")</f>
        <v/>
      </c>
      <c r="G37" s="1" t="str">
        <f t="array" ref="G37">IF(NOT(ISBLANK(A37)), ((_xlfn.XLOOKUP(A37,Index!$B$2:$B$995,Index!$F$2:$F$995,"Not Found"))*B37),"")</f>
        <v/>
      </c>
    </row>
    <row r="38">
      <c r="C38" s="1" t="str">
        <f t="array" ref="C38">IF(NOT(ISBLANK($A38)), (_xlfn.XLOOKUP($A38,Index!$B$2:$B$995,Index!$C$2:$C$995,"Not Found")),"")</f>
        <v/>
      </c>
      <c r="D38" s="1" t="str">
        <f t="array" ref="D38">IF(NOT(ISBLANK(A38)), (_xlfn.XLOOKUP($A38,Index!$B$2:B$995,Index!$A$2:$A$995,"Not Found")),"")</f>
        <v/>
      </c>
      <c r="E38" s="2" t="str">
        <f t="array" ref="E38">IF(NOT(ISBLANK($A38)), (_xlfn.XLOOKUP($A38,Index!$B$2:$B$995,Index!$D$2:$D$995,"Not Found")),"")</f>
        <v/>
      </c>
      <c r="F38" s="1" t="str">
        <f t="array" ref="F38">IF(NOT(ISBLANK($A38)), (_xlfn.XLOOKUP($A38,Index!$B$2:$B$995,Index!$E$2:$E$995,"Not Found")),"")</f>
        <v/>
      </c>
      <c r="G38" s="1" t="str">
        <f t="array" ref="G38">IF(NOT(ISBLANK(A38)), ((_xlfn.XLOOKUP(A38,Index!$B$2:$B$995,Index!$F$2:$F$995,"Not Found"))*B38),"")</f>
        <v/>
      </c>
    </row>
    <row r="39">
      <c r="C39" s="1" t="str">
        <f t="array" ref="C39">IF(NOT(ISBLANK($A39)), (_xlfn.XLOOKUP($A39,Index!$B$2:$B$995,Index!$C$2:$C$995,"Not Found")),"")</f>
        <v/>
      </c>
      <c r="D39" s="1" t="str">
        <f t="array" ref="D39">IF(NOT(ISBLANK(A39)), (_xlfn.XLOOKUP($A39,Index!$B$2:B$995,Index!$A$2:$A$995,"Not Found")),"")</f>
        <v/>
      </c>
      <c r="E39" s="2" t="str">
        <f t="array" ref="E39">IF(NOT(ISBLANK($A39)), (_xlfn.XLOOKUP($A39,Index!$B$2:$B$995,Index!$D$2:$D$995,"Not Found")),"")</f>
        <v/>
      </c>
      <c r="F39" s="1" t="str">
        <f t="array" ref="F39">IF(NOT(ISBLANK($A39)), (_xlfn.XLOOKUP($A39,Index!$B$2:$B$995,Index!$E$2:$E$995,"Not Found")),"")</f>
        <v/>
      </c>
      <c r="G39" s="1" t="str">
        <f t="array" ref="G39">IF(NOT(ISBLANK(A39)), ((_xlfn.XLOOKUP(A39,Index!$B$2:$B$995,Index!$F$2:$F$995,"Not Found"))*B39),"")</f>
        <v/>
      </c>
    </row>
    <row r="40">
      <c r="C40" s="1" t="str">
        <f t="array" ref="C40">IF(NOT(ISBLANK($A40)), (_xlfn.XLOOKUP($A40,Index!$B$2:$B$995,Index!$C$2:$C$995,"Not Found")),"")</f>
        <v/>
      </c>
      <c r="D40" s="1" t="str">
        <f t="array" ref="D40">IF(NOT(ISBLANK(A40)), (_xlfn.XLOOKUP($A40,Index!$B$2:B$995,Index!$A$2:$A$995,"Not Found")),"")</f>
        <v/>
      </c>
      <c r="E40" s="2" t="str">
        <f t="array" ref="E40">IF(NOT(ISBLANK($A40)), (_xlfn.XLOOKUP($A40,Index!$B$2:$B$995,Index!$D$2:$D$995,"Not Found")),"")</f>
        <v/>
      </c>
      <c r="F40" s="1" t="str">
        <f t="array" ref="F40">IF(NOT(ISBLANK($A40)), (_xlfn.XLOOKUP($A40,Index!$B$2:$B$995,Index!$E$2:$E$995,"Not Found")),"")</f>
        <v/>
      </c>
      <c r="G40" s="1" t="str">
        <f t="array" ref="G40">IF(NOT(ISBLANK(A40)), ((_xlfn.XLOOKUP(A40,Index!$B$2:$B$995,Index!$F$2:$F$995,"Not Found"))*B40),"")</f>
        <v/>
      </c>
    </row>
    <row r="41">
      <c r="C41" s="1" t="str">
        <f t="array" ref="C41">IF(NOT(ISBLANK($A41)), (_xlfn.XLOOKUP($A41,Index!$B$2:$B$995,Index!$C$2:$C$995,"Not Found")),"")</f>
        <v/>
      </c>
      <c r="D41" s="1" t="str">
        <f t="array" ref="D41">IF(NOT(ISBLANK(A41)), (_xlfn.XLOOKUP($A41,Index!$B$2:B$995,Index!$A$2:$A$995,"Not Found")),"")</f>
        <v/>
      </c>
      <c r="E41" s="2" t="str">
        <f t="array" ref="E41">IF(NOT(ISBLANK($A41)), (_xlfn.XLOOKUP($A41,Index!$B$2:$B$995,Index!$D$2:$D$995,"Not Found")),"")</f>
        <v/>
      </c>
      <c r="F41" s="1" t="str">
        <f t="array" ref="F41">IF(NOT(ISBLANK($A41)), (_xlfn.XLOOKUP($A41,Index!$B$2:$B$995,Index!$E$2:$E$995,"Not Found")),"")</f>
        <v/>
      </c>
      <c r="G41" s="1" t="str">
        <f t="array" ref="G41">IF(NOT(ISBLANK(A41)), ((_xlfn.XLOOKUP(A41,Index!$B$2:$B$995,Index!$F$2:$F$995,"Not Found"))*B41),"")</f>
        <v/>
      </c>
    </row>
    <row r="42">
      <c r="C42" s="1" t="str">
        <f t="array" ref="C42">IF(NOT(ISBLANK($A42)), (_xlfn.XLOOKUP($A42,Index!$B$2:$B$995,Index!$C$2:$C$995,"Not Found")),"")</f>
        <v/>
      </c>
      <c r="D42" s="1" t="str">
        <f t="array" ref="D42">IF(NOT(ISBLANK(A42)), (_xlfn.XLOOKUP($A42,Index!$B$2:B$995,Index!$A$2:$A$995,"Not Found")),"")</f>
        <v/>
      </c>
      <c r="E42" s="2" t="str">
        <f t="array" ref="E42">IF(NOT(ISBLANK($A42)), (_xlfn.XLOOKUP($A42,Index!$B$2:$B$995,Index!$D$2:$D$995,"Not Found")),"")</f>
        <v/>
      </c>
      <c r="F42" s="1" t="str">
        <f t="array" ref="F42">IF(NOT(ISBLANK($A42)), (_xlfn.XLOOKUP($A42,Index!$B$2:$B$995,Index!$E$2:$E$995,"Not Found")),"")</f>
        <v/>
      </c>
      <c r="G42" s="1" t="str">
        <f t="array" ref="G42">IF(NOT(ISBLANK(A42)), ((_xlfn.XLOOKUP(A42,Index!$B$2:$B$995,Index!$F$2:$F$995,"Not Found"))*B42),"")</f>
        <v/>
      </c>
    </row>
    <row r="43">
      <c r="C43" s="1" t="str">
        <f t="array" ref="C43">IF(NOT(ISBLANK($A43)), (_xlfn.XLOOKUP($A43,Index!$B$2:$B$995,Index!$C$2:$C$995,"Not Found")),"")</f>
        <v/>
      </c>
      <c r="D43" s="1" t="str">
        <f t="array" ref="D43">IF(NOT(ISBLANK(A43)), (_xlfn.XLOOKUP($A43,Index!$B$2:B$995,Index!$A$2:$A$995,"Not Found")),"")</f>
        <v/>
      </c>
      <c r="E43" s="2" t="str">
        <f t="array" ref="E43">IF(NOT(ISBLANK($A43)), (_xlfn.XLOOKUP($A43,Index!$B$2:$B$995,Index!$D$2:$D$995,"Not Found")),"")</f>
        <v/>
      </c>
      <c r="F43" s="1" t="str">
        <f t="array" ref="F43">IF(NOT(ISBLANK($A43)), (_xlfn.XLOOKUP($A43,Index!$B$2:$B$995,Index!$E$2:$E$995,"Not Found")),"")</f>
        <v/>
      </c>
      <c r="G43" s="1" t="str">
        <f t="array" ref="G43">IF(NOT(ISBLANK(A43)), ((_xlfn.XLOOKUP(A43,Index!$B$2:$B$995,Index!$F$2:$F$995,"Not Found"))*B43),"")</f>
        <v/>
      </c>
    </row>
    <row r="44">
      <c r="C44" s="1" t="str">
        <f t="array" ref="C44">IF(NOT(ISBLANK($A44)), (_xlfn.XLOOKUP($A44,Index!$B$2:$B$995,Index!$C$2:$C$995,"Not Found")),"")</f>
        <v/>
      </c>
      <c r="D44" s="1" t="str">
        <f t="array" ref="D44">IF(NOT(ISBLANK(A44)), (_xlfn.XLOOKUP($A44,Index!$B$2:B$995,Index!$A$2:$A$995,"Not Found")),"")</f>
        <v/>
      </c>
      <c r="E44" s="2" t="str">
        <f t="array" ref="E44">IF(NOT(ISBLANK($A44)), (_xlfn.XLOOKUP($A44,Index!$B$2:$B$995,Index!$D$2:$D$995,"Not Found")),"")</f>
        <v/>
      </c>
      <c r="F44" s="1" t="str">
        <f t="array" ref="F44">IF(NOT(ISBLANK($A44)), (_xlfn.XLOOKUP($A44,Index!$B$2:$B$995,Index!$E$2:$E$995,"Not Found")),"")</f>
        <v/>
      </c>
      <c r="G44" s="1" t="str">
        <f t="array" ref="G44">IF(NOT(ISBLANK(A44)), ((_xlfn.XLOOKUP(A44,Index!$B$2:$B$995,Index!$F$2:$F$995,"Not Found"))*B44),"")</f>
        <v/>
      </c>
    </row>
    <row r="45">
      <c r="C45" s="1" t="str">
        <f t="array" ref="C45">IF(NOT(ISBLANK($A45)), (_xlfn.XLOOKUP($A45,Index!$B$2:$B$995,Index!$C$2:$C$995,"Not Found")),"")</f>
        <v/>
      </c>
      <c r="D45" s="1" t="str">
        <f t="array" ref="D45">IF(NOT(ISBLANK(A45)), (_xlfn.XLOOKUP($A45,Index!$B$2:B$995,Index!$A$2:$A$995,"Not Found")),"")</f>
        <v/>
      </c>
      <c r="E45" s="2" t="str">
        <f t="array" ref="E45">IF(NOT(ISBLANK($A45)), (_xlfn.XLOOKUP($A45,Index!$B$2:$B$995,Index!$D$2:$D$995,"Not Found")),"")</f>
        <v/>
      </c>
      <c r="F45" s="1" t="str">
        <f t="array" ref="F45">IF(NOT(ISBLANK($A45)), (_xlfn.XLOOKUP($A45,Index!$B$2:$B$995,Index!$E$2:$E$995,"Not Found")),"")</f>
        <v/>
      </c>
      <c r="G45" s="1" t="str">
        <f t="array" ref="G45">IF(NOT(ISBLANK(A45)), ((_xlfn.XLOOKUP(A45,Index!$B$2:$B$995,Index!$F$2:$F$995,"Not Found"))*B45),"")</f>
        <v/>
      </c>
    </row>
    <row r="46">
      <c r="C46" s="1" t="str">
        <f t="array" ref="C46">IF(NOT(ISBLANK($A46)), (_xlfn.XLOOKUP($A46,Index!$B$2:$B$995,Index!$C$2:$C$995,"Not Found")),"")</f>
        <v/>
      </c>
      <c r="D46" s="1" t="str">
        <f t="array" ref="D46">IF(NOT(ISBLANK(A46)), (_xlfn.XLOOKUP($A46,Index!$B$2:B$995,Index!$A$2:$A$995,"Not Found")),"")</f>
        <v/>
      </c>
      <c r="E46" s="2" t="str">
        <f t="array" ref="E46">IF(NOT(ISBLANK($A46)), (_xlfn.XLOOKUP($A46,Index!$B$2:$B$995,Index!$D$2:$D$995,"Not Found")),"")</f>
        <v/>
      </c>
      <c r="F46" s="1" t="str">
        <f t="array" ref="F46">IF(NOT(ISBLANK($A46)), (_xlfn.XLOOKUP($A46,Index!$B$2:$B$995,Index!$E$2:$E$995,"Not Found")),"")</f>
        <v/>
      </c>
      <c r="G46" s="1" t="str">
        <f t="array" ref="G46">IF(NOT(ISBLANK(A46)), ((_xlfn.XLOOKUP(A46,Index!$B$2:$B$995,Index!$F$2:$F$995,"Not Found"))*B46),"")</f>
        <v/>
      </c>
    </row>
    <row r="47">
      <c r="C47" s="1" t="str">
        <f t="array" ref="C47">IF(NOT(ISBLANK($A47)), (_xlfn.XLOOKUP($A47,Index!$B$2:$B$995,Index!$C$2:$C$995,"Not Found")),"")</f>
        <v/>
      </c>
      <c r="D47" s="1" t="str">
        <f t="array" ref="D47">IF(NOT(ISBLANK(A47)), (_xlfn.XLOOKUP($A47,Index!$B$2:B$995,Index!$A$2:$A$995,"Not Found")),"")</f>
        <v/>
      </c>
      <c r="E47" s="2" t="str">
        <f t="array" ref="E47">IF(NOT(ISBLANK($A47)), (_xlfn.XLOOKUP($A47,Index!$B$2:$B$995,Index!$D$2:$D$995,"Not Found")),"")</f>
        <v/>
      </c>
      <c r="F47" s="1" t="str">
        <f t="array" ref="F47">IF(NOT(ISBLANK($A47)), (_xlfn.XLOOKUP($A47,Index!$B$2:$B$995,Index!$E$2:$E$995,"Not Found")),"")</f>
        <v/>
      </c>
      <c r="G47" s="1" t="str">
        <f t="array" ref="G47">IF(NOT(ISBLANK(A47)), ((_xlfn.XLOOKUP(A47,Index!$B$2:$B$995,Index!$F$2:$F$995,"Not Found"))*B47),"")</f>
        <v/>
      </c>
    </row>
    <row r="48">
      <c r="C48" s="1" t="str">
        <f t="array" ref="C48">IF(NOT(ISBLANK($A48)), (_xlfn.XLOOKUP($A48,Index!$B$2:$B$995,Index!$C$2:$C$995,"Not Found")),"")</f>
        <v/>
      </c>
      <c r="D48" s="1" t="str">
        <f t="array" ref="D48">IF(NOT(ISBLANK(A48)), (_xlfn.XLOOKUP($A48,Index!$B$2:B$995,Index!$A$2:$A$995,"Not Found")),"")</f>
        <v/>
      </c>
      <c r="E48" s="2" t="str">
        <f t="array" ref="E48">IF(NOT(ISBLANK($A48)), (_xlfn.XLOOKUP($A48,Index!$B$2:$B$995,Index!$D$2:$D$995,"Not Found")),"")</f>
        <v/>
      </c>
      <c r="F48" s="1" t="str">
        <f t="array" ref="F48">IF(NOT(ISBLANK($A48)), (_xlfn.XLOOKUP($A48,Index!$B$2:$B$995,Index!$E$2:$E$995,"Not Found")),"")</f>
        <v/>
      </c>
      <c r="G48" s="1" t="str">
        <f t="array" ref="G48">IF(NOT(ISBLANK(A48)), ((_xlfn.XLOOKUP(A48,Index!$B$2:$B$995,Index!$F$2:$F$995,"Not Found"))*B48),"")</f>
        <v/>
      </c>
    </row>
    <row r="49">
      <c r="C49" s="1" t="str">
        <f t="array" ref="C49">IF(NOT(ISBLANK($A49)), (_xlfn.XLOOKUP($A49,Index!$B$2:$B$995,Index!$C$2:$C$995,"Not Found")),"")</f>
        <v/>
      </c>
      <c r="D49" s="1" t="str">
        <f t="array" ref="D49">IF(NOT(ISBLANK(A49)), (_xlfn.XLOOKUP($A49,Index!$B$2:B$995,Index!$A$2:$A$995,"Not Found")),"")</f>
        <v/>
      </c>
      <c r="E49" s="2" t="str">
        <f t="array" ref="E49">IF(NOT(ISBLANK($A49)), (_xlfn.XLOOKUP($A49,Index!$B$2:$B$995,Index!$D$2:$D$995,"Not Found")),"")</f>
        <v/>
      </c>
      <c r="F49" s="1" t="str">
        <f t="array" ref="F49">IF(NOT(ISBLANK($A49)), (_xlfn.XLOOKUP($A49,Index!$B$2:$B$995,Index!$E$2:$E$995,"Not Found")),"")</f>
        <v/>
      </c>
      <c r="G49" s="1" t="str">
        <f t="array" ref="G49">IF(NOT(ISBLANK(A49)), ((_xlfn.XLOOKUP(A49,Index!$B$2:$B$995,Index!$F$2:$F$995,"Not Found"))*B49),"")</f>
        <v/>
      </c>
    </row>
    <row r="50">
      <c r="C50" s="1" t="str">
        <f t="array" ref="C50">IF(NOT(ISBLANK($A50)), (_xlfn.XLOOKUP($A50,Index!$B$2:$B$995,Index!$C$2:$C$995,"Not Found")),"")</f>
        <v/>
      </c>
      <c r="D50" s="1" t="str">
        <f t="array" ref="D50">IF(NOT(ISBLANK(A50)), (_xlfn.XLOOKUP($A50,Index!$B$2:B$995,Index!$A$2:$A$995,"Not Found")),"")</f>
        <v/>
      </c>
      <c r="E50" s="2" t="str">
        <f t="array" ref="E50">IF(NOT(ISBLANK($A50)), (_xlfn.XLOOKUP($A50,Index!$B$2:$B$995,Index!$D$2:$D$995,"Not Found")),"")</f>
        <v/>
      </c>
      <c r="F50" s="1" t="str">
        <f t="array" ref="F50">IF(NOT(ISBLANK($A50)), (_xlfn.XLOOKUP($A50,Index!$B$2:$B$995,Index!$E$2:$E$995,"Not Found")),"")</f>
        <v/>
      </c>
      <c r="G50" s="1" t="str">
        <f t="array" ref="G50">IF(NOT(ISBLANK(A50)), ((_xlfn.XLOOKUP(A50,Index!$B$2:$B$995,Index!$F$2:$F$995,"Not Found"))*B50),"")</f>
        <v/>
      </c>
    </row>
    <row r="51">
      <c r="C51" s="1" t="str">
        <f t="array" ref="C51">IF(NOT(ISBLANK($A51)), (_xlfn.XLOOKUP($A51,Index!$B$2:$B$995,Index!$C$2:$C$995,"Not Found")),"")</f>
        <v/>
      </c>
      <c r="D51" s="1" t="str">
        <f t="array" ref="D51">IF(NOT(ISBLANK(A51)), (_xlfn.XLOOKUP($A51,Index!$B$2:B$995,Index!$A$2:$A$995,"Not Found")),"")</f>
        <v/>
      </c>
      <c r="E51" s="2" t="str">
        <f t="array" ref="E51">IF(NOT(ISBLANK($A51)), (_xlfn.XLOOKUP($A51,Index!$B$2:$B$995,Index!$D$2:$D$995,"Not Found")),"")</f>
        <v/>
      </c>
      <c r="F51" s="1" t="str">
        <f t="array" ref="F51">IF(NOT(ISBLANK($A51)), (_xlfn.XLOOKUP($A51,Index!$B$2:$B$995,Index!$E$2:$E$995,"Not Found")),"")</f>
        <v/>
      </c>
      <c r="G51" s="1" t="str">
        <f t="array" ref="G51">IF(NOT(ISBLANK(A51)), ((_xlfn.XLOOKUP(A51,Index!$B$2:$B$995,Index!$F$2:$F$995,"Not Found"))*B51),"")</f>
        <v/>
      </c>
    </row>
    <row r="52">
      <c r="C52" s="1" t="str">
        <f t="array" ref="C52">IF(NOT(ISBLANK($A52)), (_xlfn.XLOOKUP($A52,Index!$B$2:$B$995,Index!$C$2:$C$995,"Not Found")),"")</f>
        <v/>
      </c>
      <c r="D52" s="1" t="str">
        <f t="array" ref="D52">IF(NOT(ISBLANK(A52)), (_xlfn.XLOOKUP($A52,Index!$B$2:B$995,Index!$A$2:$A$995,"Not Found")),"")</f>
        <v/>
      </c>
      <c r="E52" s="2" t="str">
        <f t="array" ref="E52">IF(NOT(ISBLANK($A52)), (_xlfn.XLOOKUP($A52,Index!$B$2:$B$995,Index!$D$2:$D$995,"Not Found")),"")</f>
        <v/>
      </c>
      <c r="F52" s="1" t="str">
        <f t="array" ref="F52">IF(NOT(ISBLANK($A52)), (_xlfn.XLOOKUP($A52,Index!$B$2:$B$995,Index!$E$2:$E$995,"Not Found")),"")</f>
        <v/>
      </c>
      <c r="G52" s="1" t="str">
        <f t="array" ref="G52">IF(NOT(ISBLANK(A52)), ((_xlfn.XLOOKUP(A52,Index!$B$2:$B$995,Index!$F$2:$F$995,"Not Found"))*B52),"")</f>
        <v/>
      </c>
    </row>
    <row r="53">
      <c r="C53" s="1" t="str">
        <f t="array" ref="C53">IF(NOT(ISBLANK($A53)), (_xlfn.XLOOKUP($A53,Index!$B$2:$B$995,Index!$C$2:$C$995,"Not Found")),"")</f>
        <v/>
      </c>
      <c r="D53" s="1" t="str">
        <f t="array" ref="D53">IF(NOT(ISBLANK(A53)), (_xlfn.XLOOKUP($A53,Index!$B$2:B$995,Index!$A$2:$A$995,"Not Found")),"")</f>
        <v/>
      </c>
      <c r="E53" s="2" t="str">
        <f t="array" ref="E53">IF(NOT(ISBLANK($A53)), (_xlfn.XLOOKUP($A53,Index!$B$2:$B$995,Index!$D$2:$D$995,"Not Found")),"")</f>
        <v/>
      </c>
      <c r="F53" s="1" t="str">
        <f t="array" ref="F53">IF(NOT(ISBLANK($A53)), (_xlfn.XLOOKUP($A53,Index!$B$2:$B$995,Index!$E$2:$E$995,"Not Found")),"")</f>
        <v/>
      </c>
      <c r="G53" s="1" t="str">
        <f t="array" ref="G53">IF(NOT(ISBLANK(A53)), ((_xlfn.XLOOKUP(A53,Index!$B$2:$B$995,Index!$F$2:$F$995,"Not Found"))*B53),"")</f>
        <v/>
      </c>
    </row>
    <row r="54">
      <c r="C54" s="1" t="str">
        <f t="array" ref="C54">IF(NOT(ISBLANK($A54)), (_xlfn.XLOOKUP($A54,Index!$B$2:$B$995,Index!$C$2:$C$995,"Not Found")),"")</f>
        <v/>
      </c>
      <c r="D54" s="1" t="str">
        <f t="array" ref="D54">IF(NOT(ISBLANK(A54)), (_xlfn.XLOOKUP($A54,Index!$B$2:B$995,Index!$A$2:$A$995,"Not Found")),"")</f>
        <v/>
      </c>
      <c r="E54" s="2" t="str">
        <f t="array" ref="E54">IF(NOT(ISBLANK($A54)), (_xlfn.XLOOKUP($A54,Index!$B$2:$B$995,Index!$D$2:$D$995,"Not Found")),"")</f>
        <v/>
      </c>
      <c r="F54" s="1" t="str">
        <f t="array" ref="F54">IF(NOT(ISBLANK($A54)), (_xlfn.XLOOKUP($A54,Index!$B$2:$B$995,Index!$E$2:$E$995,"Not Found")),"")</f>
        <v/>
      </c>
      <c r="G54" s="1" t="str">
        <f t="array" ref="G54">IF(NOT(ISBLANK(A54)), ((_xlfn.XLOOKUP(A54,Index!$B$2:$B$995,Index!$F$2:$F$995,"Not Found"))*B54),"")</f>
        <v/>
      </c>
    </row>
    <row r="55">
      <c r="C55" s="1" t="str">
        <f t="array" ref="C55">IF(NOT(ISBLANK($A55)), (_xlfn.XLOOKUP($A55,Index!$B$2:$B$995,Index!$C$2:$C$995,"Not Found")),"")</f>
        <v/>
      </c>
      <c r="D55" s="1" t="str">
        <f t="array" ref="D55">IF(NOT(ISBLANK(A55)), (_xlfn.XLOOKUP($A55,Index!$B$2:B$995,Index!$A$2:$A$995,"Not Found")),"")</f>
        <v/>
      </c>
      <c r="E55" s="2" t="str">
        <f t="array" ref="E55">IF(NOT(ISBLANK($A55)), (_xlfn.XLOOKUP($A55,Index!$B$2:$B$995,Index!$D$2:$D$995,"Not Found")),"")</f>
        <v/>
      </c>
      <c r="F55" s="1" t="str">
        <f t="array" ref="F55">IF(NOT(ISBLANK($A55)), (_xlfn.XLOOKUP($A55,Index!$B$2:$B$995,Index!$E$2:$E$995,"Not Found")),"")</f>
        <v/>
      </c>
      <c r="G55" s="1" t="str">
        <f t="array" ref="G55">IF(NOT(ISBLANK(A55)), ((_xlfn.XLOOKUP(A55,Index!$B$2:$B$995,Index!$F$2:$F$995,"Not Found"))*B55),"")</f>
        <v/>
      </c>
    </row>
    <row r="56">
      <c r="C56" s="1" t="str">
        <f t="array" ref="C56">IF(NOT(ISBLANK($A56)), (_xlfn.XLOOKUP($A56,Index!$B$2:$B$995,Index!$C$2:$C$995,"Not Found")),"")</f>
        <v/>
      </c>
      <c r="D56" s="1" t="str">
        <f t="array" ref="D56">IF(NOT(ISBLANK(A56)), (_xlfn.XLOOKUP($A56,Index!$B$2:B$995,Index!$A$2:$A$995,"Not Found")),"")</f>
        <v/>
      </c>
      <c r="E56" s="2" t="str">
        <f t="array" ref="E56">IF(NOT(ISBLANK($A56)), (_xlfn.XLOOKUP($A56,Index!$B$2:$B$995,Index!$D$2:$D$995,"Not Found")),"")</f>
        <v/>
      </c>
      <c r="F56" s="1" t="str">
        <f t="array" ref="F56">IF(NOT(ISBLANK($A56)), (_xlfn.XLOOKUP($A56,Index!$B$2:$B$995,Index!$E$2:$E$995,"Not Found")),"")</f>
        <v/>
      </c>
      <c r="G56" s="1" t="str">
        <f t="array" ref="G56">IF(NOT(ISBLANK(A56)), ((_xlfn.XLOOKUP(A56,Index!$B$2:$B$995,Index!$F$2:$F$995,"Not Found"))*B56),"")</f>
        <v/>
      </c>
    </row>
    <row r="57">
      <c r="C57" s="1" t="str">
        <f t="array" ref="C57">IF(NOT(ISBLANK($A57)), (_xlfn.XLOOKUP($A57,Index!$B$2:$B$995,Index!$C$2:$C$995,"Not Found")),"")</f>
        <v/>
      </c>
      <c r="D57" s="1" t="str">
        <f t="array" ref="D57">IF(NOT(ISBLANK(A57)), (_xlfn.XLOOKUP($A57,Index!$B$2:B$995,Index!$A$2:$A$995,"Not Found")),"")</f>
        <v/>
      </c>
      <c r="E57" s="2" t="str">
        <f t="array" ref="E57">IF(NOT(ISBLANK($A57)), (_xlfn.XLOOKUP($A57,Index!$B$2:$B$995,Index!$D$2:$D$995,"Not Found")),"")</f>
        <v/>
      </c>
      <c r="F57" s="1" t="str">
        <f t="array" ref="F57">IF(NOT(ISBLANK($A57)), (_xlfn.XLOOKUP($A57,Index!$B$2:$B$995,Index!$E$2:$E$995,"Not Found")),"")</f>
        <v/>
      </c>
      <c r="G57" s="1" t="str">
        <f t="array" ref="G57">IF(NOT(ISBLANK(A57)), ((_xlfn.XLOOKUP(A57,Index!$B$2:$B$995,Index!$F$2:$F$995,"Not Found"))*B57),"")</f>
        <v/>
      </c>
    </row>
    <row r="58">
      <c r="C58" s="1" t="str">
        <f t="array" ref="C58">IF(NOT(ISBLANK($A58)), (_xlfn.XLOOKUP($A58,Index!$B$2:$B$995,Index!$C$2:$C$995,"Not Found")),"")</f>
        <v/>
      </c>
      <c r="D58" s="1" t="str">
        <f t="array" ref="D58">IF(NOT(ISBLANK(A58)), (_xlfn.XLOOKUP($A58,Index!$B$2:B$995,Index!$A$2:$A$995,"Not Found")),"")</f>
        <v/>
      </c>
      <c r="E58" s="2" t="str">
        <f t="array" ref="E58">IF(NOT(ISBLANK($A58)), (_xlfn.XLOOKUP($A58,Index!$B$2:$B$995,Index!$D$2:$D$995,"Not Found")),"")</f>
        <v/>
      </c>
      <c r="F58" s="1" t="str">
        <f t="array" ref="F58">IF(NOT(ISBLANK($A58)), (_xlfn.XLOOKUP($A58,Index!$B$2:$B$995,Index!$E$2:$E$995,"Not Found")),"")</f>
        <v/>
      </c>
      <c r="G58" s="1" t="str">
        <f t="array" ref="G58">IF(NOT(ISBLANK(A58)), ((_xlfn.XLOOKUP(A58,Index!$B$2:$B$995,Index!$F$2:$F$995,"Not Found"))*B58),"")</f>
        <v/>
      </c>
    </row>
    <row r="59">
      <c r="C59" s="1" t="str">
        <f t="array" ref="C59">IF(NOT(ISBLANK($A59)), (_xlfn.XLOOKUP($A59,Index!$B$2:$B$995,Index!$C$2:$C$995,"Not Found")),"")</f>
        <v/>
      </c>
      <c r="D59" s="1" t="str">
        <f t="array" ref="D59">IF(NOT(ISBLANK(A59)), (_xlfn.XLOOKUP($A59,Index!$B$2:B$995,Index!$A$2:$A$995,"Not Found")),"")</f>
        <v/>
      </c>
      <c r="E59" s="2" t="str">
        <f t="array" ref="E59">IF(NOT(ISBLANK($A59)), (_xlfn.XLOOKUP($A59,Index!$B$2:$B$995,Index!$D$2:$D$995,"Not Found")),"")</f>
        <v/>
      </c>
      <c r="F59" s="1" t="str">
        <f t="array" ref="F59">IF(NOT(ISBLANK($A59)), (_xlfn.XLOOKUP($A59,Index!$B$2:$B$995,Index!$E$2:$E$995,"Not Found")),"")</f>
        <v/>
      </c>
      <c r="G59" s="1" t="str">
        <f t="array" ref="G59">IF(NOT(ISBLANK(A59)), ((_xlfn.XLOOKUP(A59,Index!$B$2:$B$995,Index!$F$2:$F$995,"Not Found"))*B59),"")</f>
        <v/>
      </c>
    </row>
    <row r="60">
      <c r="C60" s="1" t="str">
        <f t="array" ref="C60">IF(NOT(ISBLANK($A60)), (_xlfn.XLOOKUP($A60,Index!$B$2:$B$995,Index!$C$2:$C$995,"Not Found")),"")</f>
        <v/>
      </c>
      <c r="D60" s="1" t="str">
        <f t="array" ref="D60">IF(NOT(ISBLANK(A60)), (_xlfn.XLOOKUP($A60,Index!$B$2:B$995,Index!$A$2:$A$995,"Not Found")),"")</f>
        <v/>
      </c>
      <c r="E60" s="2" t="str">
        <f t="array" ref="E60">IF(NOT(ISBLANK($A60)), (_xlfn.XLOOKUP($A60,Index!$B$2:$B$995,Index!$D$2:$D$995,"Not Found")),"")</f>
        <v/>
      </c>
      <c r="F60" s="1" t="str">
        <f t="array" ref="F60">IF(NOT(ISBLANK($A60)), (_xlfn.XLOOKUP($A60,Index!$B$2:$B$995,Index!$E$2:$E$995,"Not Found")),"")</f>
        <v/>
      </c>
      <c r="G60" s="1" t="str">
        <f t="array" ref="G60">IF(NOT(ISBLANK(A60)), ((_xlfn.XLOOKUP(A60,Index!$B$2:$B$995,Index!$F$2:$F$995,"Not Found"))*B60),"")</f>
        <v/>
      </c>
    </row>
    <row r="61">
      <c r="C61" s="1" t="str">
        <f t="array" ref="C61">IF(NOT(ISBLANK($A61)), (_xlfn.XLOOKUP($A61,Index!$B$2:$B$995,Index!$C$2:$C$995,"Not Found")),"")</f>
        <v/>
      </c>
      <c r="D61" s="1" t="str">
        <f t="array" ref="D61">IF(NOT(ISBLANK(A61)), (_xlfn.XLOOKUP($A61,Index!$B$2:B$995,Index!$A$2:$A$995,"Not Found")),"")</f>
        <v/>
      </c>
      <c r="E61" s="2" t="str">
        <f t="array" ref="E61">IF(NOT(ISBLANK($A61)), (_xlfn.XLOOKUP($A61,Index!$B$2:$B$995,Index!$D$2:$D$995,"Not Found")),"")</f>
        <v/>
      </c>
      <c r="F61" s="1" t="str">
        <f t="array" ref="F61">IF(NOT(ISBLANK($A61)), (_xlfn.XLOOKUP($A61,Index!$B$2:$B$995,Index!$E$2:$E$995,"Not Found")),"")</f>
        <v/>
      </c>
      <c r="G61" s="1" t="str">
        <f t="array" ref="G61">IF(NOT(ISBLANK(A61)), ((_xlfn.XLOOKUP(A61,Index!$B$2:$B$995,Index!$F$2:$F$995,"Not Found"))*B61),"")</f>
        <v/>
      </c>
    </row>
    <row r="62">
      <c r="C62" s="1" t="str">
        <f t="array" ref="C62">IF(NOT(ISBLANK($A62)), (_xlfn.XLOOKUP($A62,Index!$B$2:$B$995,Index!$C$2:$C$995,"Not Found")),"")</f>
        <v/>
      </c>
      <c r="D62" s="1" t="str">
        <f t="array" ref="D62">IF(NOT(ISBLANK(A62)), (_xlfn.XLOOKUP($A62,Index!$B$2:B$995,Index!$A$2:$A$995,"Not Found")),"")</f>
        <v/>
      </c>
      <c r="E62" s="2" t="str">
        <f t="array" ref="E62">IF(NOT(ISBLANK($A62)), (_xlfn.XLOOKUP($A62,Index!$B$2:$B$995,Index!$D$2:$D$995,"Not Found")),"")</f>
        <v/>
      </c>
      <c r="F62" s="1" t="str">
        <f t="array" ref="F62">IF(NOT(ISBLANK($A62)), (_xlfn.XLOOKUP($A62,Index!$B$2:$B$995,Index!$E$2:$E$995,"Not Found")),"")</f>
        <v/>
      </c>
      <c r="G62" s="1" t="str">
        <f t="array" ref="G62">IF(NOT(ISBLANK(A62)), ((_xlfn.XLOOKUP(A62,Index!$B$2:$B$995,Index!$F$2:$F$995,"Not Found"))*B62),"")</f>
        <v/>
      </c>
    </row>
    <row r="63">
      <c r="C63" s="1" t="str">
        <f t="array" ref="C63">IF(NOT(ISBLANK($A63)), (_xlfn.XLOOKUP($A63,Index!$B$2:$B$995,Index!$C$2:$C$995,"Not Found")),"")</f>
        <v/>
      </c>
      <c r="D63" s="1" t="str">
        <f t="array" ref="D63">IF(NOT(ISBLANK(A63)), (_xlfn.XLOOKUP($A63,Index!$B$2:B$995,Index!$A$2:$A$995,"Not Found")),"")</f>
        <v/>
      </c>
      <c r="E63" s="2" t="str">
        <f t="array" ref="E63">IF(NOT(ISBLANK($A63)), (_xlfn.XLOOKUP($A63,Index!$B$2:$B$995,Index!$D$2:$D$995,"Not Found")),"")</f>
        <v/>
      </c>
      <c r="F63" s="1" t="str">
        <f t="array" ref="F63">IF(NOT(ISBLANK($A63)), (_xlfn.XLOOKUP($A63,Index!$B$2:$B$995,Index!$E$2:$E$995,"Not Found")),"")</f>
        <v/>
      </c>
      <c r="G63" s="1" t="str">
        <f t="array" ref="G63">IF(NOT(ISBLANK(A63)), ((_xlfn.XLOOKUP(A63,Index!$B$2:$B$995,Index!$F$2:$F$995,"Not Found"))*B63),"")</f>
        <v/>
      </c>
    </row>
    <row r="64">
      <c r="C64" s="1" t="str">
        <f t="array" ref="C64">IF(NOT(ISBLANK($A64)), (_xlfn.XLOOKUP($A64,Index!$B$2:$B$995,Index!$C$2:$C$995,"Not Found")),"")</f>
        <v/>
      </c>
      <c r="D64" s="1" t="str">
        <f t="array" ref="D64">IF(NOT(ISBLANK(A64)), (_xlfn.XLOOKUP($A64,Index!$B$2:B$995,Index!$A$2:$A$995,"Not Found")),"")</f>
        <v/>
      </c>
      <c r="E64" s="2" t="str">
        <f t="array" ref="E64">IF(NOT(ISBLANK($A64)), (_xlfn.XLOOKUP($A64,Index!$B$2:$B$995,Index!$D$2:$D$995,"Not Found")),"")</f>
        <v/>
      </c>
      <c r="F64" s="1" t="str">
        <f t="array" ref="F64">IF(NOT(ISBLANK($A64)), (_xlfn.XLOOKUP($A64,Index!$B$2:$B$995,Index!$E$2:$E$995,"Not Found")),"")</f>
        <v/>
      </c>
      <c r="G64" s="1" t="str">
        <f t="array" ref="G64">IF(NOT(ISBLANK(A64)), ((_xlfn.XLOOKUP(A64,Index!$B$2:$B$995,Index!$F$2:$F$995,"Not Found"))*B64),"")</f>
        <v/>
      </c>
    </row>
    <row r="65">
      <c r="C65" s="1" t="str">
        <f t="array" ref="C65">IF(NOT(ISBLANK($A65)), (_xlfn.XLOOKUP($A65,Index!$B$2:$B$995,Index!$C$2:$C$995,"Not Found")),"")</f>
        <v/>
      </c>
      <c r="D65" s="1" t="str">
        <f t="array" ref="D65">IF(NOT(ISBLANK(A65)), (_xlfn.XLOOKUP($A65,Index!$B$2:B$995,Index!$A$2:$A$995,"Not Found")),"")</f>
        <v/>
      </c>
      <c r="E65" s="2" t="str">
        <f t="array" ref="E65">IF(NOT(ISBLANK($A65)), (_xlfn.XLOOKUP($A65,Index!$B$2:$B$995,Index!$D$2:$D$995,"Not Found")),"")</f>
        <v/>
      </c>
      <c r="F65" s="1" t="str">
        <f t="array" ref="F65">IF(NOT(ISBLANK($A65)), (_xlfn.XLOOKUP($A65,Index!$B$2:$B$995,Index!$E$2:$E$995,"Not Found")),"")</f>
        <v/>
      </c>
      <c r="G65" s="1" t="str">
        <f t="array" ref="G65">IF(NOT(ISBLANK(A65)), ((_xlfn.XLOOKUP(A65,Index!$B$2:$B$995,Index!$F$2:$F$995,"Not Found"))*B65),"")</f>
        <v/>
      </c>
    </row>
    <row r="66">
      <c r="C66" s="1" t="str">
        <f t="array" ref="C66">IF(NOT(ISBLANK($A66)), (_xlfn.XLOOKUP($A66,Index!$B$2:$B$995,Index!$C$2:$C$995,"Not Found")),"")</f>
        <v/>
      </c>
      <c r="D66" s="1" t="str">
        <f t="array" ref="D66">IF(NOT(ISBLANK(A66)), (_xlfn.XLOOKUP($A66,Index!$B$2:B$995,Index!$A$2:$A$995,"Not Found")),"")</f>
        <v/>
      </c>
      <c r="E66" s="2" t="str">
        <f t="array" ref="E66">IF(NOT(ISBLANK($A66)), (_xlfn.XLOOKUP($A66,Index!$B$2:$B$995,Index!$D$2:$D$995,"Not Found")),"")</f>
        <v/>
      </c>
      <c r="F66" s="1" t="str">
        <f t="array" ref="F66">IF(NOT(ISBLANK($A66)), (_xlfn.XLOOKUP($A66,Index!$B$2:$B$995,Index!$E$2:$E$995,"Not Found")),"")</f>
        <v/>
      </c>
      <c r="G66" s="1" t="str">
        <f t="array" ref="G66">IF(NOT(ISBLANK(A66)), ((_xlfn.XLOOKUP(A66,Index!$B$2:$B$995,Index!$F$2:$F$995,"Not Found"))*B66),"")</f>
        <v/>
      </c>
    </row>
    <row r="67">
      <c r="C67" s="1" t="str">
        <f t="array" ref="C67">IF(NOT(ISBLANK($A67)), (_xlfn.XLOOKUP($A67,Index!$B$2:$B$995,Index!$C$2:$C$995,"Not Found")),"")</f>
        <v/>
      </c>
      <c r="D67" s="1" t="str">
        <f t="array" ref="D67">IF(NOT(ISBLANK(A67)), (_xlfn.XLOOKUP($A67,Index!$B$2:B$995,Index!$A$2:$A$995,"Not Found")),"")</f>
        <v/>
      </c>
      <c r="E67" s="2" t="str">
        <f t="array" ref="E67">IF(NOT(ISBLANK($A67)), (_xlfn.XLOOKUP($A67,Index!$B$2:$B$995,Index!$D$2:$D$995,"Not Found")),"")</f>
        <v/>
      </c>
      <c r="F67" s="1" t="str">
        <f t="array" ref="F67">IF(NOT(ISBLANK($A67)), (_xlfn.XLOOKUP($A67,Index!$B$2:$B$995,Index!$E$2:$E$995,"Not Found")),"")</f>
        <v/>
      </c>
      <c r="G67" s="1" t="str">
        <f t="array" ref="G67">IF(NOT(ISBLANK(A67)), ((_xlfn.XLOOKUP(A67,Index!$B$2:$B$995,Index!$F$2:$F$995,"Not Found"))*B67),"")</f>
        <v/>
      </c>
    </row>
    <row r="68">
      <c r="C68" s="1" t="str">
        <f t="array" ref="C68">IF(NOT(ISBLANK($A68)), (_xlfn.XLOOKUP($A68,Index!$B$2:$B$995,Index!$C$2:$C$995,"Not Found")),"")</f>
        <v/>
      </c>
      <c r="D68" s="1" t="str">
        <f t="array" ref="D68">IF(NOT(ISBLANK(A68)), (_xlfn.XLOOKUP($A68,Index!$B$2:B$995,Index!$A$2:$A$995,"Not Found")),"")</f>
        <v/>
      </c>
      <c r="E68" s="2" t="str">
        <f t="array" ref="E68">IF(NOT(ISBLANK($A68)), (_xlfn.XLOOKUP($A68,Index!$B$2:$B$995,Index!$D$2:$D$995,"Not Found")),"")</f>
        <v/>
      </c>
      <c r="F68" s="1" t="str">
        <f t="array" ref="F68">IF(NOT(ISBLANK($A68)), (_xlfn.XLOOKUP($A68,Index!$B$2:$B$995,Index!$E$2:$E$995,"Not Found")),"")</f>
        <v/>
      </c>
      <c r="G68" s="1" t="str">
        <f t="array" ref="G68">IF(NOT(ISBLANK(A68)), ((_xlfn.XLOOKUP(A68,Index!$B$2:$B$995,Index!$F$2:$F$995,"Not Found"))*B68),"")</f>
        <v/>
      </c>
    </row>
    <row r="69">
      <c r="C69" s="1" t="str">
        <f t="array" ref="C69">IF(NOT(ISBLANK($A69)), (_xlfn.XLOOKUP($A69,Index!$B$2:$B$995,Index!$C$2:$C$995,"Not Found")),"")</f>
        <v/>
      </c>
      <c r="D69" s="1" t="str">
        <f t="array" ref="D69">IF(NOT(ISBLANK(A69)), (_xlfn.XLOOKUP($A69,Index!$B$2:B$995,Index!$A$2:$A$995,"Not Found")),"")</f>
        <v/>
      </c>
      <c r="E69" s="2" t="str">
        <f t="array" ref="E69">IF(NOT(ISBLANK($A69)), (_xlfn.XLOOKUP($A69,Index!$B$2:$B$995,Index!$D$2:$D$995,"Not Found")),"")</f>
        <v/>
      </c>
      <c r="F69" s="1" t="str">
        <f t="array" ref="F69">IF(NOT(ISBLANK($A69)), (_xlfn.XLOOKUP($A69,Index!$B$2:$B$995,Index!$E$2:$E$995,"Not Found")),"")</f>
        <v/>
      </c>
      <c r="G69" s="1" t="str">
        <f t="array" ref="G69">IF(NOT(ISBLANK(A69)), ((_xlfn.XLOOKUP(A69,Index!$B$2:$B$995,Index!$F$2:$F$995,"Not Found"))*B69),"")</f>
        <v/>
      </c>
    </row>
    <row r="70">
      <c r="C70" s="1" t="str">
        <f t="array" ref="C70">IF(NOT(ISBLANK($A70)), (_xlfn.XLOOKUP($A70,Index!$B$2:$B$995,Index!$C$2:$C$995,"Not Found")),"")</f>
        <v/>
      </c>
      <c r="D70" s="1" t="str">
        <f t="array" ref="D70">IF(NOT(ISBLANK(A70)), (_xlfn.XLOOKUP($A70,Index!$B$2:B$995,Index!$A$2:$A$995,"Not Found")),"")</f>
        <v/>
      </c>
      <c r="E70" s="2" t="str">
        <f t="array" ref="E70">IF(NOT(ISBLANK($A70)), (_xlfn.XLOOKUP($A70,Index!$B$2:$B$995,Index!$D$2:$D$995,"Not Found")),"")</f>
        <v/>
      </c>
      <c r="F70" s="1" t="str">
        <f t="array" ref="F70">IF(NOT(ISBLANK($A70)), (_xlfn.XLOOKUP($A70,Index!$B$2:$B$995,Index!$E$2:$E$995,"Not Found")),"")</f>
        <v/>
      </c>
      <c r="G70" s="1" t="str">
        <f t="array" ref="G70">IF(NOT(ISBLANK(A70)), ((_xlfn.XLOOKUP(A70,Index!$B$2:$B$995,Index!$F$2:$F$995,"Not Found"))*B70),"")</f>
        <v/>
      </c>
    </row>
    <row r="71">
      <c r="C71" s="1" t="str">
        <f t="array" ref="C71">IF(NOT(ISBLANK($A71)), (_xlfn.XLOOKUP($A71,Index!$B$2:$B$995,Index!$C$2:$C$995,"Not Found")),"")</f>
        <v/>
      </c>
      <c r="D71" s="1" t="str">
        <f t="array" ref="D71">IF(NOT(ISBLANK(A71)), (_xlfn.XLOOKUP($A71,Index!$B$2:B$995,Index!$A$2:$A$995,"Not Found")),"")</f>
        <v/>
      </c>
      <c r="E71" s="2" t="str">
        <f t="array" ref="E71">IF(NOT(ISBLANK($A71)), (_xlfn.XLOOKUP($A71,Index!$B$2:$B$995,Index!$D$2:$D$995,"Not Found")),"")</f>
        <v/>
      </c>
      <c r="F71" s="1" t="str">
        <f t="array" ref="F71">IF(NOT(ISBLANK($A71)), (_xlfn.XLOOKUP($A71,Index!$B$2:$B$995,Index!$E$2:$E$995,"Not Found")),"")</f>
        <v/>
      </c>
      <c r="G71" s="1" t="str">
        <f t="array" ref="G71">IF(NOT(ISBLANK(A71)), ((_xlfn.XLOOKUP(A71,Index!$B$2:$B$995,Index!$F$2:$F$995,"Not Found"))*B71),"")</f>
        <v/>
      </c>
    </row>
    <row r="72">
      <c r="C72" s="1" t="str">
        <f t="array" ref="C72">IF(NOT(ISBLANK($A72)), (_xlfn.XLOOKUP($A72,Index!$B$2:$B$995,Index!$C$2:$C$995,"Not Found")),"")</f>
        <v/>
      </c>
      <c r="D72" s="1" t="str">
        <f t="array" ref="D72">IF(NOT(ISBLANK(A72)), (_xlfn.XLOOKUP($A72,Index!$B$2:B$995,Index!$A$2:$A$995,"Not Found")),"")</f>
        <v/>
      </c>
      <c r="E72" s="2" t="str">
        <f t="array" ref="E72">IF(NOT(ISBLANK($A72)), (_xlfn.XLOOKUP($A72,Index!$B$2:$B$995,Index!$D$2:$D$995,"Not Found")),"")</f>
        <v/>
      </c>
      <c r="F72" s="1" t="str">
        <f t="array" ref="F72">IF(NOT(ISBLANK($A72)), (_xlfn.XLOOKUP($A72,Index!$B$2:$B$995,Index!$E$2:$E$995,"Not Found")),"")</f>
        <v/>
      </c>
      <c r="G72" s="1" t="str">
        <f t="array" ref="G72">IF(NOT(ISBLANK(A72)), ((_xlfn.XLOOKUP(A72,Index!$B$2:$B$995,Index!$F$2:$F$995,"Not Found"))*B72),"")</f>
        <v/>
      </c>
    </row>
    <row r="73">
      <c r="C73" s="1" t="str">
        <f t="array" ref="C73">IF(NOT(ISBLANK($A73)), (_xlfn.XLOOKUP($A73,Index!$B$2:$B$995,Index!$C$2:$C$995,"Not Found")),"")</f>
        <v/>
      </c>
      <c r="D73" s="1" t="str">
        <f t="array" ref="D73">IF(NOT(ISBLANK(A73)), (_xlfn.XLOOKUP($A73,Index!$B$2:B$995,Index!$A$2:$A$995,"Not Found")),"")</f>
        <v/>
      </c>
      <c r="E73" s="2" t="str">
        <f t="array" ref="E73">IF(NOT(ISBLANK($A73)), (_xlfn.XLOOKUP($A73,Index!$B$2:$B$995,Index!$D$2:$D$995,"Not Found")),"")</f>
        <v/>
      </c>
      <c r="F73" s="1" t="str">
        <f t="array" ref="F73">IF(NOT(ISBLANK($A73)), (_xlfn.XLOOKUP($A73,Index!$B$2:$B$995,Index!$E$2:$E$995,"Not Found")),"")</f>
        <v/>
      </c>
      <c r="G73" s="1" t="str">
        <f t="array" ref="G73">IF(NOT(ISBLANK(A73)), ((_xlfn.XLOOKUP(A73,Index!$B$2:$B$995,Index!$F$2:$F$995,"Not Found"))*B73),"")</f>
        <v/>
      </c>
    </row>
    <row r="74">
      <c r="C74" s="1" t="str">
        <f t="array" ref="C74">IF(NOT(ISBLANK($A74)), (_xlfn.XLOOKUP($A74,Index!$B$2:$B$995,Index!$C$2:$C$995,"Not Found")),"")</f>
        <v/>
      </c>
      <c r="D74" s="1" t="str">
        <f t="array" ref="D74">IF(NOT(ISBLANK(A74)), (_xlfn.XLOOKUP($A74,Index!$B$2:B$995,Index!$A$2:$A$995,"Not Found")),"")</f>
        <v/>
      </c>
      <c r="E74" s="2" t="str">
        <f t="array" ref="E74">IF(NOT(ISBLANK($A74)), (_xlfn.XLOOKUP($A74,Index!$B$2:$B$995,Index!$D$2:$D$995,"Not Found")),"")</f>
        <v/>
      </c>
      <c r="F74" s="1" t="str">
        <f t="array" ref="F74">IF(NOT(ISBLANK($A74)), (_xlfn.XLOOKUP($A74,Index!$B$2:$B$995,Index!$E$2:$E$995,"Not Found")),"")</f>
        <v/>
      </c>
      <c r="G74" s="1" t="str">
        <f t="array" ref="G74">IF(NOT(ISBLANK(A74)), ((_xlfn.XLOOKUP(A74,Index!$B$2:$B$995,Index!$F$2:$F$995,"Not Found"))*B74),"")</f>
        <v/>
      </c>
    </row>
    <row r="75">
      <c r="C75" s="1" t="str">
        <f t="array" ref="C75">IF(NOT(ISBLANK($A75)), (_xlfn.XLOOKUP($A75,Index!$B$2:$B$995,Index!$C$2:$C$995,"Not Found")),"")</f>
        <v/>
      </c>
      <c r="D75" s="1" t="str">
        <f t="array" ref="D75">IF(NOT(ISBLANK(A75)), (_xlfn.XLOOKUP($A75,Index!$B$2:B$995,Index!$A$2:$A$995,"Not Found")),"")</f>
        <v/>
      </c>
      <c r="E75" s="2" t="str">
        <f t="array" ref="E75">IF(NOT(ISBLANK($A75)), (_xlfn.XLOOKUP($A75,Index!$B$2:$B$995,Index!$D$2:$D$995,"Not Found")),"")</f>
        <v/>
      </c>
      <c r="F75" s="1" t="str">
        <f t="array" ref="F75">IF(NOT(ISBLANK($A75)), (_xlfn.XLOOKUP($A75,Index!$B$2:$B$995,Index!$E$2:$E$995,"Not Found")),"")</f>
        <v/>
      </c>
      <c r="G75" s="1" t="str">
        <f t="array" ref="G75">IF(NOT(ISBLANK(A75)), ((_xlfn.XLOOKUP(A75,Index!$B$2:$B$995,Index!$F$2:$F$995,"Not Found"))*B75),"")</f>
        <v/>
      </c>
    </row>
    <row r="76">
      <c r="C76" s="1" t="str">
        <f t="array" ref="C76">IF(NOT(ISBLANK($A76)), (_xlfn.XLOOKUP($A76,Index!$B$2:$B$995,Index!$C$2:$C$995,"Not Found")),"")</f>
        <v/>
      </c>
      <c r="D76" s="1" t="str">
        <f t="array" ref="D76">IF(NOT(ISBLANK(A76)), (_xlfn.XLOOKUP($A76,Index!$B$2:B$995,Index!$A$2:$A$995,"Not Found")),"")</f>
        <v/>
      </c>
      <c r="E76" s="2" t="str">
        <f t="array" ref="E76">IF(NOT(ISBLANK($A76)), (_xlfn.XLOOKUP($A76,Index!$B$2:$B$995,Index!$D$2:$D$995,"Not Found")),"")</f>
        <v/>
      </c>
      <c r="F76" s="1" t="str">
        <f t="array" ref="F76">IF(NOT(ISBLANK($A76)), (_xlfn.XLOOKUP($A76,Index!$B$2:$B$995,Index!$E$2:$E$995,"Not Found")),"")</f>
        <v/>
      </c>
      <c r="G76" s="1" t="str">
        <f t="array" ref="G76">IF(NOT(ISBLANK(A76)), ((_xlfn.XLOOKUP(A76,Index!$B$2:$B$995,Index!$F$2:$F$995,"Not Found"))*B76),"")</f>
        <v/>
      </c>
    </row>
    <row r="77">
      <c r="C77" s="1" t="str">
        <f t="array" ref="C77">IF(NOT(ISBLANK($A77)), (_xlfn.XLOOKUP($A77,Index!$B$2:$B$995,Index!$C$2:$C$995,"Not Found")),"")</f>
        <v/>
      </c>
      <c r="D77" s="1" t="str">
        <f t="array" ref="D77">IF(NOT(ISBLANK(A77)), (_xlfn.XLOOKUP($A77,Index!$B$2:B$995,Index!$A$2:$A$995,"Not Found")),"")</f>
        <v/>
      </c>
      <c r="E77" s="2" t="str">
        <f t="array" ref="E77">IF(NOT(ISBLANK($A77)), (_xlfn.XLOOKUP($A77,Index!$B$2:$B$995,Index!$D$2:$D$995,"Not Found")),"")</f>
        <v/>
      </c>
      <c r="F77" s="1" t="str">
        <f t="array" ref="F77">IF(NOT(ISBLANK($A77)), (_xlfn.XLOOKUP($A77,Index!$B$2:$B$995,Index!$E$2:$E$995,"Not Found")),"")</f>
        <v/>
      </c>
      <c r="G77" s="1" t="str">
        <f t="array" ref="G77">IF(NOT(ISBLANK(A77)), ((_xlfn.XLOOKUP(A77,Index!$B$2:$B$995,Index!$F$2:$F$995,"Not Found"))*B77),"")</f>
        <v/>
      </c>
    </row>
    <row r="78">
      <c r="E78" s="7"/>
    </row>
    <row r="79">
      <c r="E79" s="7"/>
    </row>
    <row r="80">
      <c r="E80" s="7"/>
    </row>
    <row r="81">
      <c r="E81" s="7"/>
    </row>
    <row r="82">
      <c r="E82" s="7"/>
    </row>
    <row r="83">
      <c r="E83" s="7"/>
    </row>
    <row r="84">
      <c r="E84" s="7"/>
    </row>
    <row r="85">
      <c r="E85" s="7"/>
    </row>
    <row r="86">
      <c r="E86" s="7"/>
    </row>
    <row r="87">
      <c r="E87" s="7"/>
    </row>
    <row r="88">
      <c r="E88" s="7"/>
    </row>
    <row r="89">
      <c r="E89" s="7"/>
    </row>
    <row r="90">
      <c r="E90" s="7"/>
    </row>
    <row r="91">
      <c r="E91" s="7"/>
    </row>
    <row r="92">
      <c r="E92" s="7"/>
    </row>
    <row r="93">
      <c r="E93" s="7"/>
    </row>
    <row r="94">
      <c r="E94" s="7"/>
    </row>
    <row r="95">
      <c r="E95" s="7"/>
    </row>
    <row r="96">
      <c r="E96" s="7"/>
    </row>
    <row r="97">
      <c r="E97" s="7"/>
    </row>
    <row r="98">
      <c r="E98" s="7"/>
    </row>
    <row r="99">
      <c r="E99" s="7"/>
    </row>
    <row r="100">
      <c r="E100" s="7"/>
    </row>
    <row r="101">
      <c r="E101" s="7"/>
    </row>
    <row r="102">
      <c r="E102" s="7"/>
    </row>
    <row r="103">
      <c r="E103" s="7"/>
    </row>
    <row r="104">
      <c r="E104" s="7"/>
    </row>
    <row r="105">
      <c r="E105" s="7"/>
    </row>
    <row r="106">
      <c r="E106" s="7"/>
    </row>
    <row r="107">
      <c r="E107" s="7"/>
    </row>
    <row r="108">
      <c r="E108" s="7"/>
    </row>
    <row r="109">
      <c r="E109" s="7"/>
    </row>
    <row r="110">
      <c r="E110" s="7"/>
    </row>
    <row r="111">
      <c r="E111" s="7"/>
    </row>
    <row r="112">
      <c r="E112" s="7"/>
    </row>
    <row r="113">
      <c r="E113" s="7"/>
    </row>
    <row r="114">
      <c r="E114" s="7"/>
    </row>
    <row r="115">
      <c r="E115" s="7"/>
    </row>
    <row r="116">
      <c r="E116" s="7"/>
    </row>
    <row r="117">
      <c r="E117" s="7"/>
    </row>
    <row r="118">
      <c r="E118" s="7"/>
    </row>
    <row r="119">
      <c r="E119" s="7"/>
    </row>
    <row r="120">
      <c r="E120" s="7"/>
    </row>
    <row r="121">
      <c r="E121" s="7"/>
    </row>
    <row r="122">
      <c r="E122" s="7"/>
    </row>
    <row r="123">
      <c r="E123" s="7"/>
    </row>
    <row r="124">
      <c r="E124" s="7"/>
    </row>
    <row r="125">
      <c r="E125" s="7"/>
    </row>
    <row r="126">
      <c r="E126" s="7"/>
    </row>
    <row r="127">
      <c r="E127" s="7"/>
    </row>
    <row r="128">
      <c r="E128" s="7"/>
    </row>
    <row r="129">
      <c r="E129" s="7"/>
    </row>
    <row r="130">
      <c r="E130" s="7"/>
    </row>
    <row r="131">
      <c r="E131" s="7"/>
    </row>
    <row r="132">
      <c r="E132" s="7"/>
    </row>
    <row r="133">
      <c r="E133" s="7"/>
    </row>
    <row r="134">
      <c r="E134" s="7"/>
    </row>
    <row r="135">
      <c r="E135" s="7"/>
    </row>
    <row r="136">
      <c r="E136" s="7"/>
    </row>
    <row r="137">
      <c r="E137" s="7"/>
    </row>
    <row r="138">
      <c r="E138" s="7"/>
    </row>
    <row r="139">
      <c r="E139" s="7"/>
    </row>
    <row r="140">
      <c r="E140" s="7"/>
    </row>
    <row r="141">
      <c r="E141" s="7"/>
    </row>
    <row r="142">
      <c r="E142" s="7"/>
    </row>
    <row r="143">
      <c r="E143" s="7"/>
    </row>
    <row r="144">
      <c r="E144" s="7"/>
    </row>
    <row r="145">
      <c r="E145" s="7"/>
    </row>
    <row r="146">
      <c r="E146" s="7"/>
    </row>
    <row r="147">
      <c r="E147" s="7"/>
    </row>
    <row r="148">
      <c r="E148" s="7"/>
    </row>
    <row r="149">
      <c r="E149" s="7"/>
    </row>
    <row r="150">
      <c r="E150" s="7"/>
    </row>
    <row r="151">
      <c r="E151" s="7"/>
    </row>
    <row r="152">
      <c r="E152" s="7"/>
    </row>
    <row r="153">
      <c r="E153" s="7"/>
    </row>
    <row r="154">
      <c r="E154" s="7"/>
    </row>
    <row r="155">
      <c r="E155" s="7"/>
    </row>
    <row r="156">
      <c r="E156" s="7"/>
    </row>
    <row r="157">
      <c r="E157" s="7"/>
    </row>
    <row r="158">
      <c r="E158" s="7"/>
    </row>
    <row r="159">
      <c r="E159" s="7"/>
    </row>
    <row r="160">
      <c r="E160" s="7"/>
    </row>
    <row r="161">
      <c r="E161" s="7"/>
    </row>
    <row r="162">
      <c r="E162" s="7"/>
    </row>
    <row r="163">
      <c r="E163" s="7"/>
    </row>
    <row r="164">
      <c r="E164" s="7"/>
    </row>
    <row r="165">
      <c r="E165" s="7"/>
    </row>
    <row r="166">
      <c r="E166" s="7"/>
    </row>
    <row r="167">
      <c r="E167" s="7"/>
    </row>
    <row r="168">
      <c r="E168" s="7"/>
    </row>
    <row r="169">
      <c r="E169" s="7"/>
    </row>
    <row r="170">
      <c r="E170" s="7"/>
    </row>
    <row r="171">
      <c r="E171" s="7"/>
    </row>
    <row r="172">
      <c r="E172" s="7"/>
    </row>
    <row r="173">
      <c r="E173" s="7"/>
    </row>
    <row r="174">
      <c r="E174" s="7"/>
    </row>
    <row r="175">
      <c r="E175" s="7"/>
    </row>
    <row r="176">
      <c r="E176" s="7"/>
    </row>
    <row r="177">
      <c r="E177" s="7"/>
    </row>
    <row r="178">
      <c r="E178" s="7"/>
    </row>
    <row r="179">
      <c r="E179" s="7"/>
    </row>
    <row r="180">
      <c r="E180" s="7"/>
    </row>
    <row r="181">
      <c r="E181" s="7"/>
    </row>
    <row r="182">
      <c r="E182" s="7"/>
    </row>
    <row r="183">
      <c r="E183" s="7"/>
    </row>
    <row r="184">
      <c r="E184" s="7"/>
    </row>
    <row r="185">
      <c r="E185" s="7"/>
    </row>
    <row r="186">
      <c r="E186" s="7"/>
    </row>
    <row r="187">
      <c r="E187" s="7"/>
    </row>
    <row r="188">
      <c r="E188" s="7"/>
    </row>
    <row r="189">
      <c r="E189" s="7"/>
    </row>
    <row r="190">
      <c r="E190" s="7"/>
    </row>
    <row r="191">
      <c r="E191" s="7"/>
    </row>
    <row r="192">
      <c r="E192" s="7"/>
    </row>
    <row r="193">
      <c r="E193" s="7"/>
    </row>
    <row r="194">
      <c r="E194" s="7"/>
    </row>
    <row r="195">
      <c r="E195" s="7"/>
    </row>
    <row r="196">
      <c r="E196" s="7"/>
    </row>
    <row r="197">
      <c r="E197" s="7"/>
    </row>
    <row r="198">
      <c r="E198" s="7"/>
    </row>
    <row r="199">
      <c r="E199" s="7"/>
    </row>
    <row r="200">
      <c r="E200" s="7"/>
    </row>
    <row r="201">
      <c r="E201" s="7"/>
    </row>
    <row r="202">
      <c r="E202" s="7"/>
    </row>
    <row r="203">
      <c r="E203" s="7"/>
    </row>
    <row r="204">
      <c r="E204" s="7"/>
    </row>
    <row r="205">
      <c r="E205" s="7"/>
    </row>
    <row r="206">
      <c r="E206" s="7"/>
    </row>
    <row r="207">
      <c r="E207" s="7"/>
    </row>
    <row r="208">
      <c r="E208" s="7"/>
    </row>
    <row r="209">
      <c r="E209" s="7"/>
    </row>
    <row r="210">
      <c r="E210" s="7"/>
    </row>
    <row r="211">
      <c r="E211" s="7"/>
    </row>
    <row r="212">
      <c r="E212" s="7"/>
    </row>
    <row r="213">
      <c r="E213" s="7"/>
    </row>
    <row r="214">
      <c r="E214" s="7"/>
    </row>
    <row r="215">
      <c r="E215" s="7"/>
    </row>
    <row r="216">
      <c r="E216" s="7"/>
    </row>
    <row r="217">
      <c r="E217" s="7"/>
    </row>
    <row r="218">
      <c r="E218" s="7"/>
    </row>
    <row r="219">
      <c r="E219" s="7"/>
    </row>
    <row r="220">
      <c r="E220" s="7"/>
    </row>
    <row r="221">
      <c r="E221" s="7"/>
    </row>
    <row r="222">
      <c r="E222" s="7"/>
    </row>
    <row r="223">
      <c r="E223" s="7"/>
    </row>
    <row r="224">
      <c r="E224" s="7"/>
    </row>
    <row r="225">
      <c r="E225" s="7"/>
    </row>
    <row r="226">
      <c r="E226" s="7"/>
    </row>
    <row r="227">
      <c r="E227" s="7"/>
    </row>
    <row r="228">
      <c r="E228" s="7"/>
    </row>
    <row r="229">
      <c r="E229" s="7"/>
    </row>
    <row r="230">
      <c r="E230" s="7"/>
    </row>
    <row r="231">
      <c r="E231" s="7"/>
    </row>
    <row r="232">
      <c r="E232" s="7"/>
    </row>
    <row r="233">
      <c r="E233" s="7"/>
    </row>
    <row r="234">
      <c r="E234" s="7"/>
    </row>
    <row r="235">
      <c r="E235" s="7"/>
    </row>
    <row r="236">
      <c r="E236" s="7"/>
    </row>
    <row r="237">
      <c r="E237" s="7"/>
    </row>
    <row r="238">
      <c r="E238" s="7"/>
    </row>
    <row r="239">
      <c r="E239" s="7"/>
    </row>
    <row r="240">
      <c r="E240" s="7"/>
    </row>
    <row r="241">
      <c r="E241" s="7"/>
    </row>
    <row r="242">
      <c r="E242" s="7"/>
    </row>
    <row r="243">
      <c r="E243" s="7"/>
    </row>
    <row r="244">
      <c r="E244" s="7"/>
    </row>
    <row r="245">
      <c r="E245" s="7"/>
    </row>
    <row r="246">
      <c r="E246" s="7"/>
    </row>
    <row r="247">
      <c r="E247" s="7"/>
    </row>
    <row r="248">
      <c r="E248" s="7"/>
    </row>
    <row r="249">
      <c r="E249" s="7"/>
    </row>
    <row r="250">
      <c r="E250" s="7"/>
    </row>
    <row r="251">
      <c r="E251" s="7"/>
    </row>
    <row r="252">
      <c r="E252" s="7"/>
    </row>
    <row r="253">
      <c r="E253" s="7"/>
    </row>
    <row r="254">
      <c r="E254" s="7"/>
    </row>
    <row r="255">
      <c r="E255" s="7"/>
    </row>
    <row r="256">
      <c r="E256" s="7"/>
    </row>
    <row r="257">
      <c r="E257" s="7"/>
    </row>
    <row r="258">
      <c r="E258" s="7"/>
    </row>
    <row r="259">
      <c r="E259" s="7"/>
    </row>
    <row r="260">
      <c r="E260" s="7"/>
    </row>
    <row r="261">
      <c r="E261" s="7"/>
    </row>
    <row r="262">
      <c r="E262" s="7"/>
    </row>
    <row r="263">
      <c r="E263" s="7"/>
    </row>
    <row r="264">
      <c r="E264" s="7"/>
    </row>
    <row r="265">
      <c r="E265" s="7"/>
    </row>
    <row r="266">
      <c r="E266" s="7"/>
    </row>
    <row r="267">
      <c r="E267" s="7"/>
    </row>
    <row r="268">
      <c r="E268" s="7"/>
    </row>
    <row r="269">
      <c r="E269" s="7"/>
    </row>
    <row r="270">
      <c r="E270" s="7"/>
    </row>
    <row r="271">
      <c r="E271" s="7"/>
    </row>
    <row r="272">
      <c r="E272" s="7"/>
    </row>
    <row r="273">
      <c r="E273" s="7"/>
    </row>
    <row r="274">
      <c r="E274" s="7"/>
    </row>
    <row r="275">
      <c r="E275" s="7"/>
    </row>
    <row r="276">
      <c r="E276" s="7"/>
    </row>
    <row r="277">
      <c r="E277" s="7"/>
    </row>
    <row r="278">
      <c r="E278" s="7"/>
    </row>
    <row r="279">
      <c r="E279" s="7"/>
    </row>
    <row r="280">
      <c r="E280" s="7"/>
    </row>
    <row r="281">
      <c r="E281" s="7"/>
    </row>
    <row r="282">
      <c r="E282" s="7"/>
    </row>
    <row r="283">
      <c r="E283" s="7"/>
    </row>
    <row r="284">
      <c r="E284" s="7"/>
    </row>
    <row r="285">
      <c r="E285" s="7"/>
    </row>
    <row r="286">
      <c r="E286" s="7"/>
    </row>
    <row r="287">
      <c r="E287" s="7"/>
    </row>
    <row r="288">
      <c r="E288" s="7"/>
    </row>
    <row r="289">
      <c r="E289" s="7"/>
    </row>
    <row r="290">
      <c r="E290" s="7"/>
    </row>
    <row r="291">
      <c r="E291" s="7"/>
    </row>
    <row r="292">
      <c r="E292" s="7"/>
    </row>
    <row r="293">
      <c r="E293" s="7"/>
    </row>
    <row r="294">
      <c r="E294" s="7"/>
    </row>
    <row r="295">
      <c r="E295" s="7"/>
    </row>
    <row r="296">
      <c r="E296" s="7"/>
    </row>
    <row r="297">
      <c r="E297" s="7"/>
    </row>
    <row r="298">
      <c r="E298" s="7"/>
    </row>
    <row r="299">
      <c r="E299" s="7"/>
    </row>
    <row r="300">
      <c r="E300" s="7"/>
    </row>
    <row r="301">
      <c r="E301" s="7"/>
    </row>
    <row r="302">
      <c r="E302" s="7"/>
    </row>
    <row r="303">
      <c r="E303" s="7"/>
    </row>
    <row r="304">
      <c r="E304" s="7"/>
    </row>
    <row r="305">
      <c r="E305" s="7"/>
    </row>
    <row r="306">
      <c r="E306" s="7"/>
    </row>
    <row r="307">
      <c r="E307" s="7"/>
    </row>
    <row r="308">
      <c r="E308" s="7"/>
    </row>
    <row r="309">
      <c r="E309" s="7"/>
    </row>
    <row r="310">
      <c r="E310" s="7"/>
    </row>
    <row r="311">
      <c r="E311" s="7"/>
    </row>
    <row r="312">
      <c r="E312" s="7"/>
    </row>
    <row r="313">
      <c r="E313" s="7"/>
    </row>
    <row r="314">
      <c r="E314" s="7"/>
    </row>
    <row r="315">
      <c r="E315" s="7"/>
    </row>
    <row r="316">
      <c r="E316" s="7"/>
    </row>
    <row r="317">
      <c r="E317" s="7"/>
    </row>
    <row r="318">
      <c r="E318" s="7"/>
    </row>
    <row r="319">
      <c r="E319" s="7"/>
    </row>
    <row r="320">
      <c r="E320" s="7"/>
    </row>
    <row r="321">
      <c r="E321" s="7"/>
    </row>
    <row r="322">
      <c r="E322" s="7"/>
    </row>
    <row r="323">
      <c r="E323" s="7"/>
    </row>
    <row r="324">
      <c r="E324" s="7"/>
    </row>
    <row r="325">
      <c r="E325" s="7"/>
    </row>
    <row r="326">
      <c r="E326" s="7"/>
    </row>
    <row r="327">
      <c r="E327" s="7"/>
    </row>
    <row r="328">
      <c r="E328" s="7"/>
    </row>
    <row r="329">
      <c r="E329" s="7"/>
    </row>
    <row r="330">
      <c r="E330" s="7"/>
    </row>
    <row r="331">
      <c r="E331" s="7"/>
    </row>
    <row r="332">
      <c r="E332" s="7"/>
    </row>
    <row r="333">
      <c r="E333" s="7"/>
    </row>
    <row r="334">
      <c r="E334" s="7"/>
    </row>
    <row r="335">
      <c r="E335" s="7"/>
    </row>
    <row r="336">
      <c r="E336" s="7"/>
    </row>
    <row r="337">
      <c r="E337" s="7"/>
    </row>
    <row r="338">
      <c r="E338" s="7"/>
    </row>
    <row r="339">
      <c r="E339" s="7"/>
    </row>
    <row r="340">
      <c r="E340" s="7"/>
    </row>
    <row r="341">
      <c r="E341" s="7"/>
    </row>
    <row r="342">
      <c r="E342" s="7"/>
    </row>
    <row r="343">
      <c r="E343" s="7"/>
    </row>
    <row r="344">
      <c r="E344" s="7"/>
    </row>
    <row r="345">
      <c r="E345" s="7"/>
    </row>
    <row r="346">
      <c r="E346" s="7"/>
    </row>
    <row r="347">
      <c r="E347" s="7"/>
    </row>
    <row r="348">
      <c r="E348" s="7"/>
    </row>
    <row r="349">
      <c r="E349" s="7"/>
    </row>
    <row r="350">
      <c r="E350" s="7"/>
    </row>
    <row r="351">
      <c r="E351" s="7"/>
    </row>
    <row r="352">
      <c r="E352" s="7"/>
    </row>
    <row r="353">
      <c r="E353" s="7"/>
    </row>
    <row r="354">
      <c r="E354" s="7"/>
    </row>
    <row r="355">
      <c r="E355" s="7"/>
    </row>
    <row r="356">
      <c r="E356" s="7"/>
    </row>
    <row r="357">
      <c r="E357" s="7"/>
    </row>
    <row r="358">
      <c r="E358" s="7"/>
    </row>
    <row r="359">
      <c r="E359" s="7"/>
    </row>
    <row r="360">
      <c r="E360" s="7"/>
    </row>
    <row r="361">
      <c r="E361" s="7"/>
    </row>
    <row r="362">
      <c r="E362" s="7"/>
    </row>
    <row r="363">
      <c r="E363" s="7"/>
    </row>
    <row r="364">
      <c r="E364" s="7"/>
    </row>
    <row r="365">
      <c r="E365" s="7"/>
    </row>
    <row r="366">
      <c r="E366" s="7"/>
    </row>
    <row r="367">
      <c r="E367" s="7"/>
    </row>
    <row r="368">
      <c r="E368" s="7"/>
    </row>
    <row r="369">
      <c r="E369" s="7"/>
    </row>
    <row r="370">
      <c r="E370" s="7"/>
    </row>
    <row r="371">
      <c r="E371" s="7"/>
    </row>
    <row r="372">
      <c r="E372" s="7"/>
    </row>
    <row r="373">
      <c r="E373" s="7"/>
    </row>
    <row r="374">
      <c r="E374" s="7"/>
    </row>
    <row r="375">
      <c r="E375" s="7"/>
    </row>
    <row r="376">
      <c r="E376" s="7"/>
    </row>
    <row r="377">
      <c r="E377" s="7"/>
    </row>
    <row r="378">
      <c r="E378" s="7"/>
    </row>
    <row r="379">
      <c r="E379" s="7"/>
    </row>
    <row r="380">
      <c r="E380" s="7"/>
    </row>
    <row r="381">
      <c r="E381" s="7"/>
    </row>
    <row r="382">
      <c r="E382" s="7"/>
    </row>
    <row r="383">
      <c r="E383" s="7"/>
    </row>
    <row r="384">
      <c r="E384" s="7"/>
    </row>
    <row r="385">
      <c r="E385" s="7"/>
    </row>
    <row r="386">
      <c r="E386" s="7"/>
    </row>
    <row r="387">
      <c r="E387" s="7"/>
    </row>
    <row r="388">
      <c r="E388" s="7"/>
    </row>
    <row r="389">
      <c r="E389" s="7"/>
    </row>
    <row r="390">
      <c r="E390" s="7"/>
    </row>
    <row r="391">
      <c r="E391" s="7"/>
    </row>
    <row r="392">
      <c r="E392" s="7"/>
    </row>
    <row r="393">
      <c r="E393" s="7"/>
    </row>
    <row r="394">
      <c r="E394" s="7"/>
    </row>
    <row r="395">
      <c r="E395" s="7"/>
    </row>
    <row r="396">
      <c r="E396" s="7"/>
    </row>
    <row r="397">
      <c r="E397" s="7"/>
    </row>
    <row r="398">
      <c r="E398" s="7"/>
    </row>
    <row r="399">
      <c r="E399" s="7"/>
    </row>
    <row r="400">
      <c r="E400" s="7"/>
    </row>
    <row r="401">
      <c r="E401" s="7"/>
    </row>
    <row r="402">
      <c r="E402" s="7"/>
    </row>
    <row r="403">
      <c r="E403" s="7"/>
    </row>
    <row r="404">
      <c r="E404" s="7"/>
    </row>
    <row r="405">
      <c r="E405" s="7"/>
    </row>
    <row r="406">
      <c r="E406" s="7"/>
    </row>
    <row r="407">
      <c r="E407" s="7"/>
    </row>
    <row r="408">
      <c r="E408" s="7"/>
    </row>
    <row r="409">
      <c r="E409" s="7"/>
    </row>
    <row r="410">
      <c r="E410" s="7"/>
    </row>
    <row r="411">
      <c r="E411" s="7"/>
    </row>
    <row r="412">
      <c r="E412" s="7"/>
    </row>
    <row r="413">
      <c r="E413" s="7"/>
    </row>
    <row r="414">
      <c r="E414" s="7"/>
    </row>
    <row r="415">
      <c r="E415" s="7"/>
    </row>
    <row r="416">
      <c r="E416" s="7"/>
    </row>
    <row r="417">
      <c r="E417" s="7"/>
    </row>
    <row r="418">
      <c r="E418" s="7"/>
    </row>
    <row r="419">
      <c r="E419" s="7"/>
    </row>
    <row r="420">
      <c r="E420" s="7"/>
    </row>
    <row r="421">
      <c r="E421" s="7"/>
    </row>
    <row r="422">
      <c r="E422" s="7"/>
    </row>
    <row r="423">
      <c r="E423" s="7"/>
    </row>
    <row r="424">
      <c r="E424" s="7"/>
    </row>
    <row r="425">
      <c r="E425" s="7"/>
    </row>
    <row r="426">
      <c r="E426" s="7"/>
    </row>
    <row r="427">
      <c r="E427" s="7"/>
    </row>
    <row r="428">
      <c r="E428" s="7"/>
    </row>
    <row r="429">
      <c r="E429" s="7"/>
    </row>
    <row r="430">
      <c r="E430" s="7"/>
    </row>
    <row r="431">
      <c r="E431" s="7"/>
    </row>
    <row r="432">
      <c r="E432" s="7"/>
    </row>
    <row r="433">
      <c r="E433" s="7"/>
    </row>
    <row r="434">
      <c r="E434" s="7"/>
    </row>
    <row r="435">
      <c r="E435" s="7"/>
    </row>
    <row r="436">
      <c r="E436" s="7"/>
    </row>
    <row r="437">
      <c r="E437" s="7"/>
    </row>
    <row r="438">
      <c r="E438" s="7"/>
    </row>
    <row r="439">
      <c r="E439" s="7"/>
    </row>
    <row r="440">
      <c r="E440" s="7"/>
    </row>
    <row r="441">
      <c r="E441" s="7"/>
    </row>
    <row r="442">
      <c r="E442" s="7"/>
    </row>
    <row r="443">
      <c r="E443" s="7"/>
    </row>
    <row r="444">
      <c r="E444" s="7"/>
    </row>
    <row r="445">
      <c r="E445" s="7"/>
    </row>
    <row r="446">
      <c r="E446" s="7"/>
    </row>
    <row r="447">
      <c r="E447" s="7"/>
    </row>
    <row r="448">
      <c r="E448" s="7"/>
    </row>
    <row r="449">
      <c r="E449" s="7"/>
    </row>
    <row r="450">
      <c r="E450" s="7"/>
    </row>
    <row r="451">
      <c r="E451" s="7"/>
    </row>
    <row r="452">
      <c r="E452" s="7"/>
    </row>
    <row r="453">
      <c r="E453" s="7"/>
    </row>
    <row r="454">
      <c r="E454" s="7"/>
    </row>
    <row r="455">
      <c r="E455" s="7"/>
    </row>
    <row r="456">
      <c r="E456" s="7"/>
    </row>
    <row r="457">
      <c r="E457" s="7"/>
    </row>
    <row r="458">
      <c r="E458" s="7"/>
    </row>
    <row r="459">
      <c r="E459" s="7"/>
    </row>
    <row r="460">
      <c r="E460" s="7"/>
    </row>
    <row r="461">
      <c r="E461" s="7"/>
    </row>
    <row r="462">
      <c r="E462" s="7"/>
    </row>
    <row r="463">
      <c r="E463" s="7"/>
    </row>
    <row r="464">
      <c r="E464" s="7"/>
    </row>
    <row r="465">
      <c r="E465" s="7"/>
    </row>
    <row r="466">
      <c r="E466" s="7"/>
    </row>
    <row r="467">
      <c r="E467" s="7"/>
    </row>
    <row r="468">
      <c r="E468" s="7"/>
    </row>
    <row r="469">
      <c r="E469" s="7"/>
    </row>
    <row r="470">
      <c r="E470" s="7"/>
    </row>
    <row r="471">
      <c r="E471" s="7"/>
    </row>
    <row r="472">
      <c r="E472" s="7"/>
    </row>
    <row r="473">
      <c r="E473" s="7"/>
    </row>
    <row r="474">
      <c r="E474" s="7"/>
    </row>
    <row r="475">
      <c r="E475" s="7"/>
    </row>
    <row r="476">
      <c r="E476" s="7"/>
    </row>
    <row r="477">
      <c r="E477" s="7"/>
    </row>
    <row r="478">
      <c r="E478" s="7"/>
    </row>
    <row r="479">
      <c r="E479" s="7"/>
    </row>
    <row r="480">
      <c r="E480" s="7"/>
    </row>
    <row r="481">
      <c r="E481" s="7"/>
    </row>
    <row r="482">
      <c r="E482" s="7"/>
    </row>
    <row r="483">
      <c r="E483" s="7"/>
    </row>
    <row r="484">
      <c r="E484" s="7"/>
    </row>
    <row r="485">
      <c r="E485" s="7"/>
    </row>
    <row r="486">
      <c r="E486" s="7"/>
    </row>
    <row r="487">
      <c r="E487" s="7"/>
    </row>
    <row r="488">
      <c r="E488" s="7"/>
    </row>
    <row r="489">
      <c r="E489" s="7"/>
    </row>
    <row r="490">
      <c r="E490" s="7"/>
    </row>
    <row r="491">
      <c r="E491" s="7"/>
    </row>
    <row r="492">
      <c r="E492" s="7"/>
    </row>
    <row r="493">
      <c r="E493" s="7"/>
    </row>
    <row r="494">
      <c r="E494" s="7"/>
    </row>
    <row r="495">
      <c r="E495" s="7"/>
    </row>
    <row r="496">
      <c r="E496" s="7"/>
    </row>
    <row r="497">
      <c r="E497" s="7"/>
    </row>
    <row r="498">
      <c r="E498" s="7"/>
    </row>
    <row r="499">
      <c r="E499" s="7"/>
    </row>
    <row r="500">
      <c r="E500" s="7"/>
    </row>
    <row r="501">
      <c r="E501" s="7"/>
    </row>
    <row r="502">
      <c r="E502" s="7"/>
    </row>
    <row r="503">
      <c r="E503" s="7"/>
    </row>
    <row r="504">
      <c r="E504" s="7"/>
    </row>
    <row r="505">
      <c r="E505" s="7"/>
    </row>
    <row r="506">
      <c r="E506" s="7"/>
    </row>
    <row r="507">
      <c r="E507" s="7"/>
    </row>
    <row r="508">
      <c r="E508" s="7"/>
    </row>
    <row r="509">
      <c r="E509" s="7"/>
    </row>
    <row r="510">
      <c r="E510" s="7"/>
    </row>
    <row r="511">
      <c r="E511" s="7"/>
    </row>
    <row r="512">
      <c r="E512" s="7"/>
    </row>
    <row r="513">
      <c r="E513" s="7"/>
    </row>
    <row r="514">
      <c r="E514" s="7"/>
    </row>
    <row r="515">
      <c r="E515" s="7"/>
    </row>
    <row r="516">
      <c r="E516" s="7"/>
    </row>
    <row r="517">
      <c r="E517" s="7"/>
    </row>
    <row r="518">
      <c r="E518" s="7"/>
    </row>
    <row r="519">
      <c r="E519" s="7"/>
    </row>
    <row r="520">
      <c r="E520" s="7"/>
    </row>
    <row r="521">
      <c r="E521" s="7"/>
    </row>
    <row r="522">
      <c r="E522" s="7"/>
    </row>
    <row r="523">
      <c r="E523" s="7"/>
    </row>
    <row r="524">
      <c r="E524" s="7"/>
    </row>
    <row r="525">
      <c r="E525" s="7"/>
    </row>
    <row r="526">
      <c r="E526" s="7"/>
    </row>
    <row r="527">
      <c r="E527" s="7"/>
    </row>
    <row r="528">
      <c r="E528" s="7"/>
    </row>
    <row r="529">
      <c r="E529" s="7"/>
    </row>
    <row r="530">
      <c r="E530" s="7"/>
    </row>
    <row r="531">
      <c r="E531" s="7"/>
    </row>
    <row r="532">
      <c r="E532" s="7"/>
    </row>
    <row r="533">
      <c r="E533" s="7"/>
    </row>
    <row r="534">
      <c r="E534" s="7"/>
    </row>
    <row r="535">
      <c r="E535" s="7"/>
    </row>
    <row r="536">
      <c r="E536" s="7"/>
    </row>
    <row r="537">
      <c r="E537" s="7"/>
    </row>
    <row r="538">
      <c r="E538" s="7"/>
    </row>
    <row r="539">
      <c r="E539" s="7"/>
    </row>
    <row r="540">
      <c r="E540" s="7"/>
    </row>
    <row r="541">
      <c r="E541" s="7"/>
    </row>
    <row r="542">
      <c r="E542" s="7"/>
    </row>
    <row r="543">
      <c r="E543" s="7"/>
    </row>
    <row r="544">
      <c r="E544" s="7"/>
    </row>
    <row r="545">
      <c r="E545" s="7"/>
    </row>
    <row r="546">
      <c r="E546" s="7"/>
    </row>
    <row r="547">
      <c r="E547" s="7"/>
    </row>
    <row r="548">
      <c r="E548" s="7"/>
    </row>
    <row r="549">
      <c r="E549" s="7"/>
    </row>
    <row r="550">
      <c r="E550" s="7"/>
    </row>
    <row r="551">
      <c r="E551" s="7"/>
    </row>
    <row r="552">
      <c r="E552" s="7"/>
    </row>
    <row r="553">
      <c r="E553" s="7"/>
    </row>
    <row r="554">
      <c r="E554" s="7"/>
    </row>
    <row r="555">
      <c r="E555" s="7"/>
    </row>
    <row r="556">
      <c r="E556" s="7"/>
    </row>
    <row r="557">
      <c r="E557" s="7"/>
    </row>
    <row r="558">
      <c r="E558" s="7"/>
    </row>
    <row r="559">
      <c r="E559" s="7"/>
    </row>
    <row r="560">
      <c r="E560" s="7"/>
    </row>
    <row r="561">
      <c r="E561" s="7"/>
    </row>
    <row r="562">
      <c r="E562" s="7"/>
    </row>
    <row r="563">
      <c r="E563" s="7"/>
    </row>
    <row r="564">
      <c r="E564" s="7"/>
    </row>
    <row r="565">
      <c r="E565" s="7"/>
    </row>
    <row r="566">
      <c r="E566" s="7"/>
    </row>
    <row r="567">
      <c r="E567" s="7"/>
    </row>
    <row r="568">
      <c r="E568" s="7"/>
    </row>
    <row r="569">
      <c r="E569" s="7"/>
    </row>
    <row r="570">
      <c r="E570" s="7"/>
    </row>
    <row r="571">
      <c r="E571" s="7"/>
    </row>
    <row r="572">
      <c r="E572" s="7"/>
    </row>
    <row r="573">
      <c r="E573" s="7"/>
    </row>
    <row r="574">
      <c r="E574" s="7"/>
    </row>
    <row r="575">
      <c r="E575" s="7"/>
    </row>
    <row r="576">
      <c r="E576" s="7"/>
    </row>
    <row r="577">
      <c r="E577" s="7"/>
    </row>
    <row r="578">
      <c r="E578" s="7"/>
    </row>
    <row r="579">
      <c r="E579" s="7"/>
    </row>
    <row r="580">
      <c r="E580" s="7"/>
    </row>
    <row r="581">
      <c r="E581" s="7"/>
    </row>
    <row r="582">
      <c r="E582" s="7"/>
    </row>
    <row r="583">
      <c r="E583" s="7"/>
    </row>
    <row r="584">
      <c r="E584" s="7"/>
    </row>
    <row r="585">
      <c r="E585" s="7"/>
    </row>
    <row r="586">
      <c r="E586" s="7"/>
    </row>
    <row r="587">
      <c r="E587" s="7"/>
    </row>
    <row r="588">
      <c r="E588" s="7"/>
    </row>
    <row r="589">
      <c r="E589" s="7"/>
    </row>
    <row r="590">
      <c r="E590" s="7"/>
    </row>
    <row r="591">
      <c r="E591" s="7"/>
    </row>
    <row r="592">
      <c r="E592" s="7"/>
    </row>
    <row r="593">
      <c r="E593" s="7"/>
    </row>
    <row r="594">
      <c r="E594" s="7"/>
    </row>
    <row r="595">
      <c r="E595" s="7"/>
    </row>
    <row r="596">
      <c r="E596" s="7"/>
    </row>
    <row r="597">
      <c r="E597" s="7"/>
    </row>
    <row r="598">
      <c r="E598" s="7"/>
    </row>
    <row r="599">
      <c r="E599" s="7"/>
    </row>
    <row r="600">
      <c r="E600" s="7"/>
    </row>
    <row r="601">
      <c r="E601" s="7"/>
    </row>
    <row r="602">
      <c r="E602" s="7"/>
    </row>
    <row r="603">
      <c r="E603" s="7"/>
    </row>
    <row r="604">
      <c r="E604" s="7"/>
    </row>
    <row r="605">
      <c r="E605" s="7"/>
    </row>
    <row r="606">
      <c r="E606" s="7"/>
    </row>
    <row r="607">
      <c r="E607" s="7"/>
    </row>
    <row r="608">
      <c r="E608" s="7"/>
    </row>
    <row r="609">
      <c r="E609" s="7"/>
    </row>
    <row r="610">
      <c r="E610" s="7"/>
    </row>
    <row r="611">
      <c r="E611" s="7"/>
    </row>
    <row r="612">
      <c r="E612" s="7"/>
    </row>
    <row r="613">
      <c r="E613" s="7"/>
    </row>
    <row r="614">
      <c r="E614" s="7"/>
    </row>
    <row r="615">
      <c r="E615" s="7"/>
    </row>
    <row r="616">
      <c r="E616" s="7"/>
    </row>
    <row r="617">
      <c r="E617" s="7"/>
    </row>
    <row r="618">
      <c r="E618" s="7"/>
    </row>
    <row r="619">
      <c r="E619" s="7"/>
    </row>
    <row r="620">
      <c r="E620" s="7"/>
    </row>
    <row r="621">
      <c r="E621" s="7"/>
    </row>
    <row r="622">
      <c r="E622" s="7"/>
    </row>
    <row r="623">
      <c r="E623" s="7"/>
    </row>
    <row r="624">
      <c r="E624" s="7"/>
    </row>
    <row r="625">
      <c r="E625" s="7"/>
    </row>
    <row r="626">
      <c r="E626" s="7"/>
    </row>
    <row r="627">
      <c r="E627" s="7"/>
    </row>
    <row r="628">
      <c r="E628" s="7"/>
    </row>
    <row r="629">
      <c r="E629" s="7"/>
    </row>
    <row r="630">
      <c r="E630" s="7"/>
    </row>
    <row r="631">
      <c r="E631" s="7"/>
    </row>
    <row r="632">
      <c r="E632" s="7"/>
    </row>
    <row r="633">
      <c r="E633" s="7"/>
    </row>
    <row r="634">
      <c r="E634" s="7"/>
    </row>
    <row r="635">
      <c r="E635" s="7"/>
    </row>
    <row r="636">
      <c r="E636" s="7"/>
    </row>
    <row r="637">
      <c r="E637" s="7"/>
    </row>
    <row r="638">
      <c r="E638" s="7"/>
    </row>
    <row r="639">
      <c r="E639" s="7"/>
    </row>
    <row r="640">
      <c r="E640" s="7"/>
    </row>
    <row r="641">
      <c r="E641" s="7"/>
    </row>
    <row r="642">
      <c r="E642" s="7"/>
    </row>
    <row r="643">
      <c r="E643" s="7"/>
    </row>
    <row r="644">
      <c r="E644" s="7"/>
    </row>
    <row r="645">
      <c r="E645" s="7"/>
    </row>
    <row r="646">
      <c r="E646" s="7"/>
    </row>
    <row r="647">
      <c r="E647" s="7"/>
    </row>
    <row r="648">
      <c r="E648" s="7"/>
    </row>
    <row r="649">
      <c r="E649" s="7"/>
    </row>
    <row r="650">
      <c r="E650" s="7"/>
    </row>
    <row r="651">
      <c r="E651" s="7"/>
    </row>
    <row r="652">
      <c r="E652" s="7"/>
    </row>
    <row r="653">
      <c r="E653" s="7"/>
    </row>
    <row r="654">
      <c r="E654" s="7"/>
    </row>
    <row r="655">
      <c r="E655" s="7"/>
    </row>
    <row r="656">
      <c r="E656" s="7"/>
    </row>
    <row r="657">
      <c r="E657" s="7"/>
    </row>
    <row r="658">
      <c r="E658" s="7"/>
    </row>
    <row r="659">
      <c r="E659" s="7"/>
    </row>
    <row r="660">
      <c r="E660" s="7"/>
    </row>
    <row r="661">
      <c r="E661" s="7"/>
    </row>
    <row r="662">
      <c r="E662" s="7"/>
    </row>
    <row r="663">
      <c r="E663" s="7"/>
    </row>
    <row r="664">
      <c r="E664" s="7"/>
    </row>
    <row r="665">
      <c r="E665" s="7"/>
    </row>
    <row r="666">
      <c r="E666" s="7"/>
    </row>
    <row r="667">
      <c r="E667" s="7"/>
    </row>
    <row r="668">
      <c r="E668" s="7"/>
    </row>
    <row r="669">
      <c r="E669" s="7"/>
    </row>
    <row r="670">
      <c r="E670" s="7"/>
    </row>
    <row r="671">
      <c r="E671" s="7"/>
    </row>
    <row r="672">
      <c r="E672" s="7"/>
    </row>
    <row r="673">
      <c r="E673" s="7"/>
    </row>
    <row r="674">
      <c r="E674" s="7"/>
    </row>
    <row r="675">
      <c r="E675" s="7"/>
    </row>
    <row r="676">
      <c r="E676" s="7"/>
    </row>
    <row r="677">
      <c r="E677" s="7"/>
    </row>
    <row r="678">
      <c r="E678" s="7"/>
    </row>
    <row r="679">
      <c r="E679" s="7"/>
    </row>
    <row r="680">
      <c r="E680" s="7"/>
    </row>
    <row r="681">
      <c r="E681" s="7"/>
    </row>
    <row r="682">
      <c r="E682" s="7"/>
    </row>
    <row r="683">
      <c r="E683" s="7"/>
    </row>
    <row r="684">
      <c r="E684" s="7"/>
    </row>
    <row r="685">
      <c r="E685" s="7"/>
    </row>
    <row r="686">
      <c r="E686" s="7"/>
    </row>
    <row r="687">
      <c r="E687" s="7"/>
    </row>
    <row r="688">
      <c r="E688" s="7"/>
    </row>
    <row r="689">
      <c r="E689" s="7"/>
    </row>
    <row r="690">
      <c r="E690" s="7"/>
    </row>
    <row r="691">
      <c r="E691" s="7"/>
    </row>
    <row r="692">
      <c r="E692" s="7"/>
    </row>
    <row r="693">
      <c r="E693" s="7"/>
    </row>
    <row r="694">
      <c r="E694" s="7"/>
    </row>
    <row r="695">
      <c r="E695" s="7"/>
    </row>
    <row r="696">
      <c r="E696" s="7"/>
    </row>
    <row r="697">
      <c r="E697" s="7"/>
    </row>
    <row r="698">
      <c r="E698" s="7"/>
    </row>
    <row r="699">
      <c r="E699" s="7"/>
    </row>
    <row r="700">
      <c r="E700" s="7"/>
    </row>
    <row r="701">
      <c r="E701" s="7"/>
    </row>
    <row r="702">
      <c r="E702" s="7"/>
    </row>
    <row r="703">
      <c r="E703" s="7"/>
    </row>
    <row r="704">
      <c r="E704" s="7"/>
    </row>
    <row r="705">
      <c r="E705" s="7"/>
    </row>
    <row r="706">
      <c r="E706" s="7"/>
    </row>
    <row r="707">
      <c r="E707" s="7"/>
    </row>
    <row r="708">
      <c r="E708" s="7"/>
    </row>
    <row r="709">
      <c r="E709" s="7"/>
    </row>
    <row r="710">
      <c r="E710" s="7"/>
    </row>
    <row r="711">
      <c r="E711" s="7"/>
    </row>
    <row r="712">
      <c r="E712" s="7"/>
    </row>
    <row r="713">
      <c r="E713" s="7"/>
    </row>
    <row r="714">
      <c r="E714" s="7"/>
    </row>
    <row r="715">
      <c r="E715" s="7"/>
    </row>
    <row r="716">
      <c r="E716" s="7"/>
    </row>
    <row r="717">
      <c r="E717" s="7"/>
    </row>
    <row r="718">
      <c r="E718" s="7"/>
    </row>
    <row r="719">
      <c r="E719" s="7"/>
    </row>
    <row r="720">
      <c r="E720" s="7"/>
    </row>
    <row r="721">
      <c r="E721" s="7"/>
    </row>
    <row r="722">
      <c r="E722" s="7"/>
    </row>
    <row r="723">
      <c r="E723" s="7"/>
    </row>
    <row r="724">
      <c r="E724" s="7"/>
    </row>
    <row r="725">
      <c r="E725" s="7"/>
    </row>
    <row r="726">
      <c r="E726" s="7"/>
    </row>
    <row r="727">
      <c r="E727" s="7"/>
    </row>
    <row r="728">
      <c r="E728" s="7"/>
    </row>
    <row r="729">
      <c r="E729" s="7"/>
    </row>
    <row r="730">
      <c r="E730" s="7"/>
    </row>
    <row r="731">
      <c r="E731" s="7"/>
    </row>
    <row r="732">
      <c r="E732" s="7"/>
    </row>
    <row r="733">
      <c r="E733" s="7"/>
    </row>
    <row r="734">
      <c r="E734" s="7"/>
    </row>
    <row r="735">
      <c r="E735" s="7"/>
    </row>
    <row r="736">
      <c r="E736" s="7"/>
    </row>
    <row r="737">
      <c r="E737" s="7"/>
    </row>
    <row r="738">
      <c r="E738" s="7"/>
    </row>
    <row r="739">
      <c r="E739" s="7"/>
    </row>
    <row r="740">
      <c r="E740" s="7"/>
    </row>
    <row r="741">
      <c r="E741" s="7"/>
    </row>
    <row r="742">
      <c r="E742" s="7"/>
    </row>
    <row r="743">
      <c r="E743" s="7"/>
    </row>
    <row r="744">
      <c r="E744" s="7"/>
    </row>
    <row r="745">
      <c r="E745" s="7"/>
    </row>
    <row r="746">
      <c r="E746" s="7"/>
    </row>
    <row r="747">
      <c r="E747" s="7"/>
    </row>
    <row r="748">
      <c r="E748" s="7"/>
    </row>
    <row r="749">
      <c r="E749" s="7"/>
    </row>
    <row r="750">
      <c r="E750" s="7"/>
    </row>
    <row r="751">
      <c r="E751" s="7"/>
    </row>
    <row r="752">
      <c r="E752" s="7"/>
    </row>
    <row r="753">
      <c r="E753" s="7"/>
    </row>
    <row r="754">
      <c r="E754" s="7"/>
    </row>
    <row r="755">
      <c r="E755" s="7"/>
    </row>
    <row r="756">
      <c r="E756" s="7"/>
    </row>
    <row r="757">
      <c r="E757" s="7"/>
    </row>
    <row r="758">
      <c r="E758" s="7"/>
    </row>
    <row r="759">
      <c r="E759" s="7"/>
    </row>
    <row r="760">
      <c r="E760" s="7"/>
    </row>
    <row r="761">
      <c r="E761" s="7"/>
    </row>
    <row r="762">
      <c r="E762" s="7"/>
    </row>
    <row r="763">
      <c r="E763" s="7"/>
    </row>
    <row r="764">
      <c r="E764" s="7"/>
    </row>
    <row r="765">
      <c r="E765" s="7"/>
    </row>
    <row r="766">
      <c r="E766" s="7"/>
    </row>
    <row r="767">
      <c r="E767" s="7"/>
    </row>
    <row r="768">
      <c r="E768" s="7"/>
    </row>
    <row r="769">
      <c r="E769" s="7"/>
    </row>
    <row r="770">
      <c r="E770" s="7"/>
    </row>
    <row r="771">
      <c r="E771" s="7"/>
    </row>
    <row r="772">
      <c r="E772" s="7"/>
    </row>
    <row r="773">
      <c r="E773" s="7"/>
    </row>
    <row r="774">
      <c r="E774" s="7"/>
    </row>
    <row r="775">
      <c r="E775" s="7"/>
    </row>
    <row r="776">
      <c r="E776" s="7"/>
    </row>
    <row r="777">
      <c r="E777" s="7"/>
    </row>
    <row r="778">
      <c r="E778" s="7"/>
    </row>
    <row r="779">
      <c r="E779" s="7"/>
    </row>
    <row r="780">
      <c r="E780" s="7"/>
    </row>
    <row r="781">
      <c r="E781" s="7"/>
    </row>
    <row r="782">
      <c r="E782" s="7"/>
    </row>
    <row r="783">
      <c r="E783" s="7"/>
    </row>
    <row r="784">
      <c r="E784" s="7"/>
    </row>
    <row r="785">
      <c r="E785" s="7"/>
    </row>
    <row r="786">
      <c r="E786" s="7"/>
    </row>
    <row r="787">
      <c r="E787" s="7"/>
    </row>
    <row r="788">
      <c r="E788" s="7"/>
    </row>
    <row r="789">
      <c r="E789" s="7"/>
    </row>
    <row r="790">
      <c r="E790" s="7"/>
    </row>
    <row r="791">
      <c r="E791" s="7"/>
    </row>
    <row r="792">
      <c r="E792" s="7"/>
    </row>
    <row r="793">
      <c r="E793" s="7"/>
    </row>
    <row r="794">
      <c r="E794" s="7"/>
    </row>
    <row r="795">
      <c r="E795" s="7"/>
    </row>
    <row r="796">
      <c r="E796" s="7"/>
    </row>
    <row r="797">
      <c r="E797" s="7"/>
    </row>
    <row r="798">
      <c r="E798" s="7"/>
    </row>
    <row r="799">
      <c r="E799" s="7"/>
    </row>
    <row r="800">
      <c r="E800" s="7"/>
    </row>
    <row r="801">
      <c r="E801" s="7"/>
    </row>
    <row r="802">
      <c r="E802" s="7"/>
    </row>
    <row r="803">
      <c r="E803" s="7"/>
    </row>
    <row r="804">
      <c r="E804" s="7"/>
    </row>
    <row r="805">
      <c r="E805" s="7"/>
    </row>
    <row r="806">
      <c r="E806" s="7"/>
    </row>
    <row r="807">
      <c r="E807" s="7"/>
    </row>
    <row r="808">
      <c r="E808" s="7"/>
    </row>
    <row r="809">
      <c r="E809" s="7"/>
    </row>
    <row r="810">
      <c r="E810" s="7"/>
    </row>
    <row r="811">
      <c r="E811" s="7"/>
    </row>
    <row r="812">
      <c r="E812" s="7"/>
    </row>
    <row r="813">
      <c r="E813" s="7"/>
    </row>
    <row r="814">
      <c r="E814" s="7"/>
    </row>
    <row r="815">
      <c r="E815" s="7"/>
    </row>
    <row r="816">
      <c r="E816" s="7"/>
    </row>
    <row r="817">
      <c r="E817" s="7"/>
    </row>
    <row r="818">
      <c r="E818" s="7"/>
    </row>
    <row r="819">
      <c r="E819" s="7"/>
    </row>
    <row r="820">
      <c r="E820" s="7"/>
    </row>
    <row r="821">
      <c r="E821" s="7"/>
    </row>
    <row r="822">
      <c r="E822" s="7"/>
    </row>
    <row r="823">
      <c r="E823" s="7"/>
    </row>
    <row r="824">
      <c r="E824" s="7"/>
    </row>
    <row r="825">
      <c r="E825" s="7"/>
    </row>
    <row r="826">
      <c r="E826" s="7"/>
    </row>
    <row r="827">
      <c r="E827" s="7"/>
    </row>
    <row r="828">
      <c r="E828" s="7"/>
    </row>
    <row r="829">
      <c r="E829" s="7"/>
    </row>
    <row r="830">
      <c r="E830" s="7"/>
    </row>
    <row r="831">
      <c r="E831" s="7"/>
    </row>
    <row r="832">
      <c r="E832" s="7"/>
    </row>
    <row r="833">
      <c r="E833" s="7"/>
    </row>
    <row r="834">
      <c r="E834" s="7"/>
    </row>
    <row r="835">
      <c r="E835" s="7"/>
    </row>
    <row r="836">
      <c r="E836" s="7"/>
    </row>
    <row r="837">
      <c r="E837" s="7"/>
    </row>
    <row r="838">
      <c r="E838" s="7"/>
    </row>
    <row r="839">
      <c r="E839" s="7"/>
    </row>
    <row r="840">
      <c r="E840" s="7"/>
    </row>
    <row r="841">
      <c r="E841" s="7"/>
    </row>
    <row r="842">
      <c r="E842" s="7"/>
    </row>
    <row r="843">
      <c r="E843" s="7"/>
    </row>
    <row r="844">
      <c r="E844" s="7"/>
    </row>
    <row r="845">
      <c r="E845" s="7"/>
    </row>
    <row r="846">
      <c r="E846" s="7"/>
    </row>
    <row r="847">
      <c r="E847" s="7"/>
    </row>
    <row r="848">
      <c r="E848" s="7"/>
    </row>
    <row r="849">
      <c r="E849" s="7"/>
    </row>
    <row r="850">
      <c r="E850" s="7"/>
    </row>
    <row r="851">
      <c r="E851" s="7"/>
    </row>
    <row r="852">
      <c r="E852" s="7"/>
    </row>
    <row r="853">
      <c r="E853" s="7"/>
    </row>
    <row r="854">
      <c r="E854" s="7"/>
    </row>
    <row r="855">
      <c r="E855" s="7"/>
    </row>
    <row r="856">
      <c r="E856" s="7"/>
    </row>
    <row r="857">
      <c r="E857" s="7"/>
    </row>
    <row r="858">
      <c r="E858" s="7"/>
    </row>
    <row r="859">
      <c r="E859" s="7"/>
    </row>
    <row r="860">
      <c r="E860" s="7"/>
    </row>
    <row r="861">
      <c r="E861" s="7"/>
    </row>
    <row r="862">
      <c r="E862" s="7"/>
    </row>
    <row r="863">
      <c r="E863" s="7"/>
    </row>
    <row r="864">
      <c r="E864" s="7"/>
    </row>
    <row r="865">
      <c r="E865" s="7"/>
    </row>
    <row r="866">
      <c r="E866" s="7"/>
    </row>
    <row r="867">
      <c r="E867" s="7"/>
    </row>
    <row r="868">
      <c r="E868" s="7"/>
    </row>
    <row r="869">
      <c r="E869" s="7"/>
    </row>
    <row r="870">
      <c r="E870" s="7"/>
    </row>
    <row r="871">
      <c r="E871" s="7"/>
    </row>
    <row r="872">
      <c r="E872" s="7"/>
    </row>
    <row r="873">
      <c r="E873" s="7"/>
    </row>
    <row r="874">
      <c r="E874" s="7"/>
    </row>
    <row r="875">
      <c r="E875" s="7"/>
    </row>
    <row r="876">
      <c r="E876" s="7"/>
    </row>
    <row r="877">
      <c r="E877" s="7"/>
    </row>
    <row r="878">
      <c r="E878" s="7"/>
    </row>
    <row r="879">
      <c r="E879" s="7"/>
    </row>
    <row r="880">
      <c r="E880" s="7"/>
    </row>
    <row r="881">
      <c r="E881" s="7"/>
    </row>
    <row r="882">
      <c r="E882" s="7"/>
    </row>
    <row r="883">
      <c r="E883" s="7"/>
    </row>
    <row r="884">
      <c r="E884" s="7"/>
    </row>
    <row r="885">
      <c r="E885" s="7"/>
    </row>
    <row r="886">
      <c r="E886" s="7"/>
    </row>
    <row r="887">
      <c r="E887" s="7"/>
    </row>
    <row r="888">
      <c r="E888" s="7"/>
    </row>
    <row r="889">
      <c r="E889" s="7"/>
    </row>
    <row r="890">
      <c r="E890" s="7"/>
    </row>
    <row r="891">
      <c r="E891" s="7"/>
    </row>
    <row r="892">
      <c r="E892" s="7"/>
    </row>
    <row r="893">
      <c r="E893" s="7"/>
    </row>
    <row r="894">
      <c r="E894" s="7"/>
    </row>
    <row r="895">
      <c r="E895" s="7"/>
    </row>
    <row r="896">
      <c r="E896" s="7"/>
    </row>
    <row r="897">
      <c r="E897" s="7"/>
    </row>
    <row r="898">
      <c r="E898" s="7"/>
    </row>
    <row r="899">
      <c r="E899" s="7"/>
    </row>
    <row r="900">
      <c r="E900" s="7"/>
    </row>
    <row r="901">
      <c r="E901" s="7"/>
    </row>
    <row r="902">
      <c r="E902" s="7"/>
    </row>
    <row r="903">
      <c r="E903" s="7"/>
    </row>
    <row r="904">
      <c r="E904" s="7"/>
    </row>
    <row r="905">
      <c r="E905" s="7"/>
    </row>
    <row r="906">
      <c r="E906" s="7"/>
    </row>
    <row r="907">
      <c r="E907" s="7"/>
    </row>
    <row r="908">
      <c r="E908" s="7"/>
    </row>
    <row r="909">
      <c r="E909" s="7"/>
    </row>
    <row r="910">
      <c r="E910" s="7"/>
    </row>
    <row r="911">
      <c r="E911" s="7"/>
    </row>
    <row r="912">
      <c r="E912" s="7"/>
    </row>
    <row r="913">
      <c r="E913" s="7"/>
    </row>
    <row r="914">
      <c r="E914" s="7"/>
    </row>
    <row r="915">
      <c r="E915" s="7"/>
    </row>
    <row r="916">
      <c r="E916" s="7"/>
    </row>
    <row r="917">
      <c r="E917" s="7"/>
    </row>
    <row r="918">
      <c r="E918" s="7"/>
    </row>
    <row r="919">
      <c r="E919" s="7"/>
    </row>
    <row r="920">
      <c r="E920" s="7"/>
    </row>
    <row r="921">
      <c r="E921" s="7"/>
    </row>
    <row r="922">
      <c r="E922" s="7"/>
    </row>
    <row r="923">
      <c r="E923" s="7"/>
    </row>
    <row r="924">
      <c r="E924" s="7"/>
    </row>
    <row r="925">
      <c r="E925" s="7"/>
    </row>
    <row r="926">
      <c r="E926" s="7"/>
    </row>
    <row r="927">
      <c r="E927" s="7"/>
    </row>
    <row r="928">
      <c r="E928" s="7"/>
    </row>
    <row r="929">
      <c r="E929" s="7"/>
    </row>
    <row r="930">
      <c r="E930" s="7"/>
    </row>
    <row r="931">
      <c r="E931" s="7"/>
    </row>
    <row r="932">
      <c r="E932" s="7"/>
    </row>
    <row r="933">
      <c r="E933" s="7"/>
    </row>
    <row r="934">
      <c r="E934" s="7"/>
    </row>
    <row r="935">
      <c r="E935" s="7"/>
    </row>
    <row r="936">
      <c r="E936" s="7"/>
    </row>
    <row r="937">
      <c r="E937" s="7"/>
    </row>
    <row r="938">
      <c r="E938" s="7"/>
    </row>
    <row r="939">
      <c r="E939" s="7"/>
    </row>
    <row r="940">
      <c r="E940" s="7"/>
    </row>
    <row r="941">
      <c r="E941" s="7"/>
    </row>
    <row r="942">
      <c r="E942" s="7"/>
    </row>
    <row r="943">
      <c r="E943" s="7"/>
    </row>
    <row r="944">
      <c r="E944" s="7"/>
    </row>
    <row r="945">
      <c r="E945" s="7"/>
    </row>
    <row r="946">
      <c r="E946" s="7"/>
    </row>
    <row r="947">
      <c r="E947" s="7"/>
    </row>
    <row r="948">
      <c r="E948" s="7"/>
    </row>
    <row r="949">
      <c r="E949" s="7"/>
    </row>
    <row r="950">
      <c r="E950" s="7"/>
    </row>
    <row r="951">
      <c r="E951" s="7"/>
    </row>
    <row r="952">
      <c r="E952" s="7"/>
    </row>
    <row r="953">
      <c r="E953" s="7"/>
    </row>
    <row r="954">
      <c r="E954" s="7"/>
    </row>
    <row r="955">
      <c r="E955" s="7"/>
    </row>
    <row r="956">
      <c r="E956" s="7"/>
    </row>
    <row r="957">
      <c r="E957" s="7"/>
    </row>
    <row r="958">
      <c r="E958" s="7"/>
    </row>
    <row r="959">
      <c r="E959" s="7"/>
    </row>
    <row r="960">
      <c r="E960" s="7"/>
    </row>
    <row r="961">
      <c r="E961" s="7"/>
    </row>
    <row r="962">
      <c r="E962" s="7"/>
    </row>
    <row r="963">
      <c r="E963" s="7"/>
    </row>
    <row r="964">
      <c r="E964" s="7"/>
    </row>
    <row r="965">
      <c r="E965" s="7"/>
    </row>
    <row r="966">
      <c r="E966" s="7"/>
    </row>
    <row r="967">
      <c r="E967" s="7"/>
    </row>
    <row r="968">
      <c r="E968" s="7"/>
    </row>
    <row r="969">
      <c r="E969" s="7"/>
    </row>
    <row r="970">
      <c r="E970" s="7"/>
    </row>
    <row r="971">
      <c r="E971" s="7"/>
    </row>
    <row r="972">
      <c r="E972" s="7"/>
    </row>
    <row r="973">
      <c r="E973" s="7"/>
    </row>
    <row r="974">
      <c r="E974" s="7"/>
    </row>
    <row r="975">
      <c r="E975" s="7"/>
    </row>
    <row r="976">
      <c r="E976" s="7"/>
    </row>
    <row r="977">
      <c r="E977" s="7"/>
    </row>
    <row r="978">
      <c r="E978" s="7"/>
    </row>
    <row r="979">
      <c r="E979" s="7"/>
    </row>
    <row r="980">
      <c r="E980" s="7"/>
    </row>
    <row r="981">
      <c r="E981" s="7"/>
    </row>
    <row r="982">
      <c r="E982" s="7"/>
    </row>
    <row r="983">
      <c r="E983" s="7"/>
    </row>
    <row r="984">
      <c r="E984" s="7"/>
    </row>
    <row r="985">
      <c r="E985" s="7"/>
    </row>
    <row r="986">
      <c r="E986" s="7"/>
    </row>
    <row r="987">
      <c r="E987" s="7"/>
    </row>
    <row r="988">
      <c r="E988" s="7"/>
    </row>
    <row r="989">
      <c r="E989" s="7"/>
    </row>
    <row r="990">
      <c r="E990" s="7"/>
    </row>
    <row r="991">
      <c r="E991" s="7"/>
    </row>
    <row r="992">
      <c r="E992" s="7"/>
    </row>
    <row r="993">
      <c r="E993" s="7"/>
    </row>
    <row r="994">
      <c r="E994" s="7"/>
    </row>
    <row r="995">
      <c r="E995" s="7"/>
    </row>
    <row r="996">
      <c r="E996" s="7"/>
    </row>
    <row r="997">
      <c r="E997" s="7"/>
    </row>
    <row r="998">
      <c r="E998" s="7"/>
    </row>
    <row r="999">
      <c r="E999" s="7"/>
    </row>
    <row r="1000">
      <c r="E1000" s="7"/>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0</v>
      </c>
      <c r="B1" s="1" t="s">
        <v>2</v>
      </c>
      <c r="C1" s="1" t="s">
        <v>3</v>
      </c>
      <c r="D1" s="1" t="s">
        <v>1</v>
      </c>
      <c r="E1" s="2" t="s">
        <v>4</v>
      </c>
      <c r="F1" s="1" t="s">
        <v>6</v>
      </c>
      <c r="G1" s="1" t="s">
        <v>7</v>
      </c>
      <c r="I1" s="1" t="s">
        <v>9</v>
      </c>
      <c r="K1" s="1" t="s">
        <v>3</v>
      </c>
      <c r="L1" s="1" t="s">
        <v>11</v>
      </c>
      <c r="M1" s="1" t="s">
        <v>13</v>
      </c>
      <c r="N1" s="1" t="s">
        <v>14</v>
      </c>
      <c r="O1" s="1" t="s">
        <v>15</v>
      </c>
      <c r="P1" s="1" t="s">
        <v>16</v>
      </c>
      <c r="Q1" s="1" t="s">
        <v>17</v>
      </c>
    </row>
    <row r="2">
      <c r="A2" s="1" t="s">
        <v>18</v>
      </c>
      <c r="B2" s="1">
        <v>24.0</v>
      </c>
      <c r="C2" s="1" t="str">
        <f t="array" ref="C2">IF(NOT(ISBLANK($A2)), (_xlfn.XLOOKUP($A2,Index!$B$2:$B$995,Index!$C$2:$C$995,"Not Found")),"")</f>
        <v>Energy</v>
      </c>
      <c r="D2" s="1" t="str">
        <f t="array" ref="D2">IF(NOT(ISBLANK(A2)), (_xlfn.XLOOKUP($A2,Index!$B$2:B$995,Index!$A$2:$A$995,"Not Found")),"")</f>
        <v>base1-97</v>
      </c>
      <c r="E2" s="2" t="str">
        <f t="array" ref="E2">IF(NOT(ISBLANK($A2)), (_xlfn.XLOOKUP($A2,Index!$B$2:$B$995,Index!$D$2:$D$995,"Not Found")),"")</f>
        <v/>
      </c>
      <c r="F2" s="1" t="str">
        <f t="array" ref="F2">IF(NOT(ISBLANK($A2)), (_xlfn.XLOOKUP($A2,Index!$B$2:$B$995,Index!$E$2:$E$995,"Not Found")),"")</f>
        <v/>
      </c>
      <c r="G2" s="1">
        <f t="array" ref="G2">IF(NOT(ISBLANK(A2)), ((_xlfn.XLOOKUP(A2,Index!$B$2:$B$995,Index!$F$2:$F$995,"Not Found"))*B2),"")</f>
        <v>0</v>
      </c>
      <c r="I2" s="6">
        <f>SUM(B2:B38)</f>
        <v>60</v>
      </c>
      <c r="K2" s="1" t="s">
        <v>123</v>
      </c>
      <c r="L2" s="6">
        <f t="shared" ref="L2:L6" si="1">IF(NOT(ISBLANK(K2)), SUM(M2:P2), "")</f>
        <v>18</v>
      </c>
      <c r="M2" s="1">
        <f t="shared" ref="M2:M5" si="2">IF(NOT(ISBLANK($K2)), SUMIFS($B$2:$B$32, $E$2:$E$32, "B", $C$2:$C$32,$K2), "")</f>
        <v>12</v>
      </c>
      <c r="N2" s="1">
        <f t="shared" ref="N2:N5" si="3">IF(NOT(ISBLANK($K2)),SUMIFS($B$2:$B$32,$E$2:$E$32, "1", $C$2:$C$32,$K2,$F$2:$F$32,"N"), "")</f>
        <v>6</v>
      </c>
      <c r="O2" s="1">
        <f t="shared" ref="O2:O5" si="4">IF(NOT(ISBLANK($K2)),SUMIFS($B$2:$B$32,$E$2:$E$32, "1", $C$2:$C$32,$K2,$F$2:$F$32,"Y"), "")</f>
        <v>0</v>
      </c>
      <c r="P2" s="1">
        <f t="shared" ref="P2:P5" si="5">IF(NOT(ISBLANK($K2)),SUMIFS($B$2:$B$32,$E$2:$E$32, "2", $C$2:$C$32,$K2), "")</f>
        <v>0</v>
      </c>
      <c r="Q2" s="1">
        <f t="shared" ref="Q2:Q5" si="6">IF(NOT(ISBLANK($K2)),SUMIFS($B$2:$B$32,$E$2:$E$32, "B", $C$2:$C$32,$K2,$F$2:$F$32,"N"), "")</f>
        <v>6</v>
      </c>
    </row>
    <row r="3">
      <c r="A3" s="1" t="s">
        <v>323</v>
      </c>
      <c r="B3" s="1">
        <v>2.0</v>
      </c>
      <c r="C3" s="1" t="str">
        <f t="array" ref="C3">IF(NOT(ISBLANK($A3)), (_xlfn.XLOOKUP($A3,Index!$B$2:$B$995,Index!$C$2:$C$995,"Not Found")),"")</f>
        <v>F</v>
      </c>
      <c r="D3" s="1" t="str">
        <f t="array" ref="D3">IF(NOT(ISBLANK(A3)), (_xlfn.XLOOKUP($A3,Index!$B$2:B$995,Index!$A$2:$A$995,"Not Found")),"")</f>
        <v>base3-7</v>
      </c>
      <c r="E3" s="2" t="str">
        <f t="array" ref="E3">IF(NOT(ISBLANK($A3)), (_xlfn.XLOOKUP($A3,Index!$B$2:$B$995,Index!$D$2:$D$995,"Not Found")),"")</f>
        <v>b</v>
      </c>
      <c r="F3" s="1" t="str">
        <f t="array" ref="F3">IF(NOT(ISBLANK($A3)), (_xlfn.XLOOKUP($A3,Index!$B$2:$B$995,Index!$E$2:$E$995,"Not Found")),"")</f>
        <v>n</v>
      </c>
      <c r="G3" s="1">
        <f t="array" ref="G3">IF(NOT(ISBLANK(A3)), ((_xlfn.XLOOKUP(A3,Index!$B$2:$B$995,Index!$F$2:$F$995,"Not Found"))*B3),"")</f>
        <v>2</v>
      </c>
      <c r="K3" s="1" t="s">
        <v>26</v>
      </c>
      <c r="L3" s="6">
        <f t="shared" si="1"/>
        <v>1</v>
      </c>
      <c r="M3" s="1">
        <f t="shared" si="2"/>
        <v>1</v>
      </c>
      <c r="N3" s="1">
        <f t="shared" si="3"/>
        <v>0</v>
      </c>
      <c r="O3" s="1">
        <f t="shared" si="4"/>
        <v>0</v>
      </c>
      <c r="P3" s="1">
        <f t="shared" si="5"/>
        <v>0</v>
      </c>
      <c r="Q3" s="1">
        <f t="shared" si="6"/>
        <v>1</v>
      </c>
    </row>
    <row r="4">
      <c r="A4" s="1" t="s">
        <v>320</v>
      </c>
      <c r="B4" s="1">
        <v>2.0</v>
      </c>
      <c r="C4" s="1" t="str">
        <f t="array" ref="C4">IF(NOT(ISBLANK($A4)), (_xlfn.XLOOKUP($A4,Index!$B$2:$B$995,Index!$C$2:$C$995,"Not Found")),"")</f>
        <v>F</v>
      </c>
      <c r="D4" s="1" t="str">
        <f t="array" ref="D4">IF(NOT(ISBLANK(A4)), (_xlfn.XLOOKUP($A4,Index!$B$2:B$995,Index!$A$2:$A$995,"Not Found")),"")</f>
        <v>base1-7</v>
      </c>
      <c r="E4" s="2" t="str">
        <f t="array" ref="E4">IF(NOT(ISBLANK($A4)), (_xlfn.XLOOKUP($A4,Index!$B$2:$B$995,Index!$D$2:$D$995,"Not Found")),"")</f>
        <v>b</v>
      </c>
      <c r="F4" s="1" t="str">
        <f t="array" ref="F4">IF(NOT(ISBLANK($A4)), (_xlfn.XLOOKUP($A4,Index!$B$2:$B$995,Index!$E$2:$E$995,"Not Found")),"")</f>
        <v>n</v>
      </c>
      <c r="G4" s="1">
        <f t="array" ref="G4">IF(NOT(ISBLANK(A4)), ((_xlfn.XLOOKUP(A4,Index!$B$2:$B$995,Index!$F$2:$F$995,"Not Found"))*B4),"")</f>
        <v>1</v>
      </c>
      <c r="L4" s="6" t="str">
        <f t="shared" si="1"/>
        <v/>
      </c>
      <c r="M4" s="1" t="str">
        <f t="shared" si="2"/>
        <v/>
      </c>
      <c r="N4" s="1" t="str">
        <f t="shared" si="3"/>
        <v/>
      </c>
      <c r="O4" s="1" t="str">
        <f t="shared" si="4"/>
        <v/>
      </c>
      <c r="P4" s="1" t="str">
        <f t="shared" si="5"/>
        <v/>
      </c>
      <c r="Q4" s="1" t="str">
        <f t="shared" si="6"/>
        <v/>
      </c>
    </row>
    <row r="5">
      <c r="A5" s="1" t="s">
        <v>585</v>
      </c>
      <c r="B5" s="1">
        <v>3.0</v>
      </c>
      <c r="C5" s="1" t="str">
        <f t="array" ref="C5">IF(NOT(ISBLANK($A5)), (_xlfn.XLOOKUP($A5,Index!$B$2:$B$995,Index!$C$2:$C$995,"Not Found")),"")</f>
        <v>T</v>
      </c>
      <c r="D5" s="1" t="str">
        <f t="array" ref="D5">IF(NOT(ISBLANK(A5)), (_xlfn.XLOOKUP($A5,Index!$B$2:B$995,Index!$A$2:$A$995,"Not Found")),"")</f>
        <v>base3-62</v>
      </c>
      <c r="E5" s="2" t="str">
        <f t="array" ref="E5">IF(NOT(ISBLANK($A5)), (_xlfn.XLOOKUP($A5,Index!$B$2:$B$995,Index!$D$2:$D$995,"Not Found")),"")</f>
        <v>c</v>
      </c>
      <c r="F5" s="1" t="str">
        <f t="array" ref="F5">IF(NOT(ISBLANK($A5)), (_xlfn.XLOOKUP($A5,Index!$B$2:$B$995,Index!$E$2:$E$995,"Not Found")),"")</f>
        <v/>
      </c>
      <c r="G5" s="1" t="str">
        <f t="array" ref="G5">IF(NOT(ISBLANK(A5)), ((_xlfn.XLOOKUP(A5,Index!$B$2:$B$995,Index!$F$2:$F$995,"Not Found"))*B5),"")</f>
        <v>#VALUE!</v>
      </c>
      <c r="L5" s="6" t="str">
        <f t="shared" si="1"/>
        <v/>
      </c>
      <c r="M5" s="1" t="str">
        <f t="shared" si="2"/>
        <v/>
      </c>
      <c r="N5" s="1" t="str">
        <f t="shared" si="3"/>
        <v/>
      </c>
      <c r="O5" s="1" t="str">
        <f t="shared" si="4"/>
        <v/>
      </c>
      <c r="P5" s="1" t="str">
        <f t="shared" si="5"/>
        <v/>
      </c>
      <c r="Q5" s="1" t="str">
        <f t="shared" si="6"/>
        <v/>
      </c>
    </row>
    <row r="6">
      <c r="A6" s="1" t="s">
        <v>301</v>
      </c>
      <c r="B6" s="1">
        <v>2.0</v>
      </c>
      <c r="C6" s="1" t="str">
        <f t="array" ref="C6">IF(NOT(ISBLANK($A6)), (_xlfn.XLOOKUP($A6,Index!$B$2:$B$995,Index!$C$2:$C$995,"Not Found")),"")</f>
        <v>F</v>
      </c>
      <c r="D6" s="1" t="str">
        <f t="array" ref="D6">IF(NOT(ISBLANK(A6)), (_xlfn.XLOOKUP($A6,Index!$B$2:B$995,Index!$A$2:$A$995,"Not Found")),"")</f>
        <v>base3-1</v>
      </c>
      <c r="E6" s="2">
        <f t="array" ref="E6">IF(NOT(ISBLANK($A6)), (_xlfn.XLOOKUP($A6,Index!$B$2:$B$995,Index!$D$2:$D$995,"Not Found")),"")</f>
        <v>1</v>
      </c>
      <c r="F6" s="1" t="str">
        <f t="array" ref="F6">IF(NOT(ISBLANK($A6)), (_xlfn.XLOOKUP($A6,Index!$B$2:$B$995,Index!$E$2:$E$995,"Not Found")),"")</f>
        <v>n</v>
      </c>
      <c r="G6" s="1">
        <f t="array" ref="G6">IF(NOT(ISBLANK(A6)), ((_xlfn.XLOOKUP(A6,Index!$B$2:$B$995,Index!$F$2:$F$995,"Not Found"))*B6),"")</f>
        <v>6</v>
      </c>
      <c r="L6" s="6"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346</v>
      </c>
      <c r="B7" s="1">
        <v>2.0</v>
      </c>
      <c r="C7" s="1" t="str">
        <f t="array" ref="C7">IF(NOT(ISBLANK($A7)), (_xlfn.XLOOKUP($A7,Index!$B$2:$B$995,Index!$C$2:$C$995,"Not Found")),"")</f>
        <v>F</v>
      </c>
      <c r="D7" s="1" t="str">
        <f t="array" ref="D7">IF(NOT(ISBLANK(A7)), (_xlfn.XLOOKUP($A7,Index!$B$2:B$995,Index!$A$2:$A$995,"Not Found")),"")</f>
        <v>base1-56</v>
      </c>
      <c r="E7" s="2" t="str">
        <f t="array" ref="E7">IF(NOT(ISBLANK($A7)), (_xlfn.XLOOKUP($A7,Index!$B$2:$B$995,Index!$D$2:$D$995,"Not Found")),"")</f>
        <v>b</v>
      </c>
      <c r="F7" s="1" t="str">
        <f t="array" ref="F7">IF(NOT(ISBLANK($A7)), (_xlfn.XLOOKUP($A7,Index!$B$2:$B$995,Index!$E$2:$E$995,"Not Found")),"")</f>
        <v>n</v>
      </c>
      <c r="G7" s="1">
        <f t="array" ref="G7">IF(NOT(ISBLANK(A7)), ((_xlfn.XLOOKUP(A7,Index!$B$2:$B$995,Index!$F$2:$F$995,"Not Found"))*B7),"")</f>
        <v>0</v>
      </c>
      <c r="K7" s="1" t="s">
        <v>724</v>
      </c>
      <c r="L7" s="6">
        <f t="shared" ref="L7:Q7" si="7">SUM(L2:L6)</f>
        <v>19</v>
      </c>
      <c r="M7" s="6">
        <f t="shared" si="7"/>
        <v>13</v>
      </c>
      <c r="N7" s="6">
        <f t="shared" si="7"/>
        <v>6</v>
      </c>
      <c r="O7" s="6">
        <f t="shared" si="7"/>
        <v>0</v>
      </c>
      <c r="P7" s="6">
        <f t="shared" si="7"/>
        <v>0</v>
      </c>
      <c r="Q7" s="6">
        <f t="shared" si="7"/>
        <v>7</v>
      </c>
    </row>
    <row r="8">
      <c r="A8" s="1" t="s">
        <v>352</v>
      </c>
      <c r="B8" s="1">
        <v>3.0</v>
      </c>
      <c r="C8" s="1" t="str">
        <f t="array" ref="C8">IF(NOT(ISBLANK($A8)), (_xlfn.XLOOKUP($A8,Index!$B$2:$B$995,Index!$C$2:$C$995,"Not Found")),"")</f>
        <v>F</v>
      </c>
      <c r="D8" s="1" t="str">
        <f t="array" ref="D8">IF(NOT(ISBLANK(A8)), (_xlfn.XLOOKUP($A8,Index!$B$2:B$995,Index!$A$2:$A$995,"Not Found")),"")</f>
        <v>base2-61</v>
      </c>
      <c r="E8" s="2" t="str">
        <f t="array" ref="E8">IF(NOT(ISBLANK($A8)), (_xlfn.XLOOKUP($A8,Index!$B$2:$B$995,Index!$D$2:$D$995,"Not Found")),"")</f>
        <v>b</v>
      </c>
      <c r="F8" s="1" t="str">
        <f t="array" ref="F8">IF(NOT(ISBLANK($A8)), (_xlfn.XLOOKUP($A8,Index!$B$2:$B$995,Index!$E$2:$E$995,"Not Found")),"")</f>
        <v>y</v>
      </c>
      <c r="G8" s="1">
        <f t="array" ref="G8">IF(NOT(ISBLANK(A8)), ((_xlfn.XLOOKUP(A8,Index!$B$2:$B$995,Index!$F$2:$F$995,"Not Found"))*B8),"")</f>
        <v>0</v>
      </c>
    </row>
    <row r="9">
      <c r="A9" s="1" t="s">
        <v>350</v>
      </c>
      <c r="B9" s="1">
        <v>2.0</v>
      </c>
      <c r="C9" s="1" t="str">
        <f t="array" ref="C9">IF(NOT(ISBLANK($A9)), (_xlfn.XLOOKUP($A9,Index!$B$2:$B$995,Index!$C$2:$C$995,"Not Found")),"")</f>
        <v>F</v>
      </c>
      <c r="D9" s="1" t="str">
        <f t="array" ref="D9">IF(NOT(ISBLANK(A9)), (_xlfn.XLOOKUP($A9,Index!$B$2:B$995,Index!$A$2:$A$995,"Not Found")),"")</f>
        <v>base2-45</v>
      </c>
      <c r="E9" s="2">
        <f t="array" ref="E9">IF(NOT(ISBLANK($A9)), (_xlfn.XLOOKUP($A9,Index!$B$2:$B$995,Index!$D$2:$D$995,"Not Found")),"")</f>
        <v>1</v>
      </c>
      <c r="F9" s="1" t="str">
        <f t="array" ref="F9">IF(NOT(ISBLANK($A9)), (_xlfn.XLOOKUP($A9,Index!$B$2:$B$995,Index!$E$2:$E$995,"Not Found")),"")</f>
        <v>n</v>
      </c>
      <c r="G9" s="1">
        <f t="array" ref="G9">IF(NOT(ISBLANK(A9)), ((_xlfn.XLOOKUP(A9,Index!$B$2:$B$995,Index!$F$2:$F$995,"Not Found"))*B9),"")</f>
        <v>4</v>
      </c>
      <c r="M9" s="1" t="s">
        <v>725</v>
      </c>
      <c r="N9" s="1" t="s">
        <v>726</v>
      </c>
      <c r="O9" s="1" t="s">
        <v>727</v>
      </c>
    </row>
    <row r="10">
      <c r="A10" s="1" t="s">
        <v>309</v>
      </c>
      <c r="B10" s="1">
        <v>3.0</v>
      </c>
      <c r="C10" s="1" t="str">
        <f t="array" ref="C10">IF(NOT(ISBLANK($A10)), (_xlfn.XLOOKUP($A10,Index!$B$2:$B$995,Index!$C$2:$C$995,"Not Found")),"")</f>
        <v>F</v>
      </c>
      <c r="D10" s="1" t="str">
        <f t="array" ref="D10">IF(NOT(ISBLANK(A10)), (_xlfn.XLOOKUP($A10,Index!$B$2:B$995,Index!$A$2:$A$995,"Not Found")),"")</f>
        <v>base1-47</v>
      </c>
      <c r="E10" s="2" t="str">
        <f t="array" ref="E10">IF(NOT(ISBLANK($A10)), (_xlfn.XLOOKUP($A10,Index!$B$2:$B$995,Index!$D$2:$D$995,"Not Found")),"")</f>
        <v>b</v>
      </c>
      <c r="F10" s="1" t="str">
        <f t="array" ref="F10">IF(NOT(ISBLANK($A10)), (_xlfn.XLOOKUP($A10,Index!$B$2:$B$995,Index!$E$2:$E$995,"Not Found")),"")</f>
        <v>y</v>
      </c>
      <c r="G10" s="1">
        <f t="array" ref="G10">IF(NOT(ISBLANK(A10)), ((_xlfn.XLOOKUP(A10,Index!$B$2:$B$995,Index!$F$2:$F$995,"Not Found"))*B10),"")</f>
        <v>0</v>
      </c>
      <c r="K10" s="1" t="s">
        <v>728</v>
      </c>
      <c r="L10" s="6">
        <f>SUM(M10:P10)</f>
        <v>17</v>
      </c>
      <c r="M10" s="6">
        <f>IF(NOT(ISBLANK($K10)), SUMIFS($B$2:$B$32,$E$2:$E$32, "C", $C$2:$C$32,"T"), "")</f>
        <v>10</v>
      </c>
      <c r="N10" s="6">
        <f>IF(NOT(ISBLANK($K10)), SUMIFS($B$2:$B$32,$E$2:$E$32, "U", $C$2:$C$32,"T"), "")</f>
        <v>5</v>
      </c>
      <c r="O10" s="6">
        <f>IF(NOT(ISBLANK($K$2)), SUMIFS($B$2:$B$32,$E$2:$E$32, "R", $C$2:$C$32,"T"), "")</f>
        <v>2</v>
      </c>
    </row>
    <row r="11">
      <c r="A11" s="1" t="s">
        <v>311</v>
      </c>
      <c r="B11" s="1">
        <v>2.0</v>
      </c>
      <c r="C11" s="1" t="str">
        <f t="array" ref="C11">IF(NOT(ISBLANK($A11)), (_xlfn.XLOOKUP($A11,Index!$B$2:$B$995,Index!$C$2:$C$995,"Not Found")),"")</f>
        <v>F</v>
      </c>
      <c r="D11" s="1" t="str">
        <f t="array" ref="D11">IF(NOT(ISBLANK(A11)), (_xlfn.XLOOKUP($A11,Index!$B$2:B$995,Index!$A$2:$A$995,"Not Found")),"")</f>
        <v>base1-19</v>
      </c>
      <c r="E11" s="2">
        <f t="array" ref="E11">IF(NOT(ISBLANK($A11)), (_xlfn.XLOOKUP($A11,Index!$B$2:$B$995,Index!$D$2:$D$995,"Not Found")),"")</f>
        <v>1</v>
      </c>
      <c r="F11" s="1" t="str">
        <f t="array" ref="F11">IF(NOT(ISBLANK($A11)), (_xlfn.XLOOKUP($A11,Index!$B$2:$B$995,Index!$E$2:$E$995,"Not Found")),"")</f>
        <v>n</v>
      </c>
      <c r="G11" s="1">
        <f t="array" ref="G11">IF(NOT(ISBLANK(A11)), ((_xlfn.XLOOKUP(A11,Index!$B$2:$B$995,Index!$F$2:$F$995,"Not Found"))*B11),"")</f>
        <v>4</v>
      </c>
      <c r="K11" s="1" t="s">
        <v>289</v>
      </c>
      <c r="L11" s="1">
        <f>IF(NOT(ISBLANK($K$2)), SUMIFS($B$2:$B$32, $C$2:$C$32,"Energy"), "")</f>
        <v>24</v>
      </c>
    </row>
    <row r="12">
      <c r="A12" s="1" t="s">
        <v>121</v>
      </c>
      <c r="B12" s="1">
        <v>1.0</v>
      </c>
      <c r="C12" s="1" t="str">
        <f t="array" ref="C12">IF(NOT(ISBLANK($A12)), (_xlfn.XLOOKUP($A12,Index!$B$2:$B$995,Index!$C$2:$C$995,"Not Found")),"")</f>
        <v>C</v>
      </c>
      <c r="D12" s="1" t="str">
        <f t="array" ref="D12">IF(NOT(ISBLANK(A12)), (_xlfn.XLOOKUP($A12,Index!$B$2:B$995,Index!$A$2:$A$995,"Not Found")),"")</f>
        <v>base2-38</v>
      </c>
      <c r="E12" s="2" t="str">
        <f t="array" ref="E12">IF(NOT(ISBLANK($A12)), (_xlfn.XLOOKUP($A12,Index!$B$2:$B$995,Index!$D$2:$D$995,"Not Found")),"")</f>
        <v>b</v>
      </c>
      <c r="F12" s="1" t="str">
        <f t="array" ref="F12">IF(NOT(ISBLANK($A12)), (_xlfn.XLOOKUP($A12,Index!$B$2:$B$995,Index!$E$2:$E$995,"Not Found")),"")</f>
        <v>n</v>
      </c>
      <c r="G12" s="1">
        <f t="array" ref="G12">IF(NOT(ISBLANK(A12)), ((_xlfn.XLOOKUP(A12,Index!$B$2:$B$995,Index!$F$2:$F$995,"Not Found"))*B12),"")</f>
        <v>0.5</v>
      </c>
      <c r="K12" s="1" t="s">
        <v>729</v>
      </c>
      <c r="L12" s="6">
        <f>L7</f>
        <v>19</v>
      </c>
    </row>
    <row r="13">
      <c r="A13" s="1" t="s">
        <v>570</v>
      </c>
      <c r="B13" s="1">
        <v>3.0</v>
      </c>
      <c r="C13" s="1" t="str">
        <f t="array" ref="C13">IF(NOT(ISBLANK($A13)), (_xlfn.XLOOKUP($A13,Index!$B$2:$B$995,Index!$C$2:$C$995,"Not Found")),"")</f>
        <v>T</v>
      </c>
      <c r="D13" s="1" t="str">
        <f t="array" ref="D13">IF(NOT(ISBLANK(A13)), (_xlfn.XLOOKUP($A13,Index!$B$2:B$995,Index!$A$2:$A$995,"Not Found")),"")</f>
        <v>base1-91</v>
      </c>
      <c r="E13" s="2" t="str">
        <f t="array" ref="E13">IF(NOT(ISBLANK($A13)), (_xlfn.XLOOKUP($A13,Index!$B$2:$B$995,Index!$D$2:$D$995,"Not Found")),"")</f>
        <v>c</v>
      </c>
      <c r="F13" s="1" t="str">
        <f t="array" ref="F13">IF(NOT(ISBLANK($A13)), (_xlfn.XLOOKUP($A13,Index!$B$2:$B$995,Index!$E$2:$E$995,"Not Found")),"")</f>
        <v/>
      </c>
      <c r="G13" s="1" t="str">
        <f t="array" ref="G13">IF(NOT(ISBLANK(A13)), ((_xlfn.XLOOKUP(A13,Index!$B$2:$B$995,Index!$F$2:$F$995,"Not Found"))*B13),"")</f>
        <v>#VALUE!</v>
      </c>
    </row>
    <row r="14">
      <c r="A14" s="1" t="s">
        <v>638</v>
      </c>
      <c r="B14" s="1">
        <v>2.0</v>
      </c>
      <c r="C14" s="1" t="str">
        <f t="array" ref="C14">IF(NOT(ISBLANK($A14)), (_xlfn.XLOOKUP($A14,Index!$B$2:$B$995,Index!$C$2:$C$995,"Not Found")),"")</f>
        <v>T</v>
      </c>
      <c r="D14" s="1" t="str">
        <f t="array" ref="D14">IF(NOT(ISBLANK(A14)), (_xlfn.XLOOKUP($A14,Index!$B$2:B$995,Index!$A$2:$A$995,"Not Found")),"")</f>
        <v>base1-88</v>
      </c>
      <c r="E14" s="2" t="str">
        <f t="array" ref="E14">IF(NOT(ISBLANK($A14)), (_xlfn.XLOOKUP($A14,Index!$B$2:$B$995,Index!$D$2:$D$995,"Not Found")),"")</f>
        <v>u</v>
      </c>
      <c r="F14" s="1" t="str">
        <f t="array" ref="F14">IF(NOT(ISBLANK($A14)), (_xlfn.XLOOKUP($A14,Index!$B$2:$B$995,Index!$E$2:$E$995,"Not Found")),"")</f>
        <v/>
      </c>
      <c r="G14" s="1" t="str">
        <f t="array" ref="G14">IF(NOT(ISBLANK(A14)), ((_xlfn.XLOOKUP(A14,Index!$B$2:$B$995,Index!$F$2:$F$995,"Not Found"))*B14),"")</f>
        <v>#VALUE!</v>
      </c>
    </row>
    <row r="15">
      <c r="A15" s="1" t="s">
        <v>593</v>
      </c>
      <c r="B15" s="1">
        <v>1.0</v>
      </c>
      <c r="C15" s="1" t="str">
        <f t="array" ref="C15">IF(NOT(ISBLANK($A15)), (_xlfn.XLOOKUP($A15,Index!$B$2:$B$995,Index!$C$2:$C$995,"Not Found")),"")</f>
        <v>T</v>
      </c>
      <c r="D15" s="1" t="str">
        <f t="array" ref="D15">IF(NOT(ISBLANK(A15)), (_xlfn.XLOOKUP($A15,Index!$B$2:B$995,Index!$A$2:$A$995,"Not Found")),"")</f>
        <v>base1-95</v>
      </c>
      <c r="E15" s="2" t="str">
        <f t="array" ref="E15">IF(NOT(ISBLANK($A15)), (_xlfn.XLOOKUP($A15,Index!$B$2:$B$995,Index!$D$2:$D$995,"Not Found")),"")</f>
        <v>c</v>
      </c>
      <c r="F15" s="1" t="str">
        <f t="array" ref="F15">IF(NOT(ISBLANK($A15)), (_xlfn.XLOOKUP($A15,Index!$B$2:$B$995,Index!$E$2:$E$995,"Not Found")),"")</f>
        <v/>
      </c>
      <c r="G15" s="1" t="str">
        <f t="array" ref="G15">IF(NOT(ISBLANK(A15)), ((_xlfn.XLOOKUP(A15,Index!$B$2:$B$995,Index!$F$2:$F$995,"Not Found"))*B15),"")</f>
        <v>#VALUE!</v>
      </c>
      <c r="K15" s="1" t="s">
        <v>730</v>
      </c>
    </row>
    <row r="16">
      <c r="A16" s="1" t="s">
        <v>582</v>
      </c>
      <c r="B16" s="1">
        <v>2.0</v>
      </c>
      <c r="C16" s="1" t="str">
        <f t="array" ref="C16">IF(NOT(ISBLANK($A16)), (_xlfn.XLOOKUP($A16,Index!$B$2:$B$995,Index!$C$2:$C$995,"Not Found")),"")</f>
        <v>T</v>
      </c>
      <c r="D16" s="1" t="str">
        <f t="array" ref="D16">IF(NOT(ISBLANK(A16)), (_xlfn.XLOOKUP($A16,Index!$B$2:B$995,Index!$A$2:$A$995,"Not Found")),"")</f>
        <v>base1-93</v>
      </c>
      <c r="E16" s="2" t="str">
        <f t="array" ref="E16">IF(NOT(ISBLANK($A16)), (_xlfn.XLOOKUP($A16,Index!$B$2:$B$995,Index!$D$2:$D$995,"Not Found")),"")</f>
        <v>c</v>
      </c>
      <c r="F16" s="1" t="str">
        <f t="array" ref="F16">IF(NOT(ISBLANK($A16)), (_xlfn.XLOOKUP($A16,Index!$B$2:$B$995,Index!$E$2:$E$995,"Not Found")),"")</f>
        <v/>
      </c>
      <c r="G16" s="1" t="str">
        <f t="array" ref="G16">IF(NOT(ISBLANK(A16)), ((_xlfn.XLOOKUP(A16,Index!$B$2:$B$995,Index!$F$2:$F$995,"Not Found"))*B16),"")</f>
        <v>#VALUE!</v>
      </c>
      <c r="K16" s="6" t="str">
        <f t="shared" ref="K16:K20" si="8">K2</f>
        <v>F</v>
      </c>
      <c r="L16" s="1">
        <f t="shared" ref="L16:L19" si="9">IF(NOT(ISBLANK($K2)), SUMIFS($G$2:$G$32, $C$2:$C$32,$K2), "")</f>
        <v>17</v>
      </c>
    </row>
    <row r="17">
      <c r="A17" s="1" t="s">
        <v>589</v>
      </c>
      <c r="B17" s="1">
        <v>1.0</v>
      </c>
      <c r="C17" s="1" t="str">
        <f t="array" ref="C17">IF(NOT(ISBLANK($A17)), (_xlfn.XLOOKUP($A17,Index!$B$2:$B$995,Index!$C$2:$C$995,"Not Found")),"")</f>
        <v>T</v>
      </c>
      <c r="D17" s="1" t="str">
        <f t="array" ref="D17">IF(NOT(ISBLANK(A17)), (_xlfn.XLOOKUP($A17,Index!$B$2:B$995,Index!$A$2:$A$995,"Not Found")),"")</f>
        <v>base1-94</v>
      </c>
      <c r="E17" s="2" t="str">
        <f t="array" ref="E17">IF(NOT(ISBLANK($A17)), (_xlfn.XLOOKUP($A17,Index!$B$2:$B$995,Index!$D$2:$D$995,"Not Found")),"")</f>
        <v>c</v>
      </c>
      <c r="F17" s="1" t="str">
        <f t="array" ref="F17">IF(NOT(ISBLANK($A17)), (_xlfn.XLOOKUP($A17,Index!$B$2:$B$995,Index!$E$2:$E$995,"Not Found")),"")</f>
        <v/>
      </c>
      <c r="G17" s="1" t="str">
        <f t="array" ref="G17">IF(NOT(ISBLANK(A17)), ((_xlfn.XLOOKUP(A17,Index!$B$2:$B$995,Index!$F$2:$F$995,"Not Found"))*B17),"")</f>
        <v>#VALUE!</v>
      </c>
      <c r="K17" s="6" t="str">
        <f t="shared" si="8"/>
        <v>C</v>
      </c>
      <c r="L17" s="1">
        <f t="shared" si="9"/>
        <v>0.5</v>
      </c>
    </row>
    <row r="18">
      <c r="A18" s="1" t="s">
        <v>614</v>
      </c>
      <c r="B18" s="1">
        <v>1.0</v>
      </c>
      <c r="C18" s="1" t="str">
        <f t="array" ref="C18">IF(NOT(ISBLANK($A18)), (_xlfn.XLOOKUP($A18,Index!$B$2:$B$995,Index!$C$2:$C$995,"Not Found")),"")</f>
        <v>T</v>
      </c>
      <c r="D18" s="1" t="str">
        <f t="array" ref="D18">IF(NOT(ISBLANK(A18)), (_xlfn.XLOOKUP($A18,Index!$B$2:B$995,Index!$A$2:$A$995,"Not Found")),"")</f>
        <v>base1-78</v>
      </c>
      <c r="E18" s="2" t="str">
        <f t="array" ref="E18">IF(NOT(ISBLANK($A18)), (_xlfn.XLOOKUP($A18,Index!$B$2:$B$995,Index!$D$2:$D$995,"Not Found")),"")</f>
        <v>r</v>
      </c>
      <c r="F18" s="1" t="str">
        <f t="array" ref="F18">IF(NOT(ISBLANK($A18)), (_xlfn.XLOOKUP($A18,Index!$B$2:$B$995,Index!$E$2:$E$995,"Not Found")),"")</f>
        <v/>
      </c>
      <c r="G18" s="1" t="str">
        <f t="array" ref="G18">IF(NOT(ISBLANK(A18)), ((_xlfn.XLOOKUP(A18,Index!$B$2:$B$995,Index!$F$2:$F$995,"Not Found"))*B18),"")</f>
        <v>#VALUE!</v>
      </c>
      <c r="K18" s="6" t="str">
        <f t="shared" si="8"/>
        <v/>
      </c>
      <c r="L18" s="1" t="str">
        <f t="shared" si="9"/>
        <v/>
      </c>
    </row>
    <row r="19">
      <c r="A19" s="1" t="s">
        <v>612</v>
      </c>
      <c r="B19" s="1">
        <v>1.0</v>
      </c>
      <c r="C19" s="1" t="str">
        <f t="array" ref="C19">IF(NOT(ISBLANK($A19)), (_xlfn.XLOOKUP($A19,Index!$B$2:$B$995,Index!$C$2:$C$995,"Not Found")),"")</f>
        <v>T</v>
      </c>
      <c r="D19" s="1" t="str">
        <f t="array" ref="D19">IF(NOT(ISBLANK(A19)), (_xlfn.XLOOKUP($A19,Index!$B$2:B$995,Index!$A$2:$A$995,"Not Found")),"")</f>
        <v>base1-77</v>
      </c>
      <c r="E19" s="2" t="str">
        <f t="array" ref="E19">IF(NOT(ISBLANK($A19)), (_xlfn.XLOOKUP($A19,Index!$B$2:$B$995,Index!$D$2:$D$995,"Not Found")),"")</f>
        <v>r</v>
      </c>
      <c r="F19" s="1" t="str">
        <f t="array" ref="F19">IF(NOT(ISBLANK($A19)), (_xlfn.XLOOKUP($A19,Index!$B$2:$B$995,Index!$E$2:$E$995,"Not Found")),"")</f>
        <v/>
      </c>
      <c r="G19" s="1" t="str">
        <f t="array" ref="G19">IF(NOT(ISBLANK(A19)), ((_xlfn.XLOOKUP(A19,Index!$B$2:$B$995,Index!$F$2:$F$995,"Not Found"))*B19),"")</f>
        <v>#VALUE!</v>
      </c>
      <c r="K19" s="6" t="str">
        <f t="shared" si="8"/>
        <v/>
      </c>
      <c r="L19" s="1" t="str">
        <f t="shared" si="9"/>
        <v/>
      </c>
    </row>
    <row r="20">
      <c r="A20" s="1" t="s">
        <v>618</v>
      </c>
      <c r="B20" s="1">
        <v>1.0</v>
      </c>
      <c r="C20" s="1" t="str">
        <f t="array" ref="C20">IF(NOT(ISBLANK($A20)), (_xlfn.XLOOKUP($A20,Index!$B$2:$B$995,Index!$C$2:$C$995,"Not Found")),"")</f>
        <v>T</v>
      </c>
      <c r="D20" s="1" t="str">
        <f t="array" ref="D20">IF(NOT(ISBLANK(A20)), (_xlfn.XLOOKUP($A20,Index!$B$2:B$995,Index!$A$2:$A$995,"Not Found")),"")</f>
        <v>base1-80</v>
      </c>
      <c r="E20" s="2" t="str">
        <f t="array" ref="E20">IF(NOT(ISBLANK($A20)), (_xlfn.XLOOKUP($A20,Index!$B$2:$B$995,Index!$D$2:$D$995,"Not Found")),"")</f>
        <v>u</v>
      </c>
      <c r="F20" s="1" t="str">
        <f t="array" ref="F20">IF(NOT(ISBLANK($A20)), (_xlfn.XLOOKUP($A20,Index!$B$2:$B$995,Index!$E$2:$E$995,"Not Found")),"")</f>
        <v/>
      </c>
      <c r="G20" s="1" t="str">
        <f t="array" ref="G20">IF(NOT(ISBLANK(A20)), ((_xlfn.XLOOKUP(A20,Index!$B$2:$B$995,Index!$F$2:$F$995,"Not Found"))*B20),"")</f>
        <v>#VALUE!</v>
      </c>
      <c r="K20" s="6" t="str">
        <f t="shared" si="8"/>
        <v/>
      </c>
    </row>
    <row r="21">
      <c r="A21" s="1" t="s">
        <v>642</v>
      </c>
      <c r="B21" s="1">
        <v>2.0</v>
      </c>
      <c r="C21" s="1" t="str">
        <f t="array" ref="C21">IF(NOT(ISBLANK($A21)), (_xlfn.XLOOKUP($A21,Index!$B$2:$B$995,Index!$C$2:$C$995,"Not Found")),"")</f>
        <v>T</v>
      </c>
      <c r="D21" s="1" t="str">
        <f t="array" ref="D21">IF(NOT(ISBLANK(A21)), (_xlfn.XLOOKUP($A21,Index!$B$2:B$995,Index!$A$2:$A$995,"Not Found")),"")</f>
        <v>base1-90</v>
      </c>
      <c r="E21" s="2" t="str">
        <f t="array" ref="E21">IF(NOT(ISBLANK($A21)), (_xlfn.XLOOKUP($A21,Index!$B$2:$B$995,Index!$D$2:$D$995,"Not Found")),"")</f>
        <v>u</v>
      </c>
      <c r="F21" s="1" t="str">
        <f t="array" ref="F21">IF(NOT(ISBLANK($A21)), (_xlfn.XLOOKUP($A21,Index!$B$2:$B$995,Index!$E$2:$E$995,"Not Found")),"")</f>
        <v/>
      </c>
      <c r="G21" s="1" t="str">
        <f t="array" ref="G21">IF(NOT(ISBLANK(A21)), ((_xlfn.XLOOKUP(A21,Index!$B$2:$B$995,Index!$F$2:$F$995,"Not Found"))*B21),"")</f>
        <v>#VALUE!</v>
      </c>
      <c r="K21" s="1" t="s">
        <v>731</v>
      </c>
      <c r="L21" s="6">
        <f>SUM(L15:L19)</f>
        <v>17.5</v>
      </c>
    </row>
    <row r="22">
      <c r="C22" s="1" t="str">
        <f t="array" ref="C22">IF(NOT(ISBLANK($A22)), (_xlfn.XLOOKUP($A22,Index!$B$2:$B$995,Index!$C$2:$C$995,"Not Found")),"")</f>
        <v/>
      </c>
      <c r="D22" s="1" t="str">
        <f t="array" ref="D22">IF(NOT(ISBLANK(A22)), (_xlfn.XLOOKUP($A22,Index!$B$2:B$995,Index!$A$2:$A$995,"Not Found")),"")</f>
        <v/>
      </c>
      <c r="E22" s="2" t="str">
        <f t="array" ref="E22">IF(NOT(ISBLANK($A22)), (_xlfn.XLOOKUP($A22,Index!$B$2:$B$995,Index!$D$2:$D$995,"Not Found")),"")</f>
        <v/>
      </c>
      <c r="F22" s="1" t="str">
        <f t="array" ref="F22">IF(NOT(ISBLANK($A22)), (_xlfn.XLOOKUP($A22,Index!$B$2:$B$995,Index!$E$2:$E$995,"Not Found")),"")</f>
        <v/>
      </c>
      <c r="G22" s="1" t="str">
        <f t="array" ref="G22">IF(NOT(ISBLANK(A22)), ((_xlfn.XLOOKUP(A22,Index!$B$2:$B$995,Index!$F$2:$F$995,"Not Found"))*B22),"")</f>
        <v/>
      </c>
    </row>
    <row r="23">
      <c r="C23" s="1" t="str">
        <f t="array" ref="C23">IF(NOT(ISBLANK($A23)), (_xlfn.XLOOKUP($A23,Index!$B$2:$B$995,Index!$C$2:$C$995,"Not Found")),"")</f>
        <v/>
      </c>
      <c r="D23" s="1" t="str">
        <f t="array" ref="D23">IF(NOT(ISBLANK(A23)), (_xlfn.XLOOKUP($A23,Index!$B$2:B$995,Index!$A$2:$A$995,"Not Found")),"")</f>
        <v/>
      </c>
      <c r="E23" s="2" t="str">
        <f t="array" ref="E23">IF(NOT(ISBLANK($A23)), (_xlfn.XLOOKUP($A23,Index!$B$2:$B$995,Index!$D$2:$D$995,"Not Found")),"")</f>
        <v/>
      </c>
      <c r="F23" s="1" t="str">
        <f t="array" ref="F23">IF(NOT(ISBLANK($A23)), (_xlfn.XLOOKUP($A23,Index!$B$2:$B$995,Index!$E$2:$E$995,"Not Found")),"")</f>
        <v/>
      </c>
      <c r="G23" s="1" t="str">
        <f t="array" ref="G23">IF(NOT(ISBLANK(A23)), ((_xlfn.XLOOKUP(A23,Index!$B$2:$B$995,Index!$F$2:$F$995,"Not Found"))*B23),"")</f>
        <v/>
      </c>
    </row>
    <row r="24">
      <c r="C24" s="1" t="str">
        <f t="array" ref="C24">IF(NOT(ISBLANK($A24)), (_xlfn.XLOOKUP($A24,Index!$B$2:$B$995,Index!$C$2:$C$995,"Not Found")),"")</f>
        <v/>
      </c>
      <c r="D24" s="1" t="str">
        <f t="array" ref="D24">IF(NOT(ISBLANK(A24)), (_xlfn.XLOOKUP($A24,Index!$B$2:B$995,Index!$A$2:$A$995,"Not Found")),"")</f>
        <v/>
      </c>
      <c r="E24" s="2" t="str">
        <f t="array" ref="E24">IF(NOT(ISBLANK($A24)), (_xlfn.XLOOKUP($A24,Index!$B$2:$B$995,Index!$D$2:$D$995,"Not Found")),"")</f>
        <v/>
      </c>
      <c r="F24" s="1" t="str">
        <f t="array" ref="F24">IF(NOT(ISBLANK($A24)), (_xlfn.XLOOKUP($A24,Index!$B$2:$B$995,Index!$E$2:$E$995,"Not Found")),"")</f>
        <v/>
      </c>
      <c r="G24" s="1" t="str">
        <f t="array" ref="G24">IF(NOT(ISBLANK(A24)), ((_xlfn.XLOOKUP(A24,Index!$B$2:$B$995,Index!$F$2:$F$995,"Not Found"))*B24),"")</f>
        <v/>
      </c>
      <c r="K24" s="1" t="s">
        <v>732</v>
      </c>
      <c r="L24" s="1" t="s">
        <v>301</v>
      </c>
    </row>
    <row r="25">
      <c r="C25" s="1" t="str">
        <f t="array" ref="C25">IF(NOT(ISBLANK($A25)), (_xlfn.XLOOKUP($A25,Index!$B$2:$B$995,Index!$C$2:$C$995,"Not Found")),"")</f>
        <v/>
      </c>
      <c r="D25" s="1" t="str">
        <f t="array" ref="D25">IF(NOT(ISBLANK(A25)), (_xlfn.XLOOKUP($A25,Index!$B$2:B$995,Index!$A$2:$A$995,"Not Found")),"")</f>
        <v/>
      </c>
      <c r="E25" s="2" t="str">
        <f t="array" ref="E25">IF(NOT(ISBLANK($A25)), (_xlfn.XLOOKUP($A25,Index!$B$2:$B$995,Index!$D$2:$D$995,"Not Found")),"")</f>
        <v/>
      </c>
      <c r="F25" s="1" t="str">
        <f t="array" ref="F25">IF(NOT(ISBLANK($A25)), (_xlfn.XLOOKUP($A25,Index!$B$2:$B$995,Index!$E$2:$E$995,"Not Found")),"")</f>
        <v/>
      </c>
      <c r="G25" s="1" t="str">
        <f t="array" ref="G25">IF(NOT(ISBLANK(A25)), ((_xlfn.XLOOKUP(A25,Index!$B$2:$B$995,Index!$F$2:$F$995,"Not Found"))*B25),"")</f>
        <v/>
      </c>
    </row>
    <row r="26">
      <c r="C26" s="1" t="str">
        <f t="array" ref="C26">IF(NOT(ISBLANK($A26)), (_xlfn.XLOOKUP($A26,Index!$B$2:$B$995,Index!$C$2:$C$995,"Not Found")),"")</f>
        <v/>
      </c>
      <c r="D26" s="1" t="str">
        <f t="array" ref="D26">IF(NOT(ISBLANK(A26)), (_xlfn.XLOOKUP($A26,Index!$B$2:B$995,Index!$A$2:$A$995,"Not Found")),"")</f>
        <v/>
      </c>
      <c r="E26" s="2" t="str">
        <f t="array" ref="E26">IF(NOT(ISBLANK($A26)), (_xlfn.XLOOKUP($A26,Index!$B$2:$B$995,Index!$D$2:$D$995,"Not Found")),"")</f>
        <v/>
      </c>
      <c r="F26" s="1" t="str">
        <f t="array" ref="F26">IF(NOT(ISBLANK($A26)), (_xlfn.XLOOKUP($A26,Index!$B$2:$B$995,Index!$E$2:$E$995,"Not Found")),"")</f>
        <v/>
      </c>
      <c r="G26" s="1" t="str">
        <f t="array" ref="G26">IF(NOT(ISBLANK(A26)), ((_xlfn.XLOOKUP(A26,Index!$B$2:$B$995,Index!$F$2:$F$995,"Not Found"))*B26),"")</f>
        <v/>
      </c>
    </row>
    <row r="27">
      <c r="C27" s="1" t="str">
        <f t="array" ref="C27">IF(NOT(ISBLANK($A27)), (_xlfn.XLOOKUP($A27,Index!$B$2:$B$995,Index!$C$2:$C$995,"Not Found")),"")</f>
        <v/>
      </c>
      <c r="D27" s="1" t="str">
        <f t="array" ref="D27">IF(NOT(ISBLANK(A27)), (_xlfn.XLOOKUP($A27,Index!$B$2:B$995,Index!$A$2:$A$995,"Not Found")),"")</f>
        <v/>
      </c>
      <c r="E27" s="2" t="str">
        <f t="array" ref="E27">IF(NOT(ISBLANK($A27)), (_xlfn.XLOOKUP($A27,Index!$B$2:$B$995,Index!$D$2:$D$995,"Not Found")),"")</f>
        <v/>
      </c>
      <c r="F27" s="1" t="str">
        <f t="array" ref="F27">IF(NOT(ISBLANK($A27)), (_xlfn.XLOOKUP($A27,Index!$B$2:$B$995,Index!$E$2:$E$995,"Not Found")),"")</f>
        <v/>
      </c>
      <c r="G27" s="1" t="str">
        <f t="array" ref="G27">IF(NOT(ISBLANK(A27)), ((_xlfn.XLOOKUP(A27,Index!$B$2:$B$995,Index!$F$2:$F$995,"Not Found"))*B27),"")</f>
        <v/>
      </c>
    </row>
    <row r="28">
      <c r="C28" s="1" t="str">
        <f t="array" ref="C28">IF(NOT(ISBLANK($A28)), (_xlfn.XLOOKUP($A28,Index!$B$2:$B$995,Index!$C$2:$C$995,"Not Found")),"")</f>
        <v/>
      </c>
      <c r="D28" s="1" t="str">
        <f t="array" ref="D28">IF(NOT(ISBLANK(A28)), (_xlfn.XLOOKUP($A28,Index!$B$2:B$995,Index!$A$2:$A$995,"Not Found")),"")</f>
        <v/>
      </c>
      <c r="E28" s="2" t="str">
        <f t="array" ref="E28">IF(NOT(ISBLANK($A28)), (_xlfn.XLOOKUP($A28,Index!$B$2:$B$995,Index!$D$2:$D$995,"Not Found")),"")</f>
        <v/>
      </c>
      <c r="F28" s="1" t="str">
        <f t="array" ref="F28">IF(NOT(ISBLANK($A28)), (_xlfn.XLOOKUP($A28,Index!$B$2:$B$995,Index!$E$2:$E$995,"Not Found")),"")</f>
        <v/>
      </c>
      <c r="G28" s="1" t="str">
        <f t="array" ref="G28">IF(NOT(ISBLANK(A28)), ((_xlfn.XLOOKUP(A28,Index!$B$2:$B$995,Index!$F$2:$F$995,"Not Found"))*B28),"")</f>
        <v/>
      </c>
    </row>
    <row r="29">
      <c r="C29" s="1" t="str">
        <f t="array" ref="C29">IF(NOT(ISBLANK($A29)), (_xlfn.XLOOKUP($A29,Index!$B$2:$B$995,Index!$C$2:$C$995,"Not Found")),"")</f>
        <v/>
      </c>
      <c r="D29" s="1" t="str">
        <f t="array" ref="D29">IF(NOT(ISBLANK(A29)), (_xlfn.XLOOKUP($A29,Index!$B$2:B$995,Index!$A$2:$A$995,"Not Found")),"")</f>
        <v/>
      </c>
      <c r="E29" s="2" t="str">
        <f t="array" ref="E29">IF(NOT(ISBLANK($A29)), (_xlfn.XLOOKUP($A29,Index!$B$2:$B$995,Index!$D$2:$D$995,"Not Found")),"")</f>
        <v/>
      </c>
      <c r="F29" s="1" t="str">
        <f t="array" ref="F29">IF(NOT(ISBLANK($A29)), (_xlfn.XLOOKUP($A29,Index!$B$2:$B$995,Index!$E$2:$E$995,"Not Found")),"")</f>
        <v/>
      </c>
      <c r="G29" s="1" t="str">
        <f t="array" ref="G29">IF(NOT(ISBLANK(A29)), ((_xlfn.XLOOKUP(A29,Index!$B$2:$B$995,Index!$F$2:$F$995,"Not Found"))*B29),"")</f>
        <v/>
      </c>
    </row>
    <row r="30">
      <c r="C30" s="1" t="str">
        <f t="array" ref="C30">IF(NOT(ISBLANK($A30)), (_xlfn.XLOOKUP($A30,Index!$B$2:$B$995,Index!$C$2:$C$995,"Not Found")),"")</f>
        <v/>
      </c>
      <c r="D30" s="1" t="str">
        <f t="array" ref="D30">IF(NOT(ISBLANK(A30)), (_xlfn.XLOOKUP($A30,Index!$B$2:B$995,Index!$A$2:$A$995,"Not Found")),"")</f>
        <v/>
      </c>
      <c r="E30" s="2" t="str">
        <f t="array" ref="E30">IF(NOT(ISBLANK($A30)), (_xlfn.XLOOKUP($A30,Index!$B$2:$B$995,Index!$D$2:$D$995,"Not Found")),"")</f>
        <v/>
      </c>
      <c r="F30" s="1" t="str">
        <f t="array" ref="F30">IF(NOT(ISBLANK($A30)), (_xlfn.XLOOKUP($A30,Index!$B$2:$B$995,Index!$E$2:$E$995,"Not Found")),"")</f>
        <v/>
      </c>
      <c r="G30" s="1" t="str">
        <f t="array" ref="G30">IF(NOT(ISBLANK(A30)), ((_xlfn.XLOOKUP(A30,Index!$B$2:$B$995,Index!$F$2:$F$995,"Not Found"))*B30),"")</f>
        <v/>
      </c>
    </row>
    <row r="31">
      <c r="C31" s="1" t="str">
        <f t="array" ref="C31">IF(NOT(ISBLANK($A31)), (_xlfn.XLOOKUP($A31,Index!$B$2:$B$995,Index!$C$2:$C$995,"Not Found")),"")</f>
        <v/>
      </c>
      <c r="D31" s="1" t="str">
        <f t="array" ref="D31">IF(NOT(ISBLANK(A31)), (_xlfn.XLOOKUP($A31,Index!$B$2:B$995,Index!$A$2:$A$995,"Not Found")),"")</f>
        <v/>
      </c>
      <c r="E31" s="2" t="str">
        <f t="array" ref="E31">IF(NOT(ISBLANK($A31)), (_xlfn.XLOOKUP($A31,Index!$B$2:$B$995,Index!$D$2:$D$995,"Not Found")),"")</f>
        <v/>
      </c>
      <c r="F31" s="1" t="str">
        <f t="array" ref="F31">IF(NOT(ISBLANK($A31)), (_xlfn.XLOOKUP($A31,Index!$B$2:$B$995,Index!$E$2:$E$995,"Not Found")),"")</f>
        <v/>
      </c>
      <c r="G31" s="1" t="str">
        <f t="array" ref="G31">IF(NOT(ISBLANK(A31)), ((_xlfn.XLOOKUP(A31,Index!$B$2:$B$995,Index!$F$2:$F$995,"Not Found"))*B31),"")</f>
        <v/>
      </c>
    </row>
    <row r="32">
      <c r="C32" s="1" t="str">
        <f t="array" ref="C32">IF(NOT(ISBLANK($A32)), (_xlfn.XLOOKUP($A32,Index!$B$2:$B$995,Index!$C$2:$C$995,"Not Found")),"")</f>
        <v/>
      </c>
      <c r="D32" s="1" t="str">
        <f t="array" ref="D32">IF(NOT(ISBLANK(A32)), (_xlfn.XLOOKUP($A32,Index!$B$2:B$995,Index!$A$2:$A$995,"Not Found")),"")</f>
        <v/>
      </c>
      <c r="E32" s="2" t="str">
        <f t="array" ref="E32">IF(NOT(ISBLANK($A32)), (_xlfn.XLOOKUP($A32,Index!$B$2:$B$995,Index!$D$2:$D$995,"Not Found")),"")</f>
        <v/>
      </c>
      <c r="F32" s="1" t="str">
        <f t="array" ref="F32">IF(NOT(ISBLANK($A32)), (_xlfn.XLOOKUP($A32,Index!$B$2:$B$995,Index!$E$2:$E$995,"Not Found")),"")</f>
        <v/>
      </c>
      <c r="G32" s="1" t="str">
        <f t="array" ref="G32">IF(NOT(ISBLANK(A32)), ((_xlfn.XLOOKUP(A32,Index!$B$2:$B$995,Index!$F$2:$F$995,"Not Found"))*B32),"")</f>
        <v/>
      </c>
    </row>
    <row r="33">
      <c r="C33" s="1" t="str">
        <f t="array" ref="C33">IF(NOT(ISBLANK($A33)), (_xlfn.XLOOKUP($A33,Index!$B$2:$B$995,Index!$C$2:$C$995,"Not Found")),"")</f>
        <v/>
      </c>
      <c r="D33" s="1" t="str">
        <f t="array" ref="D33">IF(NOT(ISBLANK(A33)), (_xlfn.XLOOKUP($A33,Index!$B$2:B$995,Index!$A$2:$A$995,"Not Found")),"")</f>
        <v/>
      </c>
      <c r="E33" s="2" t="str">
        <f t="array" ref="E33">IF(NOT(ISBLANK($A33)), (_xlfn.XLOOKUP($A33,Index!$B$2:$B$995,Index!$D$2:$D$995,"Not Found")),"")</f>
        <v/>
      </c>
      <c r="F33" s="1" t="str">
        <f t="array" ref="F33">IF(NOT(ISBLANK($A33)), (_xlfn.XLOOKUP($A33,Index!$B$2:$B$995,Index!$E$2:$E$995,"Not Found")),"")</f>
        <v/>
      </c>
      <c r="G33" s="1" t="str">
        <f t="array" ref="G33">IF(NOT(ISBLANK(A33)), ((_xlfn.XLOOKUP(A33,Index!$B$2:$B$995,Index!$F$2:$F$995,"Not Found"))*B33),"")</f>
        <v/>
      </c>
    </row>
    <row r="34">
      <c r="C34" s="1" t="str">
        <f t="array" ref="C34">IF(NOT(ISBLANK($A34)), (_xlfn.XLOOKUP($A34,Index!$B$2:$B$995,Index!$C$2:$C$995,"Not Found")),"")</f>
        <v/>
      </c>
      <c r="D34" s="1" t="str">
        <f t="array" ref="D34">IF(NOT(ISBLANK(A34)), (_xlfn.XLOOKUP($A34,Index!$B$2:B$995,Index!$A$2:$A$995,"Not Found")),"")</f>
        <v/>
      </c>
      <c r="E34" s="2" t="str">
        <f t="array" ref="E34">IF(NOT(ISBLANK($A34)), (_xlfn.XLOOKUP($A34,Index!$B$2:$B$995,Index!$D$2:$D$995,"Not Found")),"")</f>
        <v/>
      </c>
      <c r="F34" s="1" t="str">
        <f t="array" ref="F34">IF(NOT(ISBLANK($A34)), (_xlfn.XLOOKUP($A34,Index!$B$2:$B$995,Index!$E$2:$E$995,"Not Found")),"")</f>
        <v/>
      </c>
      <c r="G34" s="1" t="str">
        <f t="array" ref="G34">IF(NOT(ISBLANK(A34)), ((_xlfn.XLOOKUP(A34,Index!$B$2:$B$995,Index!$F$2:$F$995,"Not Found"))*B34),"")</f>
        <v/>
      </c>
    </row>
    <row r="35">
      <c r="C35" s="1" t="str">
        <f t="array" ref="C35">IF(NOT(ISBLANK($A35)), (_xlfn.XLOOKUP($A35,Index!$B$2:$B$995,Index!$C$2:$C$995,"Not Found")),"")</f>
        <v/>
      </c>
      <c r="D35" s="1" t="str">
        <f t="array" ref="D35">IF(NOT(ISBLANK(A35)), (_xlfn.XLOOKUP($A35,Index!$B$2:B$995,Index!$A$2:$A$995,"Not Found")),"")</f>
        <v/>
      </c>
      <c r="E35" s="2" t="str">
        <f t="array" ref="E35">IF(NOT(ISBLANK($A35)), (_xlfn.XLOOKUP($A35,Index!$B$2:$B$995,Index!$D$2:$D$995,"Not Found")),"")</f>
        <v/>
      </c>
      <c r="F35" s="1" t="str">
        <f t="array" ref="F35">IF(NOT(ISBLANK($A35)), (_xlfn.XLOOKUP($A35,Index!$B$2:$B$995,Index!$E$2:$E$995,"Not Found")),"")</f>
        <v/>
      </c>
      <c r="G35" s="1" t="str">
        <f t="array" ref="G35">IF(NOT(ISBLANK(A35)), ((_xlfn.XLOOKUP(A35,Index!$B$2:$B$995,Index!$F$2:$F$995,"Not Found"))*B35),"")</f>
        <v/>
      </c>
    </row>
    <row r="36">
      <c r="C36" s="1" t="str">
        <f t="array" ref="C36">IF(NOT(ISBLANK($A36)), (_xlfn.XLOOKUP($A36,Index!$B$2:$B$995,Index!$C$2:$C$995,"Not Found")),"")</f>
        <v/>
      </c>
      <c r="D36" s="1" t="str">
        <f t="array" ref="D36">IF(NOT(ISBLANK(A36)), (_xlfn.XLOOKUP($A36,Index!$B$2:B$995,Index!$A$2:$A$995,"Not Found")),"")</f>
        <v/>
      </c>
      <c r="E36" s="2" t="str">
        <f t="array" ref="E36">IF(NOT(ISBLANK($A36)), (_xlfn.XLOOKUP($A36,Index!$B$2:$B$995,Index!$D$2:$D$995,"Not Found")),"")</f>
        <v/>
      </c>
      <c r="F36" s="1" t="str">
        <f t="array" ref="F36">IF(NOT(ISBLANK($A36)), (_xlfn.XLOOKUP($A36,Index!$B$2:$B$995,Index!$E$2:$E$995,"Not Found")),"")</f>
        <v/>
      </c>
      <c r="G36" s="1" t="str">
        <f t="array" ref="G36">IF(NOT(ISBLANK(A36)), ((_xlfn.XLOOKUP(A36,Index!$B$2:$B$995,Index!$F$2:$F$995,"Not Found"))*B36),"")</f>
        <v/>
      </c>
    </row>
    <row r="37">
      <c r="C37" s="1" t="str">
        <f t="array" ref="C37">IF(NOT(ISBLANK($A37)), (_xlfn.XLOOKUP($A37,Index!$B$2:$B$995,Index!$C$2:$C$995,"Not Found")),"")</f>
        <v/>
      </c>
      <c r="D37" s="1" t="str">
        <f t="array" ref="D37">IF(NOT(ISBLANK(A37)), (_xlfn.XLOOKUP($A37,Index!$B$2:B$995,Index!$A$2:$A$995,"Not Found")),"")</f>
        <v/>
      </c>
      <c r="E37" s="2" t="str">
        <f t="array" ref="E37">IF(NOT(ISBLANK($A37)), (_xlfn.XLOOKUP($A37,Index!$B$2:$B$995,Index!$D$2:$D$995,"Not Found")),"")</f>
        <v/>
      </c>
      <c r="F37" s="1" t="str">
        <f t="array" ref="F37">IF(NOT(ISBLANK($A37)), (_xlfn.XLOOKUP($A37,Index!$B$2:$B$995,Index!$E$2:$E$995,"Not Found")),"")</f>
        <v/>
      </c>
      <c r="G37" s="1" t="str">
        <f t="array" ref="G37">IF(NOT(ISBLANK(A37)), ((_xlfn.XLOOKUP(A37,Index!$B$2:$B$995,Index!$F$2:$F$995,"Not Found"))*B37),"")</f>
        <v/>
      </c>
    </row>
    <row r="38">
      <c r="C38" s="1" t="str">
        <f t="array" ref="C38">IF(NOT(ISBLANK($A38)), (_xlfn.XLOOKUP($A38,Index!$B$2:$B$995,Index!$C$2:$C$995,"Not Found")),"")</f>
        <v/>
      </c>
      <c r="D38" s="1" t="str">
        <f t="array" ref="D38">IF(NOT(ISBLANK(A38)), (_xlfn.XLOOKUP($A38,Index!$B$2:B$995,Index!$A$2:$A$995,"Not Found")),"")</f>
        <v/>
      </c>
      <c r="E38" s="2" t="str">
        <f t="array" ref="E38">IF(NOT(ISBLANK($A38)), (_xlfn.XLOOKUP($A38,Index!$B$2:$B$995,Index!$D$2:$D$995,"Not Found")),"")</f>
        <v/>
      </c>
      <c r="F38" s="1" t="str">
        <f t="array" ref="F38">IF(NOT(ISBLANK($A38)), (_xlfn.XLOOKUP($A38,Index!$B$2:$B$995,Index!$E$2:$E$995,"Not Found")),"")</f>
        <v/>
      </c>
      <c r="G38" s="1" t="str">
        <f t="array" ref="G38">IF(NOT(ISBLANK(A38)), ((_xlfn.XLOOKUP(A38,Index!$B$2:$B$995,Index!$F$2:$F$995,"Not Found"))*B38),"")</f>
        <v/>
      </c>
    </row>
    <row r="39">
      <c r="C39" s="1" t="str">
        <f t="array" ref="C39">IF(NOT(ISBLANK($A39)), (_xlfn.XLOOKUP($A39,Index!$B$2:$B$995,Index!$C$2:$C$995,"Not Found")),"")</f>
        <v/>
      </c>
      <c r="D39" s="1" t="str">
        <f t="array" ref="D39">IF(NOT(ISBLANK(A39)), (_xlfn.XLOOKUP($A39,Index!$B$2:B$995,Index!$A$2:$A$995,"Not Found")),"")</f>
        <v/>
      </c>
      <c r="E39" s="2" t="str">
        <f t="array" ref="E39">IF(NOT(ISBLANK($A39)), (_xlfn.XLOOKUP($A39,Index!$B$2:$B$995,Index!$D$2:$D$995,"Not Found")),"")</f>
        <v/>
      </c>
      <c r="F39" s="1" t="str">
        <f t="array" ref="F39">IF(NOT(ISBLANK($A39)), (_xlfn.XLOOKUP($A39,Index!$B$2:$B$995,Index!$E$2:$E$995,"Not Found")),"")</f>
        <v/>
      </c>
      <c r="G39" s="1" t="str">
        <f t="array" ref="G39">IF(NOT(ISBLANK(A39)), ((_xlfn.XLOOKUP(A39,Index!$B$2:$B$995,Index!$F$2:$F$995,"Not Found"))*B39),"")</f>
        <v/>
      </c>
    </row>
    <row r="40">
      <c r="C40" s="1" t="str">
        <f t="array" ref="C40">IF(NOT(ISBLANK($A40)), (_xlfn.XLOOKUP($A40,Index!$B$2:$B$995,Index!$C$2:$C$995,"Not Found")),"")</f>
        <v/>
      </c>
      <c r="D40" s="1" t="str">
        <f t="array" ref="D40">IF(NOT(ISBLANK(A40)), (_xlfn.XLOOKUP($A40,Index!$B$2:B$995,Index!$A$2:$A$995,"Not Found")),"")</f>
        <v/>
      </c>
      <c r="E40" s="2" t="str">
        <f t="array" ref="E40">IF(NOT(ISBLANK($A40)), (_xlfn.XLOOKUP($A40,Index!$B$2:$B$995,Index!$D$2:$D$995,"Not Found")),"")</f>
        <v/>
      </c>
      <c r="F40" s="1" t="str">
        <f t="array" ref="F40">IF(NOT(ISBLANK($A40)), (_xlfn.XLOOKUP($A40,Index!$B$2:$B$995,Index!$E$2:$E$995,"Not Found")),"")</f>
        <v/>
      </c>
      <c r="G40" s="1" t="str">
        <f t="array" ref="G40">IF(NOT(ISBLANK(A40)), ((_xlfn.XLOOKUP(A40,Index!$B$2:$B$995,Index!$F$2:$F$995,"Not Found"))*B40),"")</f>
        <v/>
      </c>
    </row>
    <row r="41">
      <c r="C41" s="1" t="str">
        <f t="array" ref="C41">IF(NOT(ISBLANK($A41)), (_xlfn.XLOOKUP($A41,Index!$B$2:$B$995,Index!$C$2:$C$995,"Not Found")),"")</f>
        <v/>
      </c>
      <c r="D41" s="1" t="str">
        <f t="array" ref="D41">IF(NOT(ISBLANK(A41)), (_xlfn.XLOOKUP($A41,Index!$B$2:B$995,Index!$A$2:$A$995,"Not Found")),"")</f>
        <v/>
      </c>
      <c r="E41" s="2" t="str">
        <f t="array" ref="E41">IF(NOT(ISBLANK($A41)), (_xlfn.XLOOKUP($A41,Index!$B$2:$B$995,Index!$D$2:$D$995,"Not Found")),"")</f>
        <v/>
      </c>
      <c r="F41" s="1" t="str">
        <f t="array" ref="F41">IF(NOT(ISBLANK($A41)), (_xlfn.XLOOKUP($A41,Index!$B$2:$B$995,Index!$E$2:$E$995,"Not Found")),"")</f>
        <v/>
      </c>
      <c r="G41" s="1" t="str">
        <f t="array" ref="G41">IF(NOT(ISBLANK(A41)), ((_xlfn.XLOOKUP(A41,Index!$B$2:$B$995,Index!$F$2:$F$995,"Not Found"))*B41),"")</f>
        <v/>
      </c>
    </row>
    <row r="42">
      <c r="C42" s="1" t="str">
        <f t="array" ref="C42">IF(NOT(ISBLANK($A42)), (_xlfn.XLOOKUP($A42,Index!$B$2:$B$995,Index!$C$2:$C$995,"Not Found")),"")</f>
        <v/>
      </c>
      <c r="D42" s="1" t="str">
        <f t="array" ref="D42">IF(NOT(ISBLANK(A42)), (_xlfn.XLOOKUP($A42,Index!$B$2:B$995,Index!$A$2:$A$995,"Not Found")),"")</f>
        <v/>
      </c>
      <c r="E42" s="2" t="str">
        <f t="array" ref="E42">IF(NOT(ISBLANK($A42)), (_xlfn.XLOOKUP($A42,Index!$B$2:$B$995,Index!$D$2:$D$995,"Not Found")),"")</f>
        <v/>
      </c>
      <c r="F42" s="1" t="str">
        <f t="array" ref="F42">IF(NOT(ISBLANK($A42)), (_xlfn.XLOOKUP($A42,Index!$B$2:$B$995,Index!$E$2:$E$995,"Not Found")),"")</f>
        <v/>
      </c>
      <c r="G42" s="1" t="str">
        <f t="array" ref="G42">IF(NOT(ISBLANK(A42)), ((_xlfn.XLOOKUP(A42,Index!$B$2:$B$995,Index!$F$2:$F$995,"Not Found"))*B42),"")</f>
        <v/>
      </c>
    </row>
    <row r="43">
      <c r="C43" s="1" t="str">
        <f t="array" ref="C43">IF(NOT(ISBLANK($A43)), (_xlfn.XLOOKUP($A43,Index!$B$2:$B$995,Index!$C$2:$C$995,"Not Found")),"")</f>
        <v/>
      </c>
      <c r="D43" s="1" t="str">
        <f t="array" ref="D43">IF(NOT(ISBLANK(A43)), (_xlfn.XLOOKUP($A43,Index!$B$2:B$995,Index!$A$2:$A$995,"Not Found")),"")</f>
        <v/>
      </c>
      <c r="E43" s="2" t="str">
        <f t="array" ref="E43">IF(NOT(ISBLANK($A43)), (_xlfn.XLOOKUP($A43,Index!$B$2:$B$995,Index!$D$2:$D$995,"Not Found")),"")</f>
        <v/>
      </c>
      <c r="F43" s="1" t="str">
        <f t="array" ref="F43">IF(NOT(ISBLANK($A43)), (_xlfn.XLOOKUP($A43,Index!$B$2:$B$995,Index!$E$2:$E$995,"Not Found")),"")</f>
        <v/>
      </c>
      <c r="G43" s="1" t="str">
        <f t="array" ref="G43">IF(NOT(ISBLANK(A43)), ((_xlfn.XLOOKUP(A43,Index!$B$2:$B$995,Index!$F$2:$F$995,"Not Found"))*B43),"")</f>
        <v/>
      </c>
    </row>
    <row r="44">
      <c r="C44" s="1" t="str">
        <f t="array" ref="C44">IF(NOT(ISBLANK($A44)), (_xlfn.XLOOKUP($A44,Index!$B$2:$B$995,Index!$C$2:$C$995,"Not Found")),"")</f>
        <v/>
      </c>
      <c r="D44" s="1" t="str">
        <f t="array" ref="D44">IF(NOT(ISBLANK(A44)), (_xlfn.XLOOKUP($A44,Index!$B$2:B$995,Index!$A$2:$A$995,"Not Found")),"")</f>
        <v/>
      </c>
      <c r="E44" s="2" t="str">
        <f t="array" ref="E44">IF(NOT(ISBLANK($A44)), (_xlfn.XLOOKUP($A44,Index!$B$2:$B$995,Index!$D$2:$D$995,"Not Found")),"")</f>
        <v/>
      </c>
      <c r="F44" s="1" t="str">
        <f t="array" ref="F44">IF(NOT(ISBLANK($A44)), (_xlfn.XLOOKUP($A44,Index!$B$2:$B$995,Index!$E$2:$E$995,"Not Found")),"")</f>
        <v/>
      </c>
      <c r="G44" s="1" t="str">
        <f t="array" ref="G44">IF(NOT(ISBLANK(A44)), ((_xlfn.XLOOKUP(A44,Index!$B$2:$B$995,Index!$F$2:$F$995,"Not Found"))*B44),"")</f>
        <v/>
      </c>
    </row>
    <row r="45">
      <c r="C45" s="1" t="str">
        <f t="array" ref="C45">IF(NOT(ISBLANK($A45)), (_xlfn.XLOOKUP($A45,Index!$B$2:$B$995,Index!$C$2:$C$995,"Not Found")),"")</f>
        <v/>
      </c>
      <c r="D45" s="1" t="str">
        <f t="array" ref="D45">IF(NOT(ISBLANK(A45)), (_xlfn.XLOOKUP($A45,Index!$B$2:B$995,Index!$A$2:$A$995,"Not Found")),"")</f>
        <v/>
      </c>
      <c r="E45" s="2" t="str">
        <f t="array" ref="E45">IF(NOT(ISBLANK($A45)), (_xlfn.XLOOKUP($A45,Index!$B$2:$B$995,Index!$D$2:$D$995,"Not Found")),"")</f>
        <v/>
      </c>
      <c r="F45" s="1" t="str">
        <f t="array" ref="F45">IF(NOT(ISBLANK($A45)), (_xlfn.XLOOKUP($A45,Index!$B$2:$B$995,Index!$E$2:$E$995,"Not Found")),"")</f>
        <v/>
      </c>
      <c r="G45" s="1" t="str">
        <f t="array" ref="G45">IF(NOT(ISBLANK(A45)), ((_xlfn.XLOOKUP(A45,Index!$B$2:$B$995,Index!$F$2:$F$995,"Not Found"))*B45),"")</f>
        <v/>
      </c>
    </row>
    <row r="46">
      <c r="C46" s="1" t="str">
        <f t="array" ref="C46">IF(NOT(ISBLANK($A46)), (_xlfn.XLOOKUP($A46,Index!$B$2:$B$995,Index!$C$2:$C$995,"Not Found")),"")</f>
        <v/>
      </c>
      <c r="D46" s="1" t="str">
        <f t="array" ref="D46">IF(NOT(ISBLANK(A46)), (_xlfn.XLOOKUP($A46,Index!$B$2:B$995,Index!$A$2:$A$995,"Not Found")),"")</f>
        <v/>
      </c>
      <c r="E46" s="2" t="str">
        <f t="array" ref="E46">IF(NOT(ISBLANK($A46)), (_xlfn.XLOOKUP($A46,Index!$B$2:$B$995,Index!$D$2:$D$995,"Not Found")),"")</f>
        <v/>
      </c>
      <c r="F46" s="1" t="str">
        <f t="array" ref="F46">IF(NOT(ISBLANK($A46)), (_xlfn.XLOOKUP($A46,Index!$B$2:$B$995,Index!$E$2:$E$995,"Not Found")),"")</f>
        <v/>
      </c>
      <c r="G46" s="1" t="str">
        <f t="array" ref="G46">IF(NOT(ISBLANK(A46)), ((_xlfn.XLOOKUP(A46,Index!$B$2:$B$995,Index!$F$2:$F$995,"Not Found"))*B46),"")</f>
        <v/>
      </c>
    </row>
    <row r="47">
      <c r="C47" s="1" t="str">
        <f t="array" ref="C47">IF(NOT(ISBLANK($A47)), (_xlfn.XLOOKUP($A47,Index!$B$2:$B$995,Index!$C$2:$C$995,"Not Found")),"")</f>
        <v/>
      </c>
      <c r="D47" s="1" t="str">
        <f t="array" ref="D47">IF(NOT(ISBLANK(A47)), (_xlfn.XLOOKUP($A47,Index!$B$2:B$995,Index!$A$2:$A$995,"Not Found")),"")</f>
        <v/>
      </c>
      <c r="E47" s="2" t="str">
        <f t="array" ref="E47">IF(NOT(ISBLANK($A47)), (_xlfn.XLOOKUP($A47,Index!$B$2:$B$995,Index!$D$2:$D$995,"Not Found")),"")</f>
        <v/>
      </c>
      <c r="F47" s="1" t="str">
        <f t="array" ref="F47">IF(NOT(ISBLANK($A47)), (_xlfn.XLOOKUP($A47,Index!$B$2:$B$995,Index!$E$2:$E$995,"Not Found")),"")</f>
        <v/>
      </c>
      <c r="G47" s="1" t="str">
        <f t="array" ref="G47">IF(NOT(ISBLANK(A47)), ((_xlfn.XLOOKUP(A47,Index!$B$2:$B$995,Index!$F$2:$F$995,"Not Found"))*B47),"")</f>
        <v/>
      </c>
    </row>
    <row r="48">
      <c r="C48" s="1" t="str">
        <f t="array" ref="C48">IF(NOT(ISBLANK($A48)), (_xlfn.XLOOKUP($A48,Index!$B$2:$B$995,Index!$C$2:$C$995,"Not Found")),"")</f>
        <v/>
      </c>
      <c r="D48" s="1" t="str">
        <f t="array" ref="D48">IF(NOT(ISBLANK(A48)), (_xlfn.XLOOKUP($A48,Index!$B$2:B$995,Index!$A$2:$A$995,"Not Found")),"")</f>
        <v/>
      </c>
      <c r="E48" s="2" t="str">
        <f t="array" ref="E48">IF(NOT(ISBLANK($A48)), (_xlfn.XLOOKUP($A48,Index!$B$2:$B$995,Index!$D$2:$D$995,"Not Found")),"")</f>
        <v/>
      </c>
      <c r="F48" s="1" t="str">
        <f t="array" ref="F48">IF(NOT(ISBLANK($A48)), (_xlfn.XLOOKUP($A48,Index!$B$2:$B$995,Index!$E$2:$E$995,"Not Found")),"")</f>
        <v/>
      </c>
      <c r="G48" s="1" t="str">
        <f t="array" ref="G48">IF(NOT(ISBLANK(A48)), ((_xlfn.XLOOKUP(A48,Index!$B$2:$B$995,Index!$F$2:$F$995,"Not Found"))*B48),"")</f>
        <v/>
      </c>
    </row>
    <row r="49">
      <c r="C49" s="1" t="str">
        <f t="array" ref="C49">IF(NOT(ISBLANK($A49)), (_xlfn.XLOOKUP($A49,Index!$B$2:$B$995,Index!$C$2:$C$995,"Not Found")),"")</f>
        <v/>
      </c>
      <c r="D49" s="1" t="str">
        <f t="array" ref="D49">IF(NOT(ISBLANK(A49)), (_xlfn.XLOOKUP($A49,Index!$B$2:B$995,Index!$A$2:$A$995,"Not Found")),"")</f>
        <v/>
      </c>
      <c r="E49" s="2" t="str">
        <f t="array" ref="E49">IF(NOT(ISBLANK($A49)), (_xlfn.XLOOKUP($A49,Index!$B$2:$B$995,Index!$D$2:$D$995,"Not Found")),"")</f>
        <v/>
      </c>
      <c r="F49" s="1" t="str">
        <f t="array" ref="F49">IF(NOT(ISBLANK($A49)), (_xlfn.XLOOKUP($A49,Index!$B$2:$B$995,Index!$E$2:$E$995,"Not Found")),"")</f>
        <v/>
      </c>
      <c r="G49" s="1" t="str">
        <f t="array" ref="G49">IF(NOT(ISBLANK(A49)), ((_xlfn.XLOOKUP(A49,Index!$B$2:$B$995,Index!$F$2:$F$995,"Not Found"))*B49),"")</f>
        <v/>
      </c>
    </row>
    <row r="50">
      <c r="C50" s="1" t="str">
        <f t="array" ref="C50">IF(NOT(ISBLANK($A50)), (_xlfn.XLOOKUP($A50,Index!$B$2:$B$995,Index!$C$2:$C$995,"Not Found")),"")</f>
        <v/>
      </c>
      <c r="D50" s="1" t="str">
        <f t="array" ref="D50">IF(NOT(ISBLANK(A50)), (_xlfn.XLOOKUP($A50,Index!$B$2:B$995,Index!$A$2:$A$995,"Not Found")),"")</f>
        <v/>
      </c>
      <c r="E50" s="2" t="str">
        <f t="array" ref="E50">IF(NOT(ISBLANK($A50)), (_xlfn.XLOOKUP($A50,Index!$B$2:$B$995,Index!$D$2:$D$995,"Not Found")),"")</f>
        <v/>
      </c>
      <c r="F50" s="1" t="str">
        <f t="array" ref="F50">IF(NOT(ISBLANK($A50)), (_xlfn.XLOOKUP($A50,Index!$B$2:$B$995,Index!$E$2:$E$995,"Not Found")),"")</f>
        <v/>
      </c>
      <c r="G50" s="1" t="str">
        <f t="array" ref="G50">IF(NOT(ISBLANK(A50)), ((_xlfn.XLOOKUP(A50,Index!$B$2:$B$995,Index!$F$2:$F$995,"Not Found"))*B50),"")</f>
        <v/>
      </c>
    </row>
    <row r="51">
      <c r="C51" s="1" t="str">
        <f t="array" ref="C51">IF(NOT(ISBLANK($A51)), (_xlfn.XLOOKUP($A51,Index!$B$2:$B$995,Index!$C$2:$C$995,"Not Found")),"")</f>
        <v/>
      </c>
      <c r="D51" s="1" t="str">
        <f t="array" ref="D51">IF(NOT(ISBLANK(A51)), (_xlfn.XLOOKUP($A51,Index!$B$2:B$995,Index!$A$2:$A$995,"Not Found")),"")</f>
        <v/>
      </c>
      <c r="E51" s="2" t="str">
        <f t="array" ref="E51">IF(NOT(ISBLANK($A51)), (_xlfn.XLOOKUP($A51,Index!$B$2:$B$995,Index!$D$2:$D$995,"Not Found")),"")</f>
        <v/>
      </c>
      <c r="F51" s="1" t="str">
        <f t="array" ref="F51">IF(NOT(ISBLANK($A51)), (_xlfn.XLOOKUP($A51,Index!$B$2:$B$995,Index!$E$2:$E$995,"Not Found")),"")</f>
        <v/>
      </c>
      <c r="G51" s="1" t="str">
        <f t="array" ref="G51">IF(NOT(ISBLANK(A51)), ((_xlfn.XLOOKUP(A51,Index!$B$2:$B$995,Index!$F$2:$F$995,"Not Found"))*B51),"")</f>
        <v/>
      </c>
    </row>
    <row r="52">
      <c r="C52" s="1" t="str">
        <f t="array" ref="C52">IF(NOT(ISBLANK($A52)), (_xlfn.XLOOKUP($A52,Index!$B$2:$B$995,Index!$C$2:$C$995,"Not Found")),"")</f>
        <v/>
      </c>
      <c r="D52" s="1" t="str">
        <f t="array" ref="D52">IF(NOT(ISBLANK(A52)), (_xlfn.XLOOKUP($A52,Index!$B$2:B$995,Index!$A$2:$A$995,"Not Found")),"")</f>
        <v/>
      </c>
      <c r="E52" s="2" t="str">
        <f t="array" ref="E52">IF(NOT(ISBLANK($A52)), (_xlfn.XLOOKUP($A52,Index!$B$2:$B$995,Index!$D$2:$D$995,"Not Found")),"")</f>
        <v/>
      </c>
      <c r="F52" s="1" t="str">
        <f t="array" ref="F52">IF(NOT(ISBLANK($A52)), (_xlfn.XLOOKUP($A52,Index!$B$2:$B$995,Index!$E$2:$E$995,"Not Found")),"")</f>
        <v/>
      </c>
      <c r="G52" s="1" t="str">
        <f t="array" ref="G52">IF(NOT(ISBLANK(A52)), ((_xlfn.XLOOKUP(A52,Index!$B$2:$B$995,Index!$F$2:$F$995,"Not Found"))*B52),"")</f>
        <v/>
      </c>
    </row>
    <row r="53">
      <c r="C53" s="1" t="str">
        <f t="array" ref="C53">IF(NOT(ISBLANK($A53)), (_xlfn.XLOOKUP($A53,Index!$B$2:$B$995,Index!$C$2:$C$995,"Not Found")),"")</f>
        <v/>
      </c>
      <c r="D53" s="1" t="str">
        <f t="array" ref="D53">IF(NOT(ISBLANK(A53)), (_xlfn.XLOOKUP($A53,Index!$B$2:B$995,Index!$A$2:$A$995,"Not Found")),"")</f>
        <v/>
      </c>
      <c r="E53" s="2" t="str">
        <f t="array" ref="E53">IF(NOT(ISBLANK($A53)), (_xlfn.XLOOKUP($A53,Index!$B$2:$B$995,Index!$D$2:$D$995,"Not Found")),"")</f>
        <v/>
      </c>
      <c r="F53" s="1" t="str">
        <f t="array" ref="F53">IF(NOT(ISBLANK($A53)), (_xlfn.XLOOKUP($A53,Index!$B$2:$B$995,Index!$E$2:$E$995,"Not Found")),"")</f>
        <v/>
      </c>
      <c r="G53" s="1" t="str">
        <f t="array" ref="G53">IF(NOT(ISBLANK(A53)), ((_xlfn.XLOOKUP(A53,Index!$B$2:$B$995,Index!$F$2:$F$995,"Not Found"))*B53),"")</f>
        <v/>
      </c>
    </row>
    <row r="54">
      <c r="C54" s="1" t="str">
        <f t="array" ref="C54">IF(NOT(ISBLANK($A54)), (_xlfn.XLOOKUP($A54,Index!$B$2:$B$995,Index!$C$2:$C$995,"Not Found")),"")</f>
        <v/>
      </c>
      <c r="D54" s="1" t="str">
        <f t="array" ref="D54">IF(NOT(ISBLANK(A54)), (_xlfn.XLOOKUP($A54,Index!$B$2:B$995,Index!$A$2:$A$995,"Not Found")),"")</f>
        <v/>
      </c>
      <c r="E54" s="2" t="str">
        <f t="array" ref="E54">IF(NOT(ISBLANK($A54)), (_xlfn.XLOOKUP($A54,Index!$B$2:$B$995,Index!$D$2:$D$995,"Not Found")),"")</f>
        <v/>
      </c>
      <c r="F54" s="1" t="str">
        <f t="array" ref="F54">IF(NOT(ISBLANK($A54)), (_xlfn.XLOOKUP($A54,Index!$B$2:$B$995,Index!$E$2:$E$995,"Not Found")),"")</f>
        <v/>
      </c>
      <c r="G54" s="1" t="str">
        <f t="array" ref="G54">IF(NOT(ISBLANK(A54)), ((_xlfn.XLOOKUP(A54,Index!$B$2:$B$995,Index!$F$2:$F$995,"Not Found"))*B54),"")</f>
        <v/>
      </c>
    </row>
    <row r="55">
      <c r="C55" s="1" t="str">
        <f t="array" ref="C55">IF(NOT(ISBLANK($A55)), (_xlfn.XLOOKUP($A55,Index!$B$2:$B$995,Index!$C$2:$C$995,"Not Found")),"")</f>
        <v/>
      </c>
      <c r="D55" s="1" t="str">
        <f t="array" ref="D55">IF(NOT(ISBLANK(A55)), (_xlfn.XLOOKUP($A55,Index!$B$2:B$995,Index!$A$2:$A$995,"Not Found")),"")</f>
        <v/>
      </c>
      <c r="E55" s="2" t="str">
        <f t="array" ref="E55">IF(NOT(ISBLANK($A55)), (_xlfn.XLOOKUP($A55,Index!$B$2:$B$995,Index!$D$2:$D$995,"Not Found")),"")</f>
        <v/>
      </c>
      <c r="F55" s="1" t="str">
        <f t="array" ref="F55">IF(NOT(ISBLANK($A55)), (_xlfn.XLOOKUP($A55,Index!$B$2:$B$995,Index!$E$2:$E$995,"Not Found")),"")</f>
        <v/>
      </c>
      <c r="G55" s="1" t="str">
        <f t="array" ref="G55">IF(NOT(ISBLANK(A55)), ((_xlfn.XLOOKUP(A55,Index!$B$2:$B$995,Index!$F$2:$F$995,"Not Found"))*B55),"")</f>
        <v/>
      </c>
    </row>
    <row r="56">
      <c r="C56" s="1" t="str">
        <f t="array" ref="C56">IF(NOT(ISBLANK($A56)), (_xlfn.XLOOKUP($A56,Index!$B$2:$B$995,Index!$C$2:$C$995,"Not Found")),"")</f>
        <v/>
      </c>
      <c r="D56" s="1" t="str">
        <f t="array" ref="D56">IF(NOT(ISBLANK(A56)), (_xlfn.XLOOKUP($A56,Index!$B$2:B$995,Index!$A$2:$A$995,"Not Found")),"")</f>
        <v/>
      </c>
      <c r="E56" s="2" t="str">
        <f t="array" ref="E56">IF(NOT(ISBLANK($A56)), (_xlfn.XLOOKUP($A56,Index!$B$2:$B$995,Index!$D$2:$D$995,"Not Found")),"")</f>
        <v/>
      </c>
      <c r="F56" s="1" t="str">
        <f t="array" ref="F56">IF(NOT(ISBLANK($A56)), (_xlfn.XLOOKUP($A56,Index!$B$2:$B$995,Index!$E$2:$E$995,"Not Found")),"")</f>
        <v/>
      </c>
      <c r="G56" s="1" t="str">
        <f t="array" ref="G56">IF(NOT(ISBLANK(A56)), ((_xlfn.XLOOKUP(A56,Index!$B$2:$B$995,Index!$F$2:$F$995,"Not Found"))*B56),"")</f>
        <v/>
      </c>
    </row>
    <row r="57">
      <c r="C57" s="1" t="str">
        <f t="array" ref="C57">IF(NOT(ISBLANK($A57)), (_xlfn.XLOOKUP($A57,Index!$B$2:$B$995,Index!$C$2:$C$995,"Not Found")),"")</f>
        <v/>
      </c>
      <c r="D57" s="1" t="str">
        <f t="array" ref="D57">IF(NOT(ISBLANK(A57)), (_xlfn.XLOOKUP($A57,Index!$B$2:B$995,Index!$A$2:$A$995,"Not Found")),"")</f>
        <v/>
      </c>
      <c r="E57" s="2" t="str">
        <f t="array" ref="E57">IF(NOT(ISBLANK($A57)), (_xlfn.XLOOKUP($A57,Index!$B$2:$B$995,Index!$D$2:$D$995,"Not Found")),"")</f>
        <v/>
      </c>
      <c r="F57" s="1" t="str">
        <f t="array" ref="F57">IF(NOT(ISBLANK($A57)), (_xlfn.XLOOKUP($A57,Index!$B$2:$B$995,Index!$E$2:$E$995,"Not Found")),"")</f>
        <v/>
      </c>
      <c r="G57" s="1" t="str">
        <f t="array" ref="G57">IF(NOT(ISBLANK(A57)), ((_xlfn.XLOOKUP(A57,Index!$B$2:$B$995,Index!$F$2:$F$995,"Not Found"))*B57),"")</f>
        <v/>
      </c>
    </row>
    <row r="58">
      <c r="C58" s="1" t="str">
        <f t="array" ref="C58">IF(NOT(ISBLANK($A58)), (_xlfn.XLOOKUP($A58,Index!$B$2:$B$995,Index!$C$2:$C$995,"Not Found")),"")</f>
        <v/>
      </c>
      <c r="D58" s="1" t="str">
        <f t="array" ref="D58">IF(NOT(ISBLANK(A58)), (_xlfn.XLOOKUP($A58,Index!$B$2:B$995,Index!$A$2:$A$995,"Not Found")),"")</f>
        <v/>
      </c>
      <c r="E58" s="2" t="str">
        <f t="array" ref="E58">IF(NOT(ISBLANK($A58)), (_xlfn.XLOOKUP($A58,Index!$B$2:$B$995,Index!$D$2:$D$995,"Not Found")),"")</f>
        <v/>
      </c>
      <c r="F58" s="1" t="str">
        <f t="array" ref="F58">IF(NOT(ISBLANK($A58)), (_xlfn.XLOOKUP($A58,Index!$B$2:$B$995,Index!$E$2:$E$995,"Not Found")),"")</f>
        <v/>
      </c>
      <c r="G58" s="1" t="str">
        <f t="array" ref="G58">IF(NOT(ISBLANK(A58)), ((_xlfn.XLOOKUP(A58,Index!$B$2:$B$995,Index!$F$2:$F$995,"Not Found"))*B58),"")</f>
        <v/>
      </c>
    </row>
    <row r="59">
      <c r="C59" s="1" t="str">
        <f t="array" ref="C59">IF(NOT(ISBLANK($A59)), (_xlfn.XLOOKUP($A59,Index!$B$2:$B$995,Index!$C$2:$C$995,"Not Found")),"")</f>
        <v/>
      </c>
      <c r="D59" s="1" t="str">
        <f t="array" ref="D59">IF(NOT(ISBLANK(A59)), (_xlfn.XLOOKUP($A59,Index!$B$2:B$995,Index!$A$2:$A$995,"Not Found")),"")</f>
        <v/>
      </c>
      <c r="E59" s="2" t="str">
        <f t="array" ref="E59">IF(NOT(ISBLANK($A59)), (_xlfn.XLOOKUP($A59,Index!$B$2:$B$995,Index!$D$2:$D$995,"Not Found")),"")</f>
        <v/>
      </c>
      <c r="F59" s="1" t="str">
        <f t="array" ref="F59">IF(NOT(ISBLANK($A59)), (_xlfn.XLOOKUP($A59,Index!$B$2:$B$995,Index!$E$2:$E$995,"Not Found")),"")</f>
        <v/>
      </c>
      <c r="G59" s="1" t="str">
        <f t="array" ref="G59">IF(NOT(ISBLANK(A59)), ((_xlfn.XLOOKUP(A59,Index!$B$2:$B$995,Index!$F$2:$F$995,"Not Found"))*B59),"")</f>
        <v/>
      </c>
    </row>
    <row r="60">
      <c r="C60" s="1" t="str">
        <f t="array" ref="C60">IF(NOT(ISBLANK($A60)), (_xlfn.XLOOKUP($A60,Index!$B$2:$B$995,Index!$C$2:$C$995,"Not Found")),"")</f>
        <v/>
      </c>
      <c r="D60" s="1" t="str">
        <f t="array" ref="D60">IF(NOT(ISBLANK(A60)), (_xlfn.XLOOKUP($A60,Index!$B$2:B$995,Index!$A$2:$A$995,"Not Found")),"")</f>
        <v/>
      </c>
      <c r="E60" s="2" t="str">
        <f t="array" ref="E60">IF(NOT(ISBLANK($A60)), (_xlfn.XLOOKUP($A60,Index!$B$2:$B$995,Index!$D$2:$D$995,"Not Found")),"")</f>
        <v/>
      </c>
      <c r="F60" s="1" t="str">
        <f t="array" ref="F60">IF(NOT(ISBLANK($A60)), (_xlfn.XLOOKUP($A60,Index!$B$2:$B$995,Index!$E$2:$E$995,"Not Found")),"")</f>
        <v/>
      </c>
      <c r="G60" s="1" t="str">
        <f t="array" ref="G60">IF(NOT(ISBLANK(A60)), ((_xlfn.XLOOKUP(A60,Index!$B$2:$B$995,Index!$F$2:$F$995,"Not Found"))*B60),"")</f>
        <v/>
      </c>
    </row>
    <row r="61">
      <c r="C61" s="1" t="str">
        <f t="array" ref="C61">IF(NOT(ISBLANK($A61)), (_xlfn.XLOOKUP($A61,Index!$B$2:$B$995,Index!$C$2:$C$995,"Not Found")),"")</f>
        <v/>
      </c>
      <c r="D61" s="1" t="str">
        <f t="array" ref="D61">IF(NOT(ISBLANK(A61)), (_xlfn.XLOOKUP($A61,Index!$B$2:B$995,Index!$A$2:$A$995,"Not Found")),"")</f>
        <v/>
      </c>
      <c r="E61" s="2" t="str">
        <f t="array" ref="E61">IF(NOT(ISBLANK($A61)), (_xlfn.XLOOKUP($A61,Index!$B$2:$B$995,Index!$D$2:$D$995,"Not Found")),"")</f>
        <v/>
      </c>
      <c r="F61" s="1" t="str">
        <f t="array" ref="F61">IF(NOT(ISBLANK($A61)), (_xlfn.XLOOKUP($A61,Index!$B$2:$B$995,Index!$E$2:$E$995,"Not Found")),"")</f>
        <v/>
      </c>
      <c r="G61" s="1" t="str">
        <f t="array" ref="G61">IF(NOT(ISBLANK(A61)), ((_xlfn.XLOOKUP(A61,Index!$B$2:$B$995,Index!$F$2:$F$995,"Not Found"))*B61),"")</f>
        <v/>
      </c>
    </row>
    <row r="62">
      <c r="C62" s="1" t="str">
        <f t="array" ref="C62">IF(NOT(ISBLANK($A62)), (_xlfn.XLOOKUP($A62,Index!$B$2:$B$995,Index!$C$2:$C$995,"Not Found")),"")</f>
        <v/>
      </c>
      <c r="D62" s="1" t="str">
        <f t="array" ref="D62">IF(NOT(ISBLANK(A62)), (_xlfn.XLOOKUP($A62,Index!$B$2:B$995,Index!$A$2:$A$995,"Not Found")),"")</f>
        <v/>
      </c>
      <c r="E62" s="2" t="str">
        <f t="array" ref="E62">IF(NOT(ISBLANK($A62)), (_xlfn.XLOOKUP($A62,Index!$B$2:$B$995,Index!$D$2:$D$995,"Not Found")),"")</f>
        <v/>
      </c>
      <c r="F62" s="1" t="str">
        <f t="array" ref="F62">IF(NOT(ISBLANK($A62)), (_xlfn.XLOOKUP($A62,Index!$B$2:$B$995,Index!$E$2:$E$995,"Not Found")),"")</f>
        <v/>
      </c>
      <c r="G62" s="1" t="str">
        <f t="array" ref="G62">IF(NOT(ISBLANK(A62)), ((_xlfn.XLOOKUP(A62,Index!$B$2:$B$995,Index!$F$2:$F$995,"Not Found"))*B62),"")</f>
        <v/>
      </c>
    </row>
    <row r="63">
      <c r="C63" s="1" t="str">
        <f t="array" ref="C63">IF(NOT(ISBLANK($A63)), (_xlfn.XLOOKUP($A63,Index!$B$2:$B$995,Index!$C$2:$C$995,"Not Found")),"")</f>
        <v/>
      </c>
      <c r="D63" s="1" t="str">
        <f t="array" ref="D63">IF(NOT(ISBLANK(A63)), (_xlfn.XLOOKUP($A63,Index!$B$2:B$995,Index!$A$2:$A$995,"Not Found")),"")</f>
        <v/>
      </c>
      <c r="E63" s="2" t="str">
        <f t="array" ref="E63">IF(NOT(ISBLANK($A63)), (_xlfn.XLOOKUP($A63,Index!$B$2:$B$995,Index!$D$2:$D$995,"Not Found")),"")</f>
        <v/>
      </c>
      <c r="F63" s="1" t="str">
        <f t="array" ref="F63">IF(NOT(ISBLANK($A63)), (_xlfn.XLOOKUP($A63,Index!$B$2:$B$995,Index!$E$2:$E$995,"Not Found")),"")</f>
        <v/>
      </c>
      <c r="G63" s="1" t="str">
        <f t="array" ref="G63">IF(NOT(ISBLANK(A63)), ((_xlfn.XLOOKUP(A63,Index!$B$2:$B$995,Index!$F$2:$F$995,"Not Found"))*B63),"")</f>
        <v/>
      </c>
    </row>
    <row r="64">
      <c r="C64" s="1" t="str">
        <f t="array" ref="C64">IF(NOT(ISBLANK($A64)), (_xlfn.XLOOKUP($A64,Index!$B$2:$B$995,Index!$C$2:$C$995,"Not Found")),"")</f>
        <v/>
      </c>
      <c r="D64" s="1" t="str">
        <f t="array" ref="D64">IF(NOT(ISBLANK(A64)), (_xlfn.XLOOKUP($A64,Index!$B$2:B$995,Index!$A$2:$A$995,"Not Found")),"")</f>
        <v/>
      </c>
      <c r="E64" s="2" t="str">
        <f t="array" ref="E64">IF(NOT(ISBLANK($A64)), (_xlfn.XLOOKUP($A64,Index!$B$2:$B$995,Index!$D$2:$D$995,"Not Found")),"")</f>
        <v/>
      </c>
      <c r="F64" s="1" t="str">
        <f t="array" ref="F64">IF(NOT(ISBLANK($A64)), (_xlfn.XLOOKUP($A64,Index!$B$2:$B$995,Index!$E$2:$E$995,"Not Found")),"")</f>
        <v/>
      </c>
      <c r="G64" s="1" t="str">
        <f t="array" ref="G64">IF(NOT(ISBLANK(A64)), ((_xlfn.XLOOKUP(A64,Index!$B$2:$B$995,Index!$F$2:$F$995,"Not Found"))*B64),"")</f>
        <v/>
      </c>
    </row>
    <row r="65">
      <c r="C65" s="1" t="str">
        <f t="array" ref="C65">IF(NOT(ISBLANK($A65)), (_xlfn.XLOOKUP($A65,Index!$B$2:$B$995,Index!$C$2:$C$995,"Not Found")),"")</f>
        <v/>
      </c>
      <c r="D65" s="1" t="str">
        <f t="array" ref="D65">IF(NOT(ISBLANK(A65)), (_xlfn.XLOOKUP($A65,Index!$B$2:B$995,Index!$A$2:$A$995,"Not Found")),"")</f>
        <v/>
      </c>
      <c r="E65" s="2" t="str">
        <f t="array" ref="E65">IF(NOT(ISBLANK($A65)), (_xlfn.XLOOKUP($A65,Index!$B$2:$B$995,Index!$D$2:$D$995,"Not Found")),"")</f>
        <v/>
      </c>
      <c r="F65" s="1" t="str">
        <f t="array" ref="F65">IF(NOT(ISBLANK($A65)), (_xlfn.XLOOKUP($A65,Index!$B$2:$B$995,Index!$E$2:$E$995,"Not Found")),"")</f>
        <v/>
      </c>
      <c r="G65" s="1" t="str">
        <f t="array" ref="G65">IF(NOT(ISBLANK(A65)), ((_xlfn.XLOOKUP(A65,Index!$B$2:$B$995,Index!$F$2:$F$995,"Not Found"))*B65),"")</f>
        <v/>
      </c>
    </row>
    <row r="66">
      <c r="C66" s="1" t="str">
        <f t="array" ref="C66">IF(NOT(ISBLANK($A66)), (_xlfn.XLOOKUP($A66,Index!$B$2:$B$995,Index!$C$2:$C$995,"Not Found")),"")</f>
        <v/>
      </c>
      <c r="D66" s="1" t="str">
        <f t="array" ref="D66">IF(NOT(ISBLANK(A66)), (_xlfn.XLOOKUP($A66,Index!$B$2:B$995,Index!$A$2:$A$995,"Not Found")),"")</f>
        <v/>
      </c>
      <c r="E66" s="2" t="str">
        <f t="array" ref="E66">IF(NOT(ISBLANK($A66)), (_xlfn.XLOOKUP($A66,Index!$B$2:$B$995,Index!$D$2:$D$995,"Not Found")),"")</f>
        <v/>
      </c>
      <c r="F66" s="1" t="str">
        <f t="array" ref="F66">IF(NOT(ISBLANK($A66)), (_xlfn.XLOOKUP($A66,Index!$B$2:$B$995,Index!$E$2:$E$995,"Not Found")),"")</f>
        <v/>
      </c>
      <c r="G66" s="1" t="str">
        <f t="array" ref="G66">IF(NOT(ISBLANK(A66)), ((_xlfn.XLOOKUP(A66,Index!$B$2:$B$995,Index!$F$2:$F$995,"Not Found"))*B66),"")</f>
        <v/>
      </c>
    </row>
    <row r="67">
      <c r="C67" s="1" t="str">
        <f t="array" ref="C67">IF(NOT(ISBLANK($A67)), (_xlfn.XLOOKUP($A67,Index!$B$2:$B$995,Index!$C$2:$C$995,"Not Found")),"")</f>
        <v/>
      </c>
      <c r="D67" s="1" t="str">
        <f t="array" ref="D67">IF(NOT(ISBLANK(A67)), (_xlfn.XLOOKUP($A67,Index!$B$2:B$995,Index!$A$2:$A$995,"Not Found")),"")</f>
        <v/>
      </c>
      <c r="E67" s="2" t="str">
        <f t="array" ref="E67">IF(NOT(ISBLANK($A67)), (_xlfn.XLOOKUP($A67,Index!$B$2:$B$995,Index!$D$2:$D$995,"Not Found")),"")</f>
        <v/>
      </c>
      <c r="F67" s="1" t="str">
        <f t="array" ref="F67">IF(NOT(ISBLANK($A67)), (_xlfn.XLOOKUP($A67,Index!$B$2:$B$995,Index!$E$2:$E$995,"Not Found")),"")</f>
        <v/>
      </c>
      <c r="G67" s="1" t="str">
        <f t="array" ref="G67">IF(NOT(ISBLANK(A67)), ((_xlfn.XLOOKUP(A67,Index!$B$2:$B$995,Index!$F$2:$F$995,"Not Found"))*B67),"")</f>
        <v/>
      </c>
    </row>
    <row r="68">
      <c r="C68" s="1" t="str">
        <f t="array" ref="C68">IF(NOT(ISBLANK($A68)), (_xlfn.XLOOKUP($A68,Index!$B$2:$B$995,Index!$C$2:$C$995,"Not Found")),"")</f>
        <v/>
      </c>
      <c r="D68" s="1" t="str">
        <f t="array" ref="D68">IF(NOT(ISBLANK(A68)), (_xlfn.XLOOKUP($A68,Index!$B$2:B$995,Index!$A$2:$A$995,"Not Found")),"")</f>
        <v/>
      </c>
      <c r="E68" s="2" t="str">
        <f t="array" ref="E68">IF(NOT(ISBLANK($A68)), (_xlfn.XLOOKUP($A68,Index!$B$2:$B$995,Index!$D$2:$D$995,"Not Found")),"")</f>
        <v/>
      </c>
      <c r="F68" s="1" t="str">
        <f t="array" ref="F68">IF(NOT(ISBLANK($A68)), (_xlfn.XLOOKUP($A68,Index!$B$2:$B$995,Index!$E$2:$E$995,"Not Found")),"")</f>
        <v/>
      </c>
      <c r="G68" s="1" t="str">
        <f t="array" ref="G68">IF(NOT(ISBLANK(A68)), ((_xlfn.XLOOKUP(A68,Index!$B$2:$B$995,Index!$F$2:$F$995,"Not Found"))*B68),"")</f>
        <v/>
      </c>
    </row>
    <row r="69">
      <c r="C69" s="1" t="str">
        <f t="array" ref="C69">IF(NOT(ISBLANK($A69)), (_xlfn.XLOOKUP($A69,Index!$B$2:$B$995,Index!$C$2:$C$995,"Not Found")),"")</f>
        <v/>
      </c>
      <c r="D69" s="1" t="str">
        <f t="array" ref="D69">IF(NOT(ISBLANK(A69)), (_xlfn.XLOOKUP($A69,Index!$B$2:B$995,Index!$A$2:$A$995,"Not Found")),"")</f>
        <v/>
      </c>
      <c r="E69" s="2" t="str">
        <f t="array" ref="E69">IF(NOT(ISBLANK($A69)), (_xlfn.XLOOKUP($A69,Index!$B$2:$B$995,Index!$D$2:$D$995,"Not Found")),"")</f>
        <v/>
      </c>
      <c r="F69" s="1" t="str">
        <f t="array" ref="F69">IF(NOT(ISBLANK($A69)), (_xlfn.XLOOKUP($A69,Index!$B$2:$B$995,Index!$E$2:$E$995,"Not Found")),"")</f>
        <v/>
      </c>
      <c r="G69" s="1" t="str">
        <f t="array" ref="G69">IF(NOT(ISBLANK(A69)), ((_xlfn.XLOOKUP(A69,Index!$B$2:$B$995,Index!$F$2:$F$995,"Not Found"))*B69),"")</f>
        <v/>
      </c>
    </row>
    <row r="70">
      <c r="C70" s="1" t="str">
        <f t="array" ref="C70">IF(NOT(ISBLANK($A70)), (_xlfn.XLOOKUP($A70,Index!$B$2:$B$995,Index!$C$2:$C$995,"Not Found")),"")</f>
        <v/>
      </c>
      <c r="D70" s="1" t="str">
        <f t="array" ref="D70">IF(NOT(ISBLANK(A70)), (_xlfn.XLOOKUP($A70,Index!$B$2:B$995,Index!$A$2:$A$995,"Not Found")),"")</f>
        <v/>
      </c>
      <c r="E70" s="2" t="str">
        <f t="array" ref="E70">IF(NOT(ISBLANK($A70)), (_xlfn.XLOOKUP($A70,Index!$B$2:$B$995,Index!$D$2:$D$995,"Not Found")),"")</f>
        <v/>
      </c>
      <c r="F70" s="1" t="str">
        <f t="array" ref="F70">IF(NOT(ISBLANK($A70)), (_xlfn.XLOOKUP($A70,Index!$B$2:$B$995,Index!$E$2:$E$995,"Not Found")),"")</f>
        <v/>
      </c>
      <c r="G70" s="1" t="str">
        <f t="array" ref="G70">IF(NOT(ISBLANK(A70)), ((_xlfn.XLOOKUP(A70,Index!$B$2:$B$995,Index!$F$2:$F$995,"Not Found"))*B70),"")</f>
        <v/>
      </c>
    </row>
    <row r="71">
      <c r="C71" s="1" t="str">
        <f t="array" ref="C71">IF(NOT(ISBLANK($A71)), (_xlfn.XLOOKUP($A71,Index!$B$2:$B$995,Index!$C$2:$C$995,"Not Found")),"")</f>
        <v/>
      </c>
      <c r="D71" s="1" t="str">
        <f t="array" ref="D71">IF(NOT(ISBLANK(A71)), (_xlfn.XLOOKUP($A71,Index!$B$2:B$995,Index!$A$2:$A$995,"Not Found")),"")</f>
        <v/>
      </c>
      <c r="E71" s="2" t="str">
        <f t="array" ref="E71">IF(NOT(ISBLANK($A71)), (_xlfn.XLOOKUP($A71,Index!$B$2:$B$995,Index!$D$2:$D$995,"Not Found")),"")</f>
        <v/>
      </c>
      <c r="F71" s="1" t="str">
        <f t="array" ref="F71">IF(NOT(ISBLANK($A71)), (_xlfn.XLOOKUP($A71,Index!$B$2:$B$995,Index!$E$2:$E$995,"Not Found")),"")</f>
        <v/>
      </c>
      <c r="G71" s="1" t="str">
        <f t="array" ref="G71">IF(NOT(ISBLANK(A71)), ((_xlfn.XLOOKUP(A71,Index!$B$2:$B$995,Index!$F$2:$F$995,"Not Found"))*B71),"")</f>
        <v/>
      </c>
    </row>
    <row r="72">
      <c r="C72" s="1" t="str">
        <f t="array" ref="C72">IF(NOT(ISBLANK($A72)), (_xlfn.XLOOKUP($A72,Index!$B$2:$B$995,Index!$C$2:$C$995,"Not Found")),"")</f>
        <v/>
      </c>
      <c r="D72" s="1" t="str">
        <f t="array" ref="D72">IF(NOT(ISBLANK(A72)), (_xlfn.XLOOKUP($A72,Index!$B$2:B$995,Index!$A$2:$A$995,"Not Found")),"")</f>
        <v/>
      </c>
      <c r="E72" s="2" t="str">
        <f t="array" ref="E72">IF(NOT(ISBLANK($A72)), (_xlfn.XLOOKUP($A72,Index!$B$2:$B$995,Index!$D$2:$D$995,"Not Found")),"")</f>
        <v/>
      </c>
      <c r="F72" s="1" t="str">
        <f t="array" ref="F72">IF(NOT(ISBLANK($A72)), (_xlfn.XLOOKUP($A72,Index!$B$2:$B$995,Index!$E$2:$E$995,"Not Found")),"")</f>
        <v/>
      </c>
      <c r="G72" s="1" t="str">
        <f t="array" ref="G72">IF(NOT(ISBLANK(A72)), ((_xlfn.XLOOKUP(A72,Index!$B$2:$B$995,Index!$F$2:$F$995,"Not Found"))*B72),"")</f>
        <v/>
      </c>
    </row>
    <row r="73">
      <c r="C73" s="1" t="str">
        <f t="array" ref="C73">IF(NOT(ISBLANK($A73)), (_xlfn.XLOOKUP($A73,Index!$B$2:$B$995,Index!$C$2:$C$995,"Not Found")),"")</f>
        <v/>
      </c>
      <c r="D73" s="1" t="str">
        <f t="array" ref="D73">IF(NOT(ISBLANK(A73)), (_xlfn.XLOOKUP($A73,Index!$B$2:B$995,Index!$A$2:$A$995,"Not Found")),"")</f>
        <v/>
      </c>
      <c r="E73" s="2" t="str">
        <f t="array" ref="E73">IF(NOT(ISBLANK($A73)), (_xlfn.XLOOKUP($A73,Index!$B$2:$B$995,Index!$D$2:$D$995,"Not Found")),"")</f>
        <v/>
      </c>
      <c r="F73" s="1" t="str">
        <f t="array" ref="F73">IF(NOT(ISBLANK($A73)), (_xlfn.XLOOKUP($A73,Index!$B$2:$B$995,Index!$E$2:$E$995,"Not Found")),"")</f>
        <v/>
      </c>
      <c r="G73" s="1" t="str">
        <f t="array" ref="G73">IF(NOT(ISBLANK(A73)), ((_xlfn.XLOOKUP(A73,Index!$B$2:$B$995,Index!$F$2:$F$995,"Not Found"))*B73),"")</f>
        <v/>
      </c>
    </row>
    <row r="74">
      <c r="C74" s="1" t="str">
        <f t="array" ref="C74">IF(NOT(ISBLANK($A74)), (_xlfn.XLOOKUP($A74,Index!$B$2:$B$995,Index!$C$2:$C$995,"Not Found")),"")</f>
        <v/>
      </c>
      <c r="D74" s="1" t="str">
        <f t="array" ref="D74">IF(NOT(ISBLANK(A74)), (_xlfn.XLOOKUP($A74,Index!$B$2:B$995,Index!$A$2:$A$995,"Not Found")),"")</f>
        <v/>
      </c>
      <c r="E74" s="2" t="str">
        <f t="array" ref="E74">IF(NOT(ISBLANK($A74)), (_xlfn.XLOOKUP($A74,Index!$B$2:$B$995,Index!$D$2:$D$995,"Not Found")),"")</f>
        <v/>
      </c>
      <c r="F74" s="1" t="str">
        <f t="array" ref="F74">IF(NOT(ISBLANK($A74)), (_xlfn.XLOOKUP($A74,Index!$B$2:$B$995,Index!$E$2:$E$995,"Not Found")),"")</f>
        <v/>
      </c>
      <c r="G74" s="1" t="str">
        <f t="array" ref="G74">IF(NOT(ISBLANK(A74)), ((_xlfn.XLOOKUP(A74,Index!$B$2:$B$995,Index!$F$2:$F$995,"Not Found"))*B74),"")</f>
        <v/>
      </c>
    </row>
    <row r="75">
      <c r="C75" s="1" t="str">
        <f t="array" ref="C75">IF(NOT(ISBLANK($A75)), (_xlfn.XLOOKUP($A75,Index!$B$2:$B$995,Index!$C$2:$C$995,"Not Found")),"")</f>
        <v/>
      </c>
      <c r="D75" s="1" t="str">
        <f t="array" ref="D75">IF(NOT(ISBLANK(A75)), (_xlfn.XLOOKUP($A75,Index!$B$2:B$995,Index!$A$2:$A$995,"Not Found")),"")</f>
        <v/>
      </c>
      <c r="E75" s="2" t="str">
        <f t="array" ref="E75">IF(NOT(ISBLANK($A75)), (_xlfn.XLOOKUP($A75,Index!$B$2:$B$995,Index!$D$2:$D$995,"Not Found")),"")</f>
        <v/>
      </c>
      <c r="F75" s="1" t="str">
        <f t="array" ref="F75">IF(NOT(ISBLANK($A75)), (_xlfn.XLOOKUP($A75,Index!$B$2:$B$995,Index!$E$2:$E$995,"Not Found")),"")</f>
        <v/>
      </c>
      <c r="G75" s="1" t="str">
        <f t="array" ref="G75">IF(NOT(ISBLANK(A75)), ((_xlfn.XLOOKUP(A75,Index!$B$2:$B$995,Index!$F$2:$F$995,"Not Found"))*B75),"")</f>
        <v/>
      </c>
    </row>
    <row r="76">
      <c r="C76" s="1" t="str">
        <f t="array" ref="C76">IF(NOT(ISBLANK($A76)), (_xlfn.XLOOKUP($A76,Index!$B$2:$B$995,Index!$C$2:$C$995,"Not Found")),"")</f>
        <v/>
      </c>
      <c r="D76" s="1" t="str">
        <f t="array" ref="D76">IF(NOT(ISBLANK(A76)), (_xlfn.XLOOKUP($A76,Index!$B$2:B$995,Index!$A$2:$A$995,"Not Found")),"")</f>
        <v/>
      </c>
      <c r="E76" s="2" t="str">
        <f t="array" ref="E76">IF(NOT(ISBLANK($A76)), (_xlfn.XLOOKUP($A76,Index!$B$2:$B$995,Index!$D$2:$D$995,"Not Found")),"")</f>
        <v/>
      </c>
      <c r="F76" s="1" t="str">
        <f t="array" ref="F76">IF(NOT(ISBLANK($A76)), (_xlfn.XLOOKUP($A76,Index!$B$2:$B$995,Index!$E$2:$E$995,"Not Found")),"")</f>
        <v/>
      </c>
      <c r="G76" s="1" t="str">
        <f t="array" ref="G76">IF(NOT(ISBLANK(A76)), ((_xlfn.XLOOKUP(A76,Index!$B$2:$B$995,Index!$F$2:$F$995,"Not Found"))*B76),"")</f>
        <v/>
      </c>
    </row>
    <row r="77">
      <c r="C77" s="1" t="str">
        <f t="array" ref="C77">IF(NOT(ISBLANK($A77)), (_xlfn.XLOOKUP($A77,Index!$B$2:$B$995,Index!$C$2:$C$995,"Not Found")),"")</f>
        <v/>
      </c>
      <c r="D77" s="1" t="str">
        <f t="array" ref="D77">IF(NOT(ISBLANK(A77)), (_xlfn.XLOOKUP($A77,Index!$B$2:B$995,Index!$A$2:$A$995,"Not Found")),"")</f>
        <v/>
      </c>
      <c r="E77" s="2" t="str">
        <f t="array" ref="E77">IF(NOT(ISBLANK($A77)), (_xlfn.XLOOKUP($A77,Index!$B$2:$B$995,Index!$D$2:$D$995,"Not Found")),"")</f>
        <v/>
      </c>
      <c r="F77" s="1" t="str">
        <f t="array" ref="F77">IF(NOT(ISBLANK($A77)), (_xlfn.XLOOKUP($A77,Index!$B$2:$B$995,Index!$E$2:$E$995,"Not Found")),"")</f>
        <v/>
      </c>
      <c r="G77" s="1" t="str">
        <f t="array" ref="G77">IF(NOT(ISBLANK(A77)), ((_xlfn.XLOOKUP(A77,Index!$B$2:$B$995,Index!$F$2:$F$995,"Not Found"))*B77),"")</f>
        <v/>
      </c>
    </row>
    <row r="78">
      <c r="E78" s="7"/>
    </row>
    <row r="79">
      <c r="E79" s="7"/>
    </row>
    <row r="80">
      <c r="E80" s="7"/>
    </row>
    <row r="81">
      <c r="E81" s="7"/>
    </row>
    <row r="82">
      <c r="E82" s="7"/>
    </row>
    <row r="83">
      <c r="E83" s="7"/>
    </row>
    <row r="84">
      <c r="E84" s="7"/>
    </row>
    <row r="85">
      <c r="E85" s="7"/>
    </row>
    <row r="86">
      <c r="E86" s="7"/>
    </row>
    <row r="87">
      <c r="E87" s="7"/>
    </row>
    <row r="88">
      <c r="E88" s="7"/>
    </row>
    <row r="89">
      <c r="E89" s="7"/>
    </row>
    <row r="90">
      <c r="E90" s="7"/>
    </row>
    <row r="91">
      <c r="E91" s="7"/>
    </row>
    <row r="92">
      <c r="E92" s="7"/>
    </row>
    <row r="93">
      <c r="E93" s="7"/>
    </row>
    <row r="94">
      <c r="E94" s="7"/>
    </row>
    <row r="95">
      <c r="E95" s="7"/>
    </row>
    <row r="96">
      <c r="E96" s="7"/>
    </row>
    <row r="97">
      <c r="E97" s="7"/>
    </row>
    <row r="98">
      <c r="E98" s="7"/>
    </row>
    <row r="99">
      <c r="E99" s="7"/>
    </row>
    <row r="100">
      <c r="E100" s="7"/>
    </row>
    <row r="101">
      <c r="E101" s="7"/>
    </row>
    <row r="102">
      <c r="E102" s="7"/>
    </row>
    <row r="103">
      <c r="E103" s="7"/>
    </row>
    <row r="104">
      <c r="E104" s="7"/>
    </row>
    <row r="105">
      <c r="E105" s="7"/>
    </row>
    <row r="106">
      <c r="E106" s="7"/>
    </row>
    <row r="107">
      <c r="E107" s="7"/>
    </row>
    <row r="108">
      <c r="E108" s="7"/>
    </row>
    <row r="109">
      <c r="E109" s="7"/>
    </row>
    <row r="110">
      <c r="E110" s="7"/>
    </row>
    <row r="111">
      <c r="E111" s="7"/>
    </row>
    <row r="112">
      <c r="E112" s="7"/>
    </row>
    <row r="113">
      <c r="E113" s="7"/>
    </row>
    <row r="114">
      <c r="E114" s="7"/>
    </row>
    <row r="115">
      <c r="E115" s="7"/>
    </row>
    <row r="116">
      <c r="E116" s="7"/>
    </row>
    <row r="117">
      <c r="E117" s="7"/>
    </row>
    <row r="118">
      <c r="E118" s="7"/>
    </row>
    <row r="119">
      <c r="E119" s="7"/>
    </row>
    <row r="120">
      <c r="E120" s="7"/>
    </row>
    <row r="121">
      <c r="E121" s="7"/>
    </row>
    <row r="122">
      <c r="E122" s="7"/>
    </row>
    <row r="123">
      <c r="E123" s="7"/>
    </row>
    <row r="124">
      <c r="E124" s="7"/>
    </row>
    <row r="125">
      <c r="E125" s="7"/>
    </row>
    <row r="126">
      <c r="E126" s="7"/>
    </row>
    <row r="127">
      <c r="E127" s="7"/>
    </row>
    <row r="128">
      <c r="E128" s="7"/>
    </row>
    <row r="129">
      <c r="E129" s="7"/>
    </row>
    <row r="130">
      <c r="E130" s="7"/>
    </row>
    <row r="131">
      <c r="E131" s="7"/>
    </row>
    <row r="132">
      <c r="E132" s="7"/>
    </row>
    <row r="133">
      <c r="E133" s="7"/>
    </row>
    <row r="134">
      <c r="E134" s="7"/>
    </row>
    <row r="135">
      <c r="E135" s="7"/>
    </row>
    <row r="136">
      <c r="E136" s="7"/>
    </row>
    <row r="137">
      <c r="E137" s="7"/>
    </row>
    <row r="138">
      <c r="E138" s="7"/>
    </row>
    <row r="139">
      <c r="E139" s="7"/>
    </row>
    <row r="140">
      <c r="E140" s="7"/>
    </row>
    <row r="141">
      <c r="E141" s="7"/>
    </row>
    <row r="142">
      <c r="E142" s="7"/>
    </row>
    <row r="143">
      <c r="E143" s="7"/>
    </row>
    <row r="144">
      <c r="E144" s="7"/>
    </row>
    <row r="145">
      <c r="E145" s="7"/>
    </row>
    <row r="146">
      <c r="E146" s="7"/>
    </row>
    <row r="147">
      <c r="E147" s="7"/>
    </row>
    <row r="148">
      <c r="E148" s="7"/>
    </row>
    <row r="149">
      <c r="E149" s="7"/>
    </row>
    <row r="150">
      <c r="E150" s="7"/>
    </row>
    <row r="151">
      <c r="E151" s="7"/>
    </row>
    <row r="152">
      <c r="E152" s="7"/>
    </row>
    <row r="153">
      <c r="E153" s="7"/>
    </row>
    <row r="154">
      <c r="E154" s="7"/>
    </row>
    <row r="155">
      <c r="E155" s="7"/>
    </row>
    <row r="156">
      <c r="E156" s="7"/>
    </row>
    <row r="157">
      <c r="E157" s="7"/>
    </row>
    <row r="158">
      <c r="E158" s="7"/>
    </row>
    <row r="159">
      <c r="E159" s="7"/>
    </row>
    <row r="160">
      <c r="E160" s="7"/>
    </row>
    <row r="161">
      <c r="E161" s="7"/>
    </row>
    <row r="162">
      <c r="E162" s="7"/>
    </row>
    <row r="163">
      <c r="E163" s="7"/>
    </row>
    <row r="164">
      <c r="E164" s="7"/>
    </row>
    <row r="165">
      <c r="E165" s="7"/>
    </row>
    <row r="166">
      <c r="E166" s="7"/>
    </row>
    <row r="167">
      <c r="E167" s="7"/>
    </row>
    <row r="168">
      <c r="E168" s="7"/>
    </row>
    <row r="169">
      <c r="E169" s="7"/>
    </row>
    <row r="170">
      <c r="E170" s="7"/>
    </row>
    <row r="171">
      <c r="E171" s="7"/>
    </row>
    <row r="172">
      <c r="E172" s="7"/>
    </row>
    <row r="173">
      <c r="E173" s="7"/>
    </row>
    <row r="174">
      <c r="E174" s="7"/>
    </row>
    <row r="175">
      <c r="E175" s="7"/>
    </row>
    <row r="176">
      <c r="E176" s="7"/>
    </row>
    <row r="177">
      <c r="E177" s="7"/>
    </row>
    <row r="178">
      <c r="E178" s="7"/>
    </row>
    <row r="179">
      <c r="E179" s="7"/>
    </row>
    <row r="180">
      <c r="E180" s="7"/>
    </row>
    <row r="181">
      <c r="E181" s="7"/>
    </row>
    <row r="182">
      <c r="E182" s="7"/>
    </row>
    <row r="183">
      <c r="E183" s="7"/>
    </row>
    <row r="184">
      <c r="E184" s="7"/>
    </row>
    <row r="185">
      <c r="E185" s="7"/>
    </row>
    <row r="186">
      <c r="E186" s="7"/>
    </row>
    <row r="187">
      <c r="E187" s="7"/>
    </row>
    <row r="188">
      <c r="E188" s="7"/>
    </row>
    <row r="189">
      <c r="E189" s="7"/>
    </row>
    <row r="190">
      <c r="E190" s="7"/>
    </row>
    <row r="191">
      <c r="E191" s="7"/>
    </row>
    <row r="192">
      <c r="E192" s="7"/>
    </row>
    <row r="193">
      <c r="E193" s="7"/>
    </row>
    <row r="194">
      <c r="E194" s="7"/>
    </row>
    <row r="195">
      <c r="E195" s="7"/>
    </row>
    <row r="196">
      <c r="E196" s="7"/>
    </row>
    <row r="197">
      <c r="E197" s="7"/>
    </row>
    <row r="198">
      <c r="E198" s="7"/>
    </row>
    <row r="199">
      <c r="E199" s="7"/>
    </row>
    <row r="200">
      <c r="E200" s="7"/>
    </row>
    <row r="201">
      <c r="E201" s="7"/>
    </row>
    <row r="202">
      <c r="E202" s="7"/>
    </row>
    <row r="203">
      <c r="E203" s="7"/>
    </row>
    <row r="204">
      <c r="E204" s="7"/>
    </row>
    <row r="205">
      <c r="E205" s="7"/>
    </row>
    <row r="206">
      <c r="E206" s="7"/>
    </row>
    <row r="207">
      <c r="E207" s="7"/>
    </row>
    <row r="208">
      <c r="E208" s="7"/>
    </row>
    <row r="209">
      <c r="E209" s="7"/>
    </row>
    <row r="210">
      <c r="E210" s="7"/>
    </row>
    <row r="211">
      <c r="E211" s="7"/>
    </row>
    <row r="212">
      <c r="E212" s="7"/>
    </row>
    <row r="213">
      <c r="E213" s="7"/>
    </row>
    <row r="214">
      <c r="E214" s="7"/>
    </row>
    <row r="215">
      <c r="E215" s="7"/>
    </row>
    <row r="216">
      <c r="E216" s="7"/>
    </row>
    <row r="217">
      <c r="E217" s="7"/>
    </row>
    <row r="218">
      <c r="E218" s="7"/>
    </row>
    <row r="219">
      <c r="E219" s="7"/>
    </row>
    <row r="220">
      <c r="E220" s="7"/>
    </row>
    <row r="221">
      <c r="E221" s="7"/>
    </row>
    <row r="222">
      <c r="E222" s="7"/>
    </row>
    <row r="223">
      <c r="E223" s="7"/>
    </row>
    <row r="224">
      <c r="E224" s="7"/>
    </row>
    <row r="225">
      <c r="E225" s="7"/>
    </row>
    <row r="226">
      <c r="E226" s="7"/>
    </row>
    <row r="227">
      <c r="E227" s="7"/>
    </row>
    <row r="228">
      <c r="E228" s="7"/>
    </row>
    <row r="229">
      <c r="E229" s="7"/>
    </row>
    <row r="230">
      <c r="E230" s="7"/>
    </row>
    <row r="231">
      <c r="E231" s="7"/>
    </row>
    <row r="232">
      <c r="E232" s="7"/>
    </row>
    <row r="233">
      <c r="E233" s="7"/>
    </row>
    <row r="234">
      <c r="E234" s="7"/>
    </row>
    <row r="235">
      <c r="E235" s="7"/>
    </row>
    <row r="236">
      <c r="E236" s="7"/>
    </row>
    <row r="237">
      <c r="E237" s="7"/>
    </row>
    <row r="238">
      <c r="E238" s="7"/>
    </row>
    <row r="239">
      <c r="E239" s="7"/>
    </row>
    <row r="240">
      <c r="E240" s="7"/>
    </row>
    <row r="241">
      <c r="E241" s="7"/>
    </row>
    <row r="242">
      <c r="E242" s="7"/>
    </row>
    <row r="243">
      <c r="E243" s="7"/>
    </row>
    <row r="244">
      <c r="E244" s="7"/>
    </row>
    <row r="245">
      <c r="E245" s="7"/>
    </row>
    <row r="246">
      <c r="E246" s="7"/>
    </row>
    <row r="247">
      <c r="E247" s="7"/>
    </row>
    <row r="248">
      <c r="E248" s="7"/>
    </row>
    <row r="249">
      <c r="E249" s="7"/>
    </row>
    <row r="250">
      <c r="E250" s="7"/>
    </row>
    <row r="251">
      <c r="E251" s="7"/>
    </row>
    <row r="252">
      <c r="E252" s="7"/>
    </row>
    <row r="253">
      <c r="E253" s="7"/>
    </row>
    <row r="254">
      <c r="E254" s="7"/>
    </row>
    <row r="255">
      <c r="E255" s="7"/>
    </row>
    <row r="256">
      <c r="E256" s="7"/>
    </row>
    <row r="257">
      <c r="E257" s="7"/>
    </row>
    <row r="258">
      <c r="E258" s="7"/>
    </row>
    <row r="259">
      <c r="E259" s="7"/>
    </row>
    <row r="260">
      <c r="E260" s="7"/>
    </row>
    <row r="261">
      <c r="E261" s="7"/>
    </row>
    <row r="262">
      <c r="E262" s="7"/>
    </row>
    <row r="263">
      <c r="E263" s="7"/>
    </row>
    <row r="264">
      <c r="E264" s="7"/>
    </row>
    <row r="265">
      <c r="E265" s="7"/>
    </row>
    <row r="266">
      <c r="E266" s="7"/>
    </row>
    <row r="267">
      <c r="E267" s="7"/>
    </row>
    <row r="268">
      <c r="E268" s="7"/>
    </row>
    <row r="269">
      <c r="E269" s="7"/>
    </row>
    <row r="270">
      <c r="E270" s="7"/>
    </row>
    <row r="271">
      <c r="E271" s="7"/>
    </row>
    <row r="272">
      <c r="E272" s="7"/>
    </row>
    <row r="273">
      <c r="E273" s="7"/>
    </row>
    <row r="274">
      <c r="E274" s="7"/>
    </row>
    <row r="275">
      <c r="E275" s="7"/>
    </row>
    <row r="276">
      <c r="E276" s="7"/>
    </row>
    <row r="277">
      <c r="E277" s="7"/>
    </row>
    <row r="278">
      <c r="E278" s="7"/>
    </row>
    <row r="279">
      <c r="E279" s="7"/>
    </row>
    <row r="280">
      <c r="E280" s="7"/>
    </row>
    <row r="281">
      <c r="E281" s="7"/>
    </row>
    <row r="282">
      <c r="E282" s="7"/>
    </row>
    <row r="283">
      <c r="E283" s="7"/>
    </row>
    <row r="284">
      <c r="E284" s="7"/>
    </row>
    <row r="285">
      <c r="E285" s="7"/>
    </row>
    <row r="286">
      <c r="E286" s="7"/>
    </row>
    <row r="287">
      <c r="E287" s="7"/>
    </row>
    <row r="288">
      <c r="E288" s="7"/>
    </row>
    <row r="289">
      <c r="E289" s="7"/>
    </row>
    <row r="290">
      <c r="E290" s="7"/>
    </row>
    <row r="291">
      <c r="E291" s="7"/>
    </row>
    <row r="292">
      <c r="E292" s="7"/>
    </row>
    <row r="293">
      <c r="E293" s="7"/>
    </row>
    <row r="294">
      <c r="E294" s="7"/>
    </row>
    <row r="295">
      <c r="E295" s="7"/>
    </row>
    <row r="296">
      <c r="E296" s="7"/>
    </row>
    <row r="297">
      <c r="E297" s="7"/>
    </row>
    <row r="298">
      <c r="E298" s="7"/>
    </row>
    <row r="299">
      <c r="E299" s="7"/>
    </row>
    <row r="300">
      <c r="E300" s="7"/>
    </row>
    <row r="301">
      <c r="E301" s="7"/>
    </row>
    <row r="302">
      <c r="E302" s="7"/>
    </row>
    <row r="303">
      <c r="E303" s="7"/>
    </row>
    <row r="304">
      <c r="E304" s="7"/>
    </row>
    <row r="305">
      <c r="E305" s="7"/>
    </row>
    <row r="306">
      <c r="E306" s="7"/>
    </row>
    <row r="307">
      <c r="E307" s="7"/>
    </row>
    <row r="308">
      <c r="E308" s="7"/>
    </row>
    <row r="309">
      <c r="E309" s="7"/>
    </row>
    <row r="310">
      <c r="E310" s="7"/>
    </row>
    <row r="311">
      <c r="E311" s="7"/>
    </row>
    <row r="312">
      <c r="E312" s="7"/>
    </row>
    <row r="313">
      <c r="E313" s="7"/>
    </row>
    <row r="314">
      <c r="E314" s="7"/>
    </row>
    <row r="315">
      <c r="E315" s="7"/>
    </row>
    <row r="316">
      <c r="E316" s="7"/>
    </row>
    <row r="317">
      <c r="E317" s="7"/>
    </row>
    <row r="318">
      <c r="E318" s="7"/>
    </row>
    <row r="319">
      <c r="E319" s="7"/>
    </row>
    <row r="320">
      <c r="E320" s="7"/>
    </row>
    <row r="321">
      <c r="E321" s="7"/>
    </row>
    <row r="322">
      <c r="E322" s="7"/>
    </row>
    <row r="323">
      <c r="E323" s="7"/>
    </row>
    <row r="324">
      <c r="E324" s="7"/>
    </row>
    <row r="325">
      <c r="E325" s="7"/>
    </row>
    <row r="326">
      <c r="E326" s="7"/>
    </row>
    <row r="327">
      <c r="E327" s="7"/>
    </row>
    <row r="328">
      <c r="E328" s="7"/>
    </row>
    <row r="329">
      <c r="E329" s="7"/>
    </row>
    <row r="330">
      <c r="E330" s="7"/>
    </row>
    <row r="331">
      <c r="E331" s="7"/>
    </row>
    <row r="332">
      <c r="E332" s="7"/>
    </row>
    <row r="333">
      <c r="E333" s="7"/>
    </row>
    <row r="334">
      <c r="E334" s="7"/>
    </row>
    <row r="335">
      <c r="E335" s="7"/>
    </row>
    <row r="336">
      <c r="E336" s="7"/>
    </row>
    <row r="337">
      <c r="E337" s="7"/>
    </row>
    <row r="338">
      <c r="E338" s="7"/>
    </row>
    <row r="339">
      <c r="E339" s="7"/>
    </row>
    <row r="340">
      <c r="E340" s="7"/>
    </row>
    <row r="341">
      <c r="E341" s="7"/>
    </row>
    <row r="342">
      <c r="E342" s="7"/>
    </row>
    <row r="343">
      <c r="E343" s="7"/>
    </row>
    <row r="344">
      <c r="E344" s="7"/>
    </row>
    <row r="345">
      <c r="E345" s="7"/>
    </row>
    <row r="346">
      <c r="E346" s="7"/>
    </row>
    <row r="347">
      <c r="E347" s="7"/>
    </row>
    <row r="348">
      <c r="E348" s="7"/>
    </row>
    <row r="349">
      <c r="E349" s="7"/>
    </row>
    <row r="350">
      <c r="E350" s="7"/>
    </row>
    <row r="351">
      <c r="E351" s="7"/>
    </row>
    <row r="352">
      <c r="E352" s="7"/>
    </row>
    <row r="353">
      <c r="E353" s="7"/>
    </row>
    <row r="354">
      <c r="E354" s="7"/>
    </row>
    <row r="355">
      <c r="E355" s="7"/>
    </row>
    <row r="356">
      <c r="E356" s="7"/>
    </row>
    <row r="357">
      <c r="E357" s="7"/>
    </row>
    <row r="358">
      <c r="E358" s="7"/>
    </row>
    <row r="359">
      <c r="E359" s="7"/>
    </row>
    <row r="360">
      <c r="E360" s="7"/>
    </row>
    <row r="361">
      <c r="E361" s="7"/>
    </row>
    <row r="362">
      <c r="E362" s="7"/>
    </row>
    <row r="363">
      <c r="E363" s="7"/>
    </row>
    <row r="364">
      <c r="E364" s="7"/>
    </row>
    <row r="365">
      <c r="E365" s="7"/>
    </row>
    <row r="366">
      <c r="E366" s="7"/>
    </row>
    <row r="367">
      <c r="E367" s="7"/>
    </row>
    <row r="368">
      <c r="E368" s="7"/>
    </row>
    <row r="369">
      <c r="E369" s="7"/>
    </row>
    <row r="370">
      <c r="E370" s="7"/>
    </row>
    <row r="371">
      <c r="E371" s="7"/>
    </row>
    <row r="372">
      <c r="E372" s="7"/>
    </row>
    <row r="373">
      <c r="E373" s="7"/>
    </row>
    <row r="374">
      <c r="E374" s="7"/>
    </row>
    <row r="375">
      <c r="E375" s="7"/>
    </row>
    <row r="376">
      <c r="E376" s="7"/>
    </row>
    <row r="377">
      <c r="E377" s="7"/>
    </row>
    <row r="378">
      <c r="E378" s="7"/>
    </row>
    <row r="379">
      <c r="E379" s="7"/>
    </row>
    <row r="380">
      <c r="E380" s="7"/>
    </row>
    <row r="381">
      <c r="E381" s="7"/>
    </row>
    <row r="382">
      <c r="E382" s="7"/>
    </row>
    <row r="383">
      <c r="E383" s="7"/>
    </row>
    <row r="384">
      <c r="E384" s="7"/>
    </row>
    <row r="385">
      <c r="E385" s="7"/>
    </row>
    <row r="386">
      <c r="E386" s="7"/>
    </row>
    <row r="387">
      <c r="E387" s="7"/>
    </row>
    <row r="388">
      <c r="E388" s="7"/>
    </row>
    <row r="389">
      <c r="E389" s="7"/>
    </row>
    <row r="390">
      <c r="E390" s="7"/>
    </row>
    <row r="391">
      <c r="E391" s="7"/>
    </row>
    <row r="392">
      <c r="E392" s="7"/>
    </row>
    <row r="393">
      <c r="E393" s="7"/>
    </row>
    <row r="394">
      <c r="E394" s="7"/>
    </row>
    <row r="395">
      <c r="E395" s="7"/>
    </row>
    <row r="396">
      <c r="E396" s="7"/>
    </row>
    <row r="397">
      <c r="E397" s="7"/>
    </row>
    <row r="398">
      <c r="E398" s="7"/>
    </row>
    <row r="399">
      <c r="E399" s="7"/>
    </row>
    <row r="400">
      <c r="E400" s="7"/>
    </row>
    <row r="401">
      <c r="E401" s="7"/>
    </row>
    <row r="402">
      <c r="E402" s="7"/>
    </row>
    <row r="403">
      <c r="E403" s="7"/>
    </row>
    <row r="404">
      <c r="E404" s="7"/>
    </row>
    <row r="405">
      <c r="E405" s="7"/>
    </row>
    <row r="406">
      <c r="E406" s="7"/>
    </row>
    <row r="407">
      <c r="E407" s="7"/>
    </row>
    <row r="408">
      <c r="E408" s="7"/>
    </row>
    <row r="409">
      <c r="E409" s="7"/>
    </row>
    <row r="410">
      <c r="E410" s="7"/>
    </row>
    <row r="411">
      <c r="E411" s="7"/>
    </row>
    <row r="412">
      <c r="E412" s="7"/>
    </row>
    <row r="413">
      <c r="E413" s="7"/>
    </row>
    <row r="414">
      <c r="E414" s="7"/>
    </row>
    <row r="415">
      <c r="E415" s="7"/>
    </row>
    <row r="416">
      <c r="E416" s="7"/>
    </row>
    <row r="417">
      <c r="E417" s="7"/>
    </row>
    <row r="418">
      <c r="E418" s="7"/>
    </row>
    <row r="419">
      <c r="E419" s="7"/>
    </row>
    <row r="420">
      <c r="E420" s="7"/>
    </row>
    <row r="421">
      <c r="E421" s="7"/>
    </row>
    <row r="422">
      <c r="E422" s="7"/>
    </row>
    <row r="423">
      <c r="E423" s="7"/>
    </row>
    <row r="424">
      <c r="E424" s="7"/>
    </row>
    <row r="425">
      <c r="E425" s="7"/>
    </row>
    <row r="426">
      <c r="E426" s="7"/>
    </row>
    <row r="427">
      <c r="E427" s="7"/>
    </row>
    <row r="428">
      <c r="E428" s="7"/>
    </row>
    <row r="429">
      <c r="E429" s="7"/>
    </row>
    <row r="430">
      <c r="E430" s="7"/>
    </row>
    <row r="431">
      <c r="E431" s="7"/>
    </row>
    <row r="432">
      <c r="E432" s="7"/>
    </row>
    <row r="433">
      <c r="E433" s="7"/>
    </row>
    <row r="434">
      <c r="E434" s="7"/>
    </row>
    <row r="435">
      <c r="E435" s="7"/>
    </row>
    <row r="436">
      <c r="E436" s="7"/>
    </row>
    <row r="437">
      <c r="E437" s="7"/>
    </row>
    <row r="438">
      <c r="E438" s="7"/>
    </row>
    <row r="439">
      <c r="E439" s="7"/>
    </row>
    <row r="440">
      <c r="E440" s="7"/>
    </row>
    <row r="441">
      <c r="E441" s="7"/>
    </row>
    <row r="442">
      <c r="E442" s="7"/>
    </row>
    <row r="443">
      <c r="E443" s="7"/>
    </row>
    <row r="444">
      <c r="E444" s="7"/>
    </row>
    <row r="445">
      <c r="E445" s="7"/>
    </row>
    <row r="446">
      <c r="E446" s="7"/>
    </row>
    <row r="447">
      <c r="E447" s="7"/>
    </row>
    <row r="448">
      <c r="E448" s="7"/>
    </row>
    <row r="449">
      <c r="E449" s="7"/>
    </row>
    <row r="450">
      <c r="E450" s="7"/>
    </row>
    <row r="451">
      <c r="E451" s="7"/>
    </row>
    <row r="452">
      <c r="E452" s="7"/>
    </row>
    <row r="453">
      <c r="E453" s="7"/>
    </row>
    <row r="454">
      <c r="E454" s="7"/>
    </row>
    <row r="455">
      <c r="E455" s="7"/>
    </row>
    <row r="456">
      <c r="E456" s="7"/>
    </row>
    <row r="457">
      <c r="E457" s="7"/>
    </row>
    <row r="458">
      <c r="E458" s="7"/>
    </row>
    <row r="459">
      <c r="E459" s="7"/>
    </row>
    <row r="460">
      <c r="E460" s="7"/>
    </row>
    <row r="461">
      <c r="E461" s="7"/>
    </row>
    <row r="462">
      <c r="E462" s="7"/>
    </row>
    <row r="463">
      <c r="E463" s="7"/>
    </row>
    <row r="464">
      <c r="E464" s="7"/>
    </row>
    <row r="465">
      <c r="E465" s="7"/>
    </row>
    <row r="466">
      <c r="E466" s="7"/>
    </row>
    <row r="467">
      <c r="E467" s="7"/>
    </row>
    <row r="468">
      <c r="E468" s="7"/>
    </row>
    <row r="469">
      <c r="E469" s="7"/>
    </row>
    <row r="470">
      <c r="E470" s="7"/>
    </row>
    <row r="471">
      <c r="E471" s="7"/>
    </row>
    <row r="472">
      <c r="E472" s="7"/>
    </row>
    <row r="473">
      <c r="E473" s="7"/>
    </row>
    <row r="474">
      <c r="E474" s="7"/>
    </row>
    <row r="475">
      <c r="E475" s="7"/>
    </row>
    <row r="476">
      <c r="E476" s="7"/>
    </row>
    <row r="477">
      <c r="E477" s="7"/>
    </row>
    <row r="478">
      <c r="E478" s="7"/>
    </row>
    <row r="479">
      <c r="E479" s="7"/>
    </row>
    <row r="480">
      <c r="E480" s="7"/>
    </row>
    <row r="481">
      <c r="E481" s="7"/>
    </row>
    <row r="482">
      <c r="E482" s="7"/>
    </row>
    <row r="483">
      <c r="E483" s="7"/>
    </row>
    <row r="484">
      <c r="E484" s="7"/>
    </row>
    <row r="485">
      <c r="E485" s="7"/>
    </row>
    <row r="486">
      <c r="E486" s="7"/>
    </row>
    <row r="487">
      <c r="E487" s="7"/>
    </row>
    <row r="488">
      <c r="E488" s="7"/>
    </row>
    <row r="489">
      <c r="E489" s="7"/>
    </row>
    <row r="490">
      <c r="E490" s="7"/>
    </row>
    <row r="491">
      <c r="E491" s="7"/>
    </row>
    <row r="492">
      <c r="E492" s="7"/>
    </row>
    <row r="493">
      <c r="E493" s="7"/>
    </row>
    <row r="494">
      <c r="E494" s="7"/>
    </row>
    <row r="495">
      <c r="E495" s="7"/>
    </row>
    <row r="496">
      <c r="E496" s="7"/>
    </row>
    <row r="497">
      <c r="E497" s="7"/>
    </row>
    <row r="498">
      <c r="E498" s="7"/>
    </row>
    <row r="499">
      <c r="E499" s="7"/>
    </row>
    <row r="500">
      <c r="E500" s="7"/>
    </row>
    <row r="501">
      <c r="E501" s="7"/>
    </row>
    <row r="502">
      <c r="E502" s="7"/>
    </row>
    <row r="503">
      <c r="E503" s="7"/>
    </row>
    <row r="504">
      <c r="E504" s="7"/>
    </row>
    <row r="505">
      <c r="E505" s="7"/>
    </row>
    <row r="506">
      <c r="E506" s="7"/>
    </row>
    <row r="507">
      <c r="E507" s="7"/>
    </row>
    <row r="508">
      <c r="E508" s="7"/>
    </row>
    <row r="509">
      <c r="E509" s="7"/>
    </row>
    <row r="510">
      <c r="E510" s="7"/>
    </row>
    <row r="511">
      <c r="E511" s="7"/>
    </row>
    <row r="512">
      <c r="E512" s="7"/>
    </row>
    <row r="513">
      <c r="E513" s="7"/>
    </row>
    <row r="514">
      <c r="E514" s="7"/>
    </row>
    <row r="515">
      <c r="E515" s="7"/>
    </row>
    <row r="516">
      <c r="E516" s="7"/>
    </row>
    <row r="517">
      <c r="E517" s="7"/>
    </row>
    <row r="518">
      <c r="E518" s="7"/>
    </row>
    <row r="519">
      <c r="E519" s="7"/>
    </row>
    <row r="520">
      <c r="E520" s="7"/>
    </row>
    <row r="521">
      <c r="E521" s="7"/>
    </row>
    <row r="522">
      <c r="E522" s="7"/>
    </row>
    <row r="523">
      <c r="E523" s="7"/>
    </row>
    <row r="524">
      <c r="E524" s="7"/>
    </row>
    <row r="525">
      <c r="E525" s="7"/>
    </row>
    <row r="526">
      <c r="E526" s="7"/>
    </row>
    <row r="527">
      <c r="E527" s="7"/>
    </row>
    <row r="528">
      <c r="E528" s="7"/>
    </row>
    <row r="529">
      <c r="E529" s="7"/>
    </row>
    <row r="530">
      <c r="E530" s="7"/>
    </row>
    <row r="531">
      <c r="E531" s="7"/>
    </row>
    <row r="532">
      <c r="E532" s="7"/>
    </row>
    <row r="533">
      <c r="E533" s="7"/>
    </row>
    <row r="534">
      <c r="E534" s="7"/>
    </row>
    <row r="535">
      <c r="E535" s="7"/>
    </row>
    <row r="536">
      <c r="E536" s="7"/>
    </row>
    <row r="537">
      <c r="E537" s="7"/>
    </row>
    <row r="538">
      <c r="E538" s="7"/>
    </row>
    <row r="539">
      <c r="E539" s="7"/>
    </row>
    <row r="540">
      <c r="E540" s="7"/>
    </row>
    <row r="541">
      <c r="E541" s="7"/>
    </row>
    <row r="542">
      <c r="E542" s="7"/>
    </row>
    <row r="543">
      <c r="E543" s="7"/>
    </row>
    <row r="544">
      <c r="E544" s="7"/>
    </row>
    <row r="545">
      <c r="E545" s="7"/>
    </row>
    <row r="546">
      <c r="E546" s="7"/>
    </row>
    <row r="547">
      <c r="E547" s="7"/>
    </row>
    <row r="548">
      <c r="E548" s="7"/>
    </row>
    <row r="549">
      <c r="E549" s="7"/>
    </row>
    <row r="550">
      <c r="E550" s="7"/>
    </row>
    <row r="551">
      <c r="E551" s="7"/>
    </row>
    <row r="552">
      <c r="E552" s="7"/>
    </row>
    <row r="553">
      <c r="E553" s="7"/>
    </row>
    <row r="554">
      <c r="E554" s="7"/>
    </row>
    <row r="555">
      <c r="E555" s="7"/>
    </row>
    <row r="556">
      <c r="E556" s="7"/>
    </row>
    <row r="557">
      <c r="E557" s="7"/>
    </row>
    <row r="558">
      <c r="E558" s="7"/>
    </row>
    <row r="559">
      <c r="E559" s="7"/>
    </row>
    <row r="560">
      <c r="E560" s="7"/>
    </row>
    <row r="561">
      <c r="E561" s="7"/>
    </row>
    <row r="562">
      <c r="E562" s="7"/>
    </row>
    <row r="563">
      <c r="E563" s="7"/>
    </row>
    <row r="564">
      <c r="E564" s="7"/>
    </row>
    <row r="565">
      <c r="E565" s="7"/>
    </row>
    <row r="566">
      <c r="E566" s="7"/>
    </row>
    <row r="567">
      <c r="E567" s="7"/>
    </row>
    <row r="568">
      <c r="E568" s="7"/>
    </row>
    <row r="569">
      <c r="E569" s="7"/>
    </row>
    <row r="570">
      <c r="E570" s="7"/>
    </row>
    <row r="571">
      <c r="E571" s="7"/>
    </row>
    <row r="572">
      <c r="E572" s="7"/>
    </row>
    <row r="573">
      <c r="E573" s="7"/>
    </row>
    <row r="574">
      <c r="E574" s="7"/>
    </row>
    <row r="575">
      <c r="E575" s="7"/>
    </row>
    <row r="576">
      <c r="E576" s="7"/>
    </row>
    <row r="577">
      <c r="E577" s="7"/>
    </row>
    <row r="578">
      <c r="E578" s="7"/>
    </row>
    <row r="579">
      <c r="E579" s="7"/>
    </row>
    <row r="580">
      <c r="E580" s="7"/>
    </row>
    <row r="581">
      <c r="E581" s="7"/>
    </row>
    <row r="582">
      <c r="E582" s="7"/>
    </row>
    <row r="583">
      <c r="E583" s="7"/>
    </row>
    <row r="584">
      <c r="E584" s="7"/>
    </row>
    <row r="585">
      <c r="E585" s="7"/>
    </row>
    <row r="586">
      <c r="E586" s="7"/>
    </row>
    <row r="587">
      <c r="E587" s="7"/>
    </row>
    <row r="588">
      <c r="E588" s="7"/>
    </row>
    <row r="589">
      <c r="E589" s="7"/>
    </row>
    <row r="590">
      <c r="E590" s="7"/>
    </row>
    <row r="591">
      <c r="E591" s="7"/>
    </row>
    <row r="592">
      <c r="E592" s="7"/>
    </row>
    <row r="593">
      <c r="E593" s="7"/>
    </row>
    <row r="594">
      <c r="E594" s="7"/>
    </row>
    <row r="595">
      <c r="E595" s="7"/>
    </row>
    <row r="596">
      <c r="E596" s="7"/>
    </row>
    <row r="597">
      <c r="E597" s="7"/>
    </row>
    <row r="598">
      <c r="E598" s="7"/>
    </row>
    <row r="599">
      <c r="E599" s="7"/>
    </row>
    <row r="600">
      <c r="E600" s="7"/>
    </row>
    <row r="601">
      <c r="E601" s="7"/>
    </row>
    <row r="602">
      <c r="E602" s="7"/>
    </row>
    <row r="603">
      <c r="E603" s="7"/>
    </row>
    <row r="604">
      <c r="E604" s="7"/>
    </row>
    <row r="605">
      <c r="E605" s="7"/>
    </row>
    <row r="606">
      <c r="E606" s="7"/>
    </row>
    <row r="607">
      <c r="E607" s="7"/>
    </row>
    <row r="608">
      <c r="E608" s="7"/>
    </row>
    <row r="609">
      <c r="E609" s="7"/>
    </row>
    <row r="610">
      <c r="E610" s="7"/>
    </row>
    <row r="611">
      <c r="E611" s="7"/>
    </row>
    <row r="612">
      <c r="E612" s="7"/>
    </row>
    <row r="613">
      <c r="E613" s="7"/>
    </row>
    <row r="614">
      <c r="E614" s="7"/>
    </row>
    <row r="615">
      <c r="E615" s="7"/>
    </row>
    <row r="616">
      <c r="E616" s="7"/>
    </row>
    <row r="617">
      <c r="E617" s="7"/>
    </row>
    <row r="618">
      <c r="E618" s="7"/>
    </row>
    <row r="619">
      <c r="E619" s="7"/>
    </row>
    <row r="620">
      <c r="E620" s="7"/>
    </row>
    <row r="621">
      <c r="E621" s="7"/>
    </row>
    <row r="622">
      <c r="E622" s="7"/>
    </row>
    <row r="623">
      <c r="E623" s="7"/>
    </row>
    <row r="624">
      <c r="E624" s="7"/>
    </row>
    <row r="625">
      <c r="E625" s="7"/>
    </row>
    <row r="626">
      <c r="E626" s="7"/>
    </row>
    <row r="627">
      <c r="E627" s="7"/>
    </row>
    <row r="628">
      <c r="E628" s="7"/>
    </row>
    <row r="629">
      <c r="E629" s="7"/>
    </row>
    <row r="630">
      <c r="E630" s="7"/>
    </row>
    <row r="631">
      <c r="E631" s="7"/>
    </row>
    <row r="632">
      <c r="E632" s="7"/>
    </row>
    <row r="633">
      <c r="E633" s="7"/>
    </row>
    <row r="634">
      <c r="E634" s="7"/>
    </row>
    <row r="635">
      <c r="E635" s="7"/>
    </row>
    <row r="636">
      <c r="E636" s="7"/>
    </row>
    <row r="637">
      <c r="E637" s="7"/>
    </row>
    <row r="638">
      <c r="E638" s="7"/>
    </row>
    <row r="639">
      <c r="E639" s="7"/>
    </row>
    <row r="640">
      <c r="E640" s="7"/>
    </row>
    <row r="641">
      <c r="E641" s="7"/>
    </row>
    <row r="642">
      <c r="E642" s="7"/>
    </row>
    <row r="643">
      <c r="E643" s="7"/>
    </row>
    <row r="644">
      <c r="E644" s="7"/>
    </row>
    <row r="645">
      <c r="E645" s="7"/>
    </row>
    <row r="646">
      <c r="E646" s="7"/>
    </row>
    <row r="647">
      <c r="E647" s="7"/>
    </row>
    <row r="648">
      <c r="E648" s="7"/>
    </row>
    <row r="649">
      <c r="E649" s="7"/>
    </row>
    <row r="650">
      <c r="E650" s="7"/>
    </row>
    <row r="651">
      <c r="E651" s="7"/>
    </row>
    <row r="652">
      <c r="E652" s="7"/>
    </row>
    <row r="653">
      <c r="E653" s="7"/>
    </row>
    <row r="654">
      <c r="E654" s="7"/>
    </row>
    <row r="655">
      <c r="E655" s="7"/>
    </row>
    <row r="656">
      <c r="E656" s="7"/>
    </row>
    <row r="657">
      <c r="E657" s="7"/>
    </row>
    <row r="658">
      <c r="E658" s="7"/>
    </row>
    <row r="659">
      <c r="E659" s="7"/>
    </row>
    <row r="660">
      <c r="E660" s="7"/>
    </row>
    <row r="661">
      <c r="E661" s="7"/>
    </row>
    <row r="662">
      <c r="E662" s="7"/>
    </row>
    <row r="663">
      <c r="E663" s="7"/>
    </row>
    <row r="664">
      <c r="E664" s="7"/>
    </row>
    <row r="665">
      <c r="E665" s="7"/>
    </row>
    <row r="666">
      <c r="E666" s="7"/>
    </row>
    <row r="667">
      <c r="E667" s="7"/>
    </row>
    <row r="668">
      <c r="E668" s="7"/>
    </row>
    <row r="669">
      <c r="E669" s="7"/>
    </row>
    <row r="670">
      <c r="E670" s="7"/>
    </row>
    <row r="671">
      <c r="E671" s="7"/>
    </row>
    <row r="672">
      <c r="E672" s="7"/>
    </row>
    <row r="673">
      <c r="E673" s="7"/>
    </row>
    <row r="674">
      <c r="E674" s="7"/>
    </row>
    <row r="675">
      <c r="E675" s="7"/>
    </row>
    <row r="676">
      <c r="E676" s="7"/>
    </row>
    <row r="677">
      <c r="E677" s="7"/>
    </row>
    <row r="678">
      <c r="E678" s="7"/>
    </row>
    <row r="679">
      <c r="E679" s="7"/>
    </row>
    <row r="680">
      <c r="E680" s="7"/>
    </row>
    <row r="681">
      <c r="E681" s="7"/>
    </row>
    <row r="682">
      <c r="E682" s="7"/>
    </row>
    <row r="683">
      <c r="E683" s="7"/>
    </row>
    <row r="684">
      <c r="E684" s="7"/>
    </row>
    <row r="685">
      <c r="E685" s="7"/>
    </row>
    <row r="686">
      <c r="E686" s="7"/>
    </row>
    <row r="687">
      <c r="E687" s="7"/>
    </row>
    <row r="688">
      <c r="E688" s="7"/>
    </row>
    <row r="689">
      <c r="E689" s="7"/>
    </row>
    <row r="690">
      <c r="E690" s="7"/>
    </row>
    <row r="691">
      <c r="E691" s="7"/>
    </row>
    <row r="692">
      <c r="E692" s="7"/>
    </row>
    <row r="693">
      <c r="E693" s="7"/>
    </row>
    <row r="694">
      <c r="E694" s="7"/>
    </row>
    <row r="695">
      <c r="E695" s="7"/>
    </row>
    <row r="696">
      <c r="E696" s="7"/>
    </row>
    <row r="697">
      <c r="E697" s="7"/>
    </row>
    <row r="698">
      <c r="E698" s="7"/>
    </row>
    <row r="699">
      <c r="E699" s="7"/>
    </row>
    <row r="700">
      <c r="E700" s="7"/>
    </row>
    <row r="701">
      <c r="E701" s="7"/>
    </row>
    <row r="702">
      <c r="E702" s="7"/>
    </row>
    <row r="703">
      <c r="E703" s="7"/>
    </row>
    <row r="704">
      <c r="E704" s="7"/>
    </row>
    <row r="705">
      <c r="E705" s="7"/>
    </row>
    <row r="706">
      <c r="E706" s="7"/>
    </row>
    <row r="707">
      <c r="E707" s="7"/>
    </row>
    <row r="708">
      <c r="E708" s="7"/>
    </row>
    <row r="709">
      <c r="E709" s="7"/>
    </row>
    <row r="710">
      <c r="E710" s="7"/>
    </row>
    <row r="711">
      <c r="E711" s="7"/>
    </row>
    <row r="712">
      <c r="E712" s="7"/>
    </row>
    <row r="713">
      <c r="E713" s="7"/>
    </row>
    <row r="714">
      <c r="E714" s="7"/>
    </row>
    <row r="715">
      <c r="E715" s="7"/>
    </row>
    <row r="716">
      <c r="E716" s="7"/>
    </row>
    <row r="717">
      <c r="E717" s="7"/>
    </row>
    <row r="718">
      <c r="E718" s="7"/>
    </row>
    <row r="719">
      <c r="E719" s="7"/>
    </row>
    <row r="720">
      <c r="E720" s="7"/>
    </row>
    <row r="721">
      <c r="E721" s="7"/>
    </row>
    <row r="722">
      <c r="E722" s="7"/>
    </row>
    <row r="723">
      <c r="E723" s="7"/>
    </row>
    <row r="724">
      <c r="E724" s="7"/>
    </row>
    <row r="725">
      <c r="E725" s="7"/>
    </row>
    <row r="726">
      <c r="E726" s="7"/>
    </row>
    <row r="727">
      <c r="E727" s="7"/>
    </row>
    <row r="728">
      <c r="E728" s="7"/>
    </row>
    <row r="729">
      <c r="E729" s="7"/>
    </row>
    <row r="730">
      <c r="E730" s="7"/>
    </row>
    <row r="731">
      <c r="E731" s="7"/>
    </row>
    <row r="732">
      <c r="E732" s="7"/>
    </row>
    <row r="733">
      <c r="E733" s="7"/>
    </row>
    <row r="734">
      <c r="E734" s="7"/>
    </row>
    <row r="735">
      <c r="E735" s="7"/>
    </row>
    <row r="736">
      <c r="E736" s="7"/>
    </row>
    <row r="737">
      <c r="E737" s="7"/>
    </row>
    <row r="738">
      <c r="E738" s="7"/>
    </row>
    <row r="739">
      <c r="E739" s="7"/>
    </row>
    <row r="740">
      <c r="E740" s="7"/>
    </row>
    <row r="741">
      <c r="E741" s="7"/>
    </row>
    <row r="742">
      <c r="E742" s="7"/>
    </row>
    <row r="743">
      <c r="E743" s="7"/>
    </row>
    <row r="744">
      <c r="E744" s="7"/>
    </row>
    <row r="745">
      <c r="E745" s="7"/>
    </row>
    <row r="746">
      <c r="E746" s="7"/>
    </row>
    <row r="747">
      <c r="E747" s="7"/>
    </row>
    <row r="748">
      <c r="E748" s="7"/>
    </row>
    <row r="749">
      <c r="E749" s="7"/>
    </row>
    <row r="750">
      <c r="E750" s="7"/>
    </row>
    <row r="751">
      <c r="E751" s="7"/>
    </row>
    <row r="752">
      <c r="E752" s="7"/>
    </row>
    <row r="753">
      <c r="E753" s="7"/>
    </row>
    <row r="754">
      <c r="E754" s="7"/>
    </row>
    <row r="755">
      <c r="E755" s="7"/>
    </row>
    <row r="756">
      <c r="E756" s="7"/>
    </row>
    <row r="757">
      <c r="E757" s="7"/>
    </row>
    <row r="758">
      <c r="E758" s="7"/>
    </row>
    <row r="759">
      <c r="E759" s="7"/>
    </row>
    <row r="760">
      <c r="E760" s="7"/>
    </row>
    <row r="761">
      <c r="E761" s="7"/>
    </row>
    <row r="762">
      <c r="E762" s="7"/>
    </row>
    <row r="763">
      <c r="E763" s="7"/>
    </row>
    <row r="764">
      <c r="E764" s="7"/>
    </row>
    <row r="765">
      <c r="E765" s="7"/>
    </row>
    <row r="766">
      <c r="E766" s="7"/>
    </row>
    <row r="767">
      <c r="E767" s="7"/>
    </row>
    <row r="768">
      <c r="E768" s="7"/>
    </row>
    <row r="769">
      <c r="E769" s="7"/>
    </row>
    <row r="770">
      <c r="E770" s="7"/>
    </row>
    <row r="771">
      <c r="E771" s="7"/>
    </row>
    <row r="772">
      <c r="E772" s="7"/>
    </row>
    <row r="773">
      <c r="E773" s="7"/>
    </row>
    <row r="774">
      <c r="E774" s="7"/>
    </row>
    <row r="775">
      <c r="E775" s="7"/>
    </row>
    <row r="776">
      <c r="E776" s="7"/>
    </row>
    <row r="777">
      <c r="E777" s="7"/>
    </row>
    <row r="778">
      <c r="E778" s="7"/>
    </row>
    <row r="779">
      <c r="E779" s="7"/>
    </row>
    <row r="780">
      <c r="E780" s="7"/>
    </row>
    <row r="781">
      <c r="E781" s="7"/>
    </row>
    <row r="782">
      <c r="E782" s="7"/>
    </row>
    <row r="783">
      <c r="E783" s="7"/>
    </row>
    <row r="784">
      <c r="E784" s="7"/>
    </row>
    <row r="785">
      <c r="E785" s="7"/>
    </row>
    <row r="786">
      <c r="E786" s="7"/>
    </row>
    <row r="787">
      <c r="E787" s="7"/>
    </row>
    <row r="788">
      <c r="E788" s="7"/>
    </row>
    <row r="789">
      <c r="E789" s="7"/>
    </row>
    <row r="790">
      <c r="E790" s="7"/>
    </row>
    <row r="791">
      <c r="E791" s="7"/>
    </row>
    <row r="792">
      <c r="E792" s="7"/>
    </row>
    <row r="793">
      <c r="E793" s="7"/>
    </row>
    <row r="794">
      <c r="E794" s="7"/>
    </row>
    <row r="795">
      <c r="E795" s="7"/>
    </row>
    <row r="796">
      <c r="E796" s="7"/>
    </row>
    <row r="797">
      <c r="E797" s="7"/>
    </row>
    <row r="798">
      <c r="E798" s="7"/>
    </row>
    <row r="799">
      <c r="E799" s="7"/>
    </row>
    <row r="800">
      <c r="E800" s="7"/>
    </row>
    <row r="801">
      <c r="E801" s="7"/>
    </row>
    <row r="802">
      <c r="E802" s="7"/>
    </row>
    <row r="803">
      <c r="E803" s="7"/>
    </row>
    <row r="804">
      <c r="E804" s="7"/>
    </row>
    <row r="805">
      <c r="E805" s="7"/>
    </row>
    <row r="806">
      <c r="E806" s="7"/>
    </row>
    <row r="807">
      <c r="E807" s="7"/>
    </row>
    <row r="808">
      <c r="E808" s="7"/>
    </row>
    <row r="809">
      <c r="E809" s="7"/>
    </row>
    <row r="810">
      <c r="E810" s="7"/>
    </row>
    <row r="811">
      <c r="E811" s="7"/>
    </row>
    <row r="812">
      <c r="E812" s="7"/>
    </row>
    <row r="813">
      <c r="E813" s="7"/>
    </row>
    <row r="814">
      <c r="E814" s="7"/>
    </row>
    <row r="815">
      <c r="E815" s="7"/>
    </row>
    <row r="816">
      <c r="E816" s="7"/>
    </row>
    <row r="817">
      <c r="E817" s="7"/>
    </row>
    <row r="818">
      <c r="E818" s="7"/>
    </row>
    <row r="819">
      <c r="E819" s="7"/>
    </row>
    <row r="820">
      <c r="E820" s="7"/>
    </row>
    <row r="821">
      <c r="E821" s="7"/>
    </row>
    <row r="822">
      <c r="E822" s="7"/>
    </row>
    <row r="823">
      <c r="E823" s="7"/>
    </row>
    <row r="824">
      <c r="E824" s="7"/>
    </row>
    <row r="825">
      <c r="E825" s="7"/>
    </row>
    <row r="826">
      <c r="E826" s="7"/>
    </row>
    <row r="827">
      <c r="E827" s="7"/>
    </row>
    <row r="828">
      <c r="E828" s="7"/>
    </row>
    <row r="829">
      <c r="E829" s="7"/>
    </row>
    <row r="830">
      <c r="E830" s="7"/>
    </row>
    <row r="831">
      <c r="E831" s="7"/>
    </row>
    <row r="832">
      <c r="E832" s="7"/>
    </row>
    <row r="833">
      <c r="E833" s="7"/>
    </row>
    <row r="834">
      <c r="E834" s="7"/>
    </row>
    <row r="835">
      <c r="E835" s="7"/>
    </row>
    <row r="836">
      <c r="E836" s="7"/>
    </row>
    <row r="837">
      <c r="E837" s="7"/>
    </row>
    <row r="838">
      <c r="E838" s="7"/>
    </row>
    <row r="839">
      <c r="E839" s="7"/>
    </row>
    <row r="840">
      <c r="E840" s="7"/>
    </row>
    <row r="841">
      <c r="E841" s="7"/>
    </row>
    <row r="842">
      <c r="E842" s="7"/>
    </row>
    <row r="843">
      <c r="E843" s="7"/>
    </row>
    <row r="844">
      <c r="E844" s="7"/>
    </row>
    <row r="845">
      <c r="E845" s="7"/>
    </row>
    <row r="846">
      <c r="E846" s="7"/>
    </row>
    <row r="847">
      <c r="E847" s="7"/>
    </row>
    <row r="848">
      <c r="E848" s="7"/>
    </row>
    <row r="849">
      <c r="E849" s="7"/>
    </row>
    <row r="850">
      <c r="E850" s="7"/>
    </row>
    <row r="851">
      <c r="E851" s="7"/>
    </row>
    <row r="852">
      <c r="E852" s="7"/>
    </row>
    <row r="853">
      <c r="E853" s="7"/>
    </row>
    <row r="854">
      <c r="E854" s="7"/>
    </row>
    <row r="855">
      <c r="E855" s="7"/>
    </row>
    <row r="856">
      <c r="E856" s="7"/>
    </row>
    <row r="857">
      <c r="E857" s="7"/>
    </row>
    <row r="858">
      <c r="E858" s="7"/>
    </row>
    <row r="859">
      <c r="E859" s="7"/>
    </row>
    <row r="860">
      <c r="E860" s="7"/>
    </row>
    <row r="861">
      <c r="E861" s="7"/>
    </row>
    <row r="862">
      <c r="E862" s="7"/>
    </row>
    <row r="863">
      <c r="E863" s="7"/>
    </row>
    <row r="864">
      <c r="E864" s="7"/>
    </row>
    <row r="865">
      <c r="E865" s="7"/>
    </row>
    <row r="866">
      <c r="E866" s="7"/>
    </row>
    <row r="867">
      <c r="E867" s="7"/>
    </row>
    <row r="868">
      <c r="E868" s="7"/>
    </row>
    <row r="869">
      <c r="E869" s="7"/>
    </row>
    <row r="870">
      <c r="E870" s="7"/>
    </row>
    <row r="871">
      <c r="E871" s="7"/>
    </row>
    <row r="872">
      <c r="E872" s="7"/>
    </row>
    <row r="873">
      <c r="E873" s="7"/>
    </row>
    <row r="874">
      <c r="E874" s="7"/>
    </row>
    <row r="875">
      <c r="E875" s="7"/>
    </row>
    <row r="876">
      <c r="E876" s="7"/>
    </row>
    <row r="877">
      <c r="E877" s="7"/>
    </row>
    <row r="878">
      <c r="E878" s="7"/>
    </row>
    <row r="879">
      <c r="E879" s="7"/>
    </row>
    <row r="880">
      <c r="E880" s="7"/>
    </row>
    <row r="881">
      <c r="E881" s="7"/>
    </row>
    <row r="882">
      <c r="E882" s="7"/>
    </row>
    <row r="883">
      <c r="E883" s="7"/>
    </row>
    <row r="884">
      <c r="E884" s="7"/>
    </row>
    <row r="885">
      <c r="E885" s="7"/>
    </row>
    <row r="886">
      <c r="E886" s="7"/>
    </row>
    <row r="887">
      <c r="E887" s="7"/>
    </row>
    <row r="888">
      <c r="E888" s="7"/>
    </row>
    <row r="889">
      <c r="E889" s="7"/>
    </row>
    <row r="890">
      <c r="E890" s="7"/>
    </row>
    <row r="891">
      <c r="E891" s="7"/>
    </row>
    <row r="892">
      <c r="E892" s="7"/>
    </row>
    <row r="893">
      <c r="E893" s="7"/>
    </row>
    <row r="894">
      <c r="E894" s="7"/>
    </row>
    <row r="895">
      <c r="E895" s="7"/>
    </row>
    <row r="896">
      <c r="E896" s="7"/>
    </row>
    <row r="897">
      <c r="E897" s="7"/>
    </row>
    <row r="898">
      <c r="E898" s="7"/>
    </row>
    <row r="899">
      <c r="E899" s="7"/>
    </row>
    <row r="900">
      <c r="E900" s="7"/>
    </row>
    <row r="901">
      <c r="E901" s="7"/>
    </row>
    <row r="902">
      <c r="E902" s="7"/>
    </row>
    <row r="903">
      <c r="E903" s="7"/>
    </row>
    <row r="904">
      <c r="E904" s="7"/>
    </row>
    <row r="905">
      <c r="E905" s="7"/>
    </row>
    <row r="906">
      <c r="E906" s="7"/>
    </row>
    <row r="907">
      <c r="E907" s="7"/>
    </row>
    <row r="908">
      <c r="E908" s="7"/>
    </row>
    <row r="909">
      <c r="E909" s="7"/>
    </row>
    <row r="910">
      <c r="E910" s="7"/>
    </row>
    <row r="911">
      <c r="E911" s="7"/>
    </row>
    <row r="912">
      <c r="E912" s="7"/>
    </row>
    <row r="913">
      <c r="E913" s="7"/>
    </row>
    <row r="914">
      <c r="E914" s="7"/>
    </row>
    <row r="915">
      <c r="E915" s="7"/>
    </row>
    <row r="916">
      <c r="E916" s="7"/>
    </row>
    <row r="917">
      <c r="E917" s="7"/>
    </row>
    <row r="918">
      <c r="E918" s="7"/>
    </row>
    <row r="919">
      <c r="E919" s="7"/>
    </row>
    <row r="920">
      <c r="E920" s="7"/>
    </row>
    <row r="921">
      <c r="E921" s="7"/>
    </row>
    <row r="922">
      <c r="E922" s="7"/>
    </row>
    <row r="923">
      <c r="E923" s="7"/>
    </row>
    <row r="924">
      <c r="E924" s="7"/>
    </row>
    <row r="925">
      <c r="E925" s="7"/>
    </row>
    <row r="926">
      <c r="E926" s="7"/>
    </row>
    <row r="927">
      <c r="E927" s="7"/>
    </row>
    <row r="928">
      <c r="E928" s="7"/>
    </row>
    <row r="929">
      <c r="E929" s="7"/>
    </row>
    <row r="930">
      <c r="E930" s="7"/>
    </row>
    <row r="931">
      <c r="E931" s="7"/>
    </row>
    <row r="932">
      <c r="E932" s="7"/>
    </row>
    <row r="933">
      <c r="E933" s="7"/>
    </row>
    <row r="934">
      <c r="E934" s="7"/>
    </row>
    <row r="935">
      <c r="E935" s="7"/>
    </row>
    <row r="936">
      <c r="E936" s="7"/>
    </row>
    <row r="937">
      <c r="E937" s="7"/>
    </row>
    <row r="938">
      <c r="E938" s="7"/>
    </row>
    <row r="939">
      <c r="E939" s="7"/>
    </row>
    <row r="940">
      <c r="E940" s="7"/>
    </row>
    <row r="941">
      <c r="E941" s="7"/>
    </row>
    <row r="942">
      <c r="E942" s="7"/>
    </row>
    <row r="943">
      <c r="E943" s="7"/>
    </row>
    <row r="944">
      <c r="E944" s="7"/>
    </row>
    <row r="945">
      <c r="E945" s="7"/>
    </row>
    <row r="946">
      <c r="E946" s="7"/>
    </row>
    <row r="947">
      <c r="E947" s="7"/>
    </row>
    <row r="948">
      <c r="E948" s="7"/>
    </row>
    <row r="949">
      <c r="E949" s="7"/>
    </row>
    <row r="950">
      <c r="E950" s="7"/>
    </row>
    <row r="951">
      <c r="E951" s="7"/>
    </row>
    <row r="952">
      <c r="E952" s="7"/>
    </row>
    <row r="953">
      <c r="E953" s="7"/>
    </row>
    <row r="954">
      <c r="E954" s="7"/>
    </row>
    <row r="955">
      <c r="E955" s="7"/>
    </row>
    <row r="956">
      <c r="E956" s="7"/>
    </row>
    <row r="957">
      <c r="E957" s="7"/>
    </row>
    <row r="958">
      <c r="E958" s="7"/>
    </row>
    <row r="959">
      <c r="E959" s="7"/>
    </row>
    <row r="960">
      <c r="E960" s="7"/>
    </row>
    <row r="961">
      <c r="E961" s="7"/>
    </row>
    <row r="962">
      <c r="E962" s="7"/>
    </row>
    <row r="963">
      <c r="E963" s="7"/>
    </row>
    <row r="964">
      <c r="E964" s="7"/>
    </row>
    <row r="965">
      <c r="E965" s="7"/>
    </row>
    <row r="966">
      <c r="E966" s="7"/>
    </row>
    <row r="967">
      <c r="E967" s="7"/>
    </row>
    <row r="968">
      <c r="E968" s="7"/>
    </row>
    <row r="969">
      <c r="E969" s="7"/>
    </row>
    <row r="970">
      <c r="E970" s="7"/>
    </row>
    <row r="971">
      <c r="E971" s="7"/>
    </row>
    <row r="972">
      <c r="E972" s="7"/>
    </row>
    <row r="973">
      <c r="E973" s="7"/>
    </row>
    <row r="974">
      <c r="E974" s="7"/>
    </row>
    <row r="975">
      <c r="E975" s="7"/>
    </row>
    <row r="976">
      <c r="E976" s="7"/>
    </row>
    <row r="977">
      <c r="E977" s="7"/>
    </row>
    <row r="978">
      <c r="E978" s="7"/>
    </row>
    <row r="979">
      <c r="E979" s="7"/>
    </row>
    <row r="980">
      <c r="E980" s="7"/>
    </row>
    <row r="981">
      <c r="E981" s="7"/>
    </row>
    <row r="982">
      <c r="E982" s="7"/>
    </row>
    <row r="983">
      <c r="E983" s="7"/>
    </row>
    <row r="984">
      <c r="E984" s="7"/>
    </row>
    <row r="985">
      <c r="E985" s="7"/>
    </row>
    <row r="986">
      <c r="E986" s="7"/>
    </row>
    <row r="987">
      <c r="E987" s="7"/>
    </row>
    <row r="988">
      <c r="E988" s="7"/>
    </row>
    <row r="989">
      <c r="E989" s="7"/>
    </row>
    <row r="990">
      <c r="E990" s="7"/>
    </row>
    <row r="991">
      <c r="E991" s="7"/>
    </row>
    <row r="992">
      <c r="E992" s="7"/>
    </row>
    <row r="993">
      <c r="E993" s="7"/>
    </row>
    <row r="994">
      <c r="E994" s="7"/>
    </row>
    <row r="995">
      <c r="E995" s="7"/>
    </row>
    <row r="996">
      <c r="E996" s="7"/>
    </row>
    <row r="997">
      <c r="E997" s="7"/>
    </row>
    <row r="998">
      <c r="E998" s="7"/>
    </row>
    <row r="999">
      <c r="E999" s="7"/>
    </row>
    <row r="1000">
      <c r="E1000" s="7"/>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0</v>
      </c>
      <c r="B1" s="1" t="s">
        <v>2</v>
      </c>
      <c r="C1" s="1" t="s">
        <v>3</v>
      </c>
      <c r="D1" s="1" t="s">
        <v>1</v>
      </c>
      <c r="E1" s="2" t="s">
        <v>4</v>
      </c>
      <c r="F1" s="1" t="s">
        <v>6</v>
      </c>
      <c r="G1" s="1" t="s">
        <v>7</v>
      </c>
      <c r="I1" s="1" t="s">
        <v>9</v>
      </c>
      <c r="K1" s="1" t="s">
        <v>3</v>
      </c>
      <c r="L1" s="1" t="s">
        <v>11</v>
      </c>
      <c r="M1" s="1" t="s">
        <v>13</v>
      </c>
      <c r="N1" s="1" t="s">
        <v>14</v>
      </c>
      <c r="O1" s="1" t="s">
        <v>15</v>
      </c>
      <c r="P1" s="1" t="s">
        <v>16</v>
      </c>
      <c r="Q1" s="1" t="s">
        <v>17</v>
      </c>
    </row>
    <row r="2">
      <c r="A2" s="1" t="s">
        <v>293</v>
      </c>
      <c r="B2" s="1">
        <v>24.0</v>
      </c>
      <c r="C2" s="1" t="str">
        <f t="array" ref="C2">IF(NOT(ISBLANK($A2)), (_xlfn.XLOOKUP($A2,Index!$B$2:$B$995,Index!$C$2:$C$995,"Not Found")),"")</f>
        <v>Energy</v>
      </c>
      <c r="D2" s="1" t="str">
        <f t="array" ref="D2">IF(NOT(ISBLANK(A2)), (_xlfn.XLOOKUP($A2,Index!$B$2:B$995,Index!$A$2:$A$995,"Not Found")),"")</f>
        <v>base1-99</v>
      </c>
      <c r="E2" s="2" t="str">
        <f t="array" ref="E2">IF(NOT(ISBLANK($A2)), (_xlfn.XLOOKUP($A2,Index!$B$2:$B$995,Index!$D$2:$D$995,"Not Found")),"")</f>
        <v/>
      </c>
      <c r="F2" s="1" t="str">
        <f t="array" ref="F2">IF(NOT(ISBLANK($A2)), (_xlfn.XLOOKUP($A2,Index!$B$2:$B$995,Index!$E$2:$E$995,"Not Found")),"")</f>
        <v/>
      </c>
      <c r="G2" s="1">
        <f t="array" ref="G2">IF(NOT(ISBLANK(A2)), ((_xlfn.XLOOKUP(A2,Index!$B$2:$B$995,Index!$F$2:$F$995,"Not Found"))*B2),"")</f>
        <v>0</v>
      </c>
      <c r="I2" s="6">
        <f>SUM(B2:B38)</f>
        <v>60</v>
      </c>
      <c r="K2" s="1" t="s">
        <v>360</v>
      </c>
      <c r="L2" s="6">
        <f t="shared" ref="L2:L6" si="1">IF(NOT(ISBLANK(K2)), SUM(M2:P2), "")</f>
        <v>16</v>
      </c>
      <c r="M2" s="1">
        <f t="shared" ref="M2:M5" si="2">IF(NOT(ISBLANK($K2)), SUMIFS($B$2:$B$32, $E$2:$E$32, "B", $C$2:$C$32,$K2), "")</f>
        <v>9</v>
      </c>
      <c r="N2" s="1">
        <f t="shared" ref="N2:N5" si="3">IF(NOT(ISBLANK($K2)),SUMIFS($B$2:$B$32,$E$2:$E$32, "1", $C$2:$C$32,$K2,$F$2:$F$32,"N"), "")</f>
        <v>2</v>
      </c>
      <c r="O2" s="1">
        <f t="shared" ref="O2:O5" si="4">IF(NOT(ISBLANK($K2)),SUMIFS($B$2:$B$32,$E$2:$E$32, "1", $C$2:$C$32,$K2,$F$2:$F$32,"Y"), "")</f>
        <v>3</v>
      </c>
      <c r="P2" s="1">
        <f t="shared" ref="P2:P5" si="5">IF(NOT(ISBLANK($K2)),SUMIFS($B$2:$B$32,$E$2:$E$32, "2", $C$2:$C$32,$K2), "")</f>
        <v>2</v>
      </c>
      <c r="Q2" s="1">
        <f t="shared" ref="Q2:Q5" si="6">IF(NOT(ISBLANK($K2)),SUMIFS($B$2:$B$32,$E$2:$E$32, "B", $C$2:$C$32,$K2,$F$2:$F$32,"N"), "")</f>
        <v>2</v>
      </c>
    </row>
    <row r="3">
      <c r="A3" s="1" t="s">
        <v>394</v>
      </c>
      <c r="B3" s="1">
        <v>3.0</v>
      </c>
      <c r="C3" s="1" t="str">
        <f t="array" ref="C3">IF(NOT(ISBLANK($A3)), (_xlfn.XLOOKUP($A3,Index!$B$2:$B$995,Index!$C$2:$C$995,"Not Found")),"")</f>
        <v>G</v>
      </c>
      <c r="D3" s="1" t="str">
        <f t="array" ref="D3">IF(NOT(ISBLANK(A3)), (_xlfn.XLOOKUP($A3,Index!$B$2:B$995,Index!$A$2:$A$995,"Not Found")),"")</f>
        <v>base1-51</v>
      </c>
      <c r="E3" s="2" t="str">
        <f t="array" ref="E3">IF(NOT(ISBLANK($A3)), (_xlfn.XLOOKUP($A3,Index!$B$2:$B$995,Index!$D$2:$D$995,"Not Found")),"")</f>
        <v>b</v>
      </c>
      <c r="F3" s="1" t="str">
        <f t="array" ref="F3">IF(NOT(ISBLANK($A3)), (_xlfn.XLOOKUP($A3,Index!$B$2:$B$995,Index!$E$2:$E$995,"Not Found")),"")</f>
        <v>y</v>
      </c>
      <c r="G3" s="1">
        <f t="array" ref="G3">IF(NOT(ISBLANK(A3)), ((_xlfn.XLOOKUP(A3,Index!$B$2:$B$995,Index!$F$2:$F$995,"Not Found"))*B3),"")</f>
        <v>0</v>
      </c>
      <c r="K3" s="1" t="s">
        <v>26</v>
      </c>
      <c r="L3" s="6">
        <f t="shared" si="1"/>
        <v>4</v>
      </c>
      <c r="M3" s="1">
        <f t="shared" si="2"/>
        <v>4</v>
      </c>
      <c r="N3" s="1">
        <f t="shared" si="3"/>
        <v>0</v>
      </c>
      <c r="O3" s="1">
        <f t="shared" si="4"/>
        <v>0</v>
      </c>
      <c r="P3" s="1">
        <f t="shared" si="5"/>
        <v>0</v>
      </c>
      <c r="Q3" s="1">
        <f t="shared" si="6"/>
        <v>4</v>
      </c>
    </row>
    <row r="4">
      <c r="A4" s="1" t="s">
        <v>463</v>
      </c>
      <c r="B4" s="1">
        <v>2.0</v>
      </c>
      <c r="C4" s="1" t="str">
        <f t="array" ref="C4">IF(NOT(ISBLANK($A4)), (_xlfn.XLOOKUP($A4,Index!$B$2:$B$995,Index!$C$2:$C$995,"Not Found")),"")</f>
        <v>G</v>
      </c>
      <c r="D4" s="1" t="str">
        <f t="array" ref="D4">IF(NOT(ISBLANK(A4)), (_xlfn.XLOOKUP($A4,Index!$B$2:B$995,Index!$A$2:$A$995,"Not Found")),"")</f>
        <v>base3-45</v>
      </c>
      <c r="E4" s="2">
        <f t="array" ref="E4">IF(NOT(ISBLANK($A4)), (_xlfn.XLOOKUP($A4,Index!$B$2:$B$995,Index!$D$2:$D$995,"Not Found")),"")</f>
        <v>1</v>
      </c>
      <c r="F4" s="1" t="str">
        <f t="array" ref="F4">IF(NOT(ISBLANK($A4)), (_xlfn.XLOOKUP($A4,Index!$B$2:$B$995,Index!$E$2:$E$995,"Not Found")),"")</f>
        <v>n</v>
      </c>
      <c r="G4" s="1">
        <f t="array" ref="G4">IF(NOT(ISBLANK(A4)), ((_xlfn.XLOOKUP(A4,Index!$B$2:$B$995,Index!$F$2:$F$995,"Not Found"))*B4),"")</f>
        <v>4</v>
      </c>
      <c r="L4" s="6" t="str">
        <f t="shared" si="1"/>
        <v/>
      </c>
      <c r="M4" s="1" t="str">
        <f t="shared" si="2"/>
        <v/>
      </c>
      <c r="N4" s="1" t="str">
        <f t="shared" si="3"/>
        <v/>
      </c>
      <c r="O4" s="1" t="str">
        <f t="shared" si="4"/>
        <v/>
      </c>
      <c r="P4" s="1" t="str">
        <f t="shared" si="5"/>
        <v/>
      </c>
      <c r="Q4" s="1" t="str">
        <f t="shared" si="6"/>
        <v/>
      </c>
    </row>
    <row r="5">
      <c r="A5" s="1" t="s">
        <v>112</v>
      </c>
      <c r="B5" s="1">
        <v>2.0</v>
      </c>
      <c r="C5" s="1" t="str">
        <f t="array" ref="C5">IF(NOT(ISBLANK($A5)), (_xlfn.XLOOKUP($A5,Index!$B$2:$B$995,Index!$C$2:$C$995,"Not Found")),"")</f>
        <v>C</v>
      </c>
      <c r="D5" s="1" t="str">
        <f t="array" ref="D5">IF(NOT(ISBLANK(A5)), (_xlfn.XLOOKUP($A5,Index!$B$2:B$995,Index!$A$2:$A$995,"Not Found")),"")</f>
        <v>base2-5</v>
      </c>
      <c r="E5" s="2" t="str">
        <f t="array" ref="E5">IF(NOT(ISBLANK($A5)), (_xlfn.XLOOKUP($A5,Index!$B$2:$B$995,Index!$D$2:$D$995,"Not Found")),"")</f>
        <v>b</v>
      </c>
      <c r="F5" s="1" t="str">
        <f t="array" ref="F5">IF(NOT(ISBLANK($A5)), (_xlfn.XLOOKUP($A5,Index!$B$2:$B$995,Index!$E$2:$E$995,"Not Found")),"")</f>
        <v>n</v>
      </c>
      <c r="G5" s="1">
        <f t="array" ref="G5">IF(NOT(ISBLANK(A5)), ((_xlfn.XLOOKUP(A5,Index!$B$2:$B$995,Index!$F$2:$F$995,"Not Found"))*B5),"")</f>
        <v>3</v>
      </c>
      <c r="L5" s="6" t="str">
        <f t="shared" si="1"/>
        <v/>
      </c>
      <c r="M5" s="1" t="str">
        <f t="shared" si="2"/>
        <v/>
      </c>
      <c r="N5" s="1" t="str">
        <f t="shared" si="3"/>
        <v/>
      </c>
      <c r="O5" s="1" t="str">
        <f t="shared" si="4"/>
        <v/>
      </c>
      <c r="P5" s="1" t="str">
        <f t="shared" si="5"/>
        <v/>
      </c>
      <c r="Q5" s="1" t="str">
        <f t="shared" si="6"/>
        <v/>
      </c>
    </row>
    <row r="6">
      <c r="A6" s="1" t="s">
        <v>25</v>
      </c>
      <c r="B6" s="1">
        <v>1.0</v>
      </c>
      <c r="C6" s="1" t="str">
        <f t="array" ref="C6">IF(NOT(ISBLANK($A6)), (_xlfn.XLOOKUP($A6,Index!$B$2:$B$995,Index!$C$2:$C$995,"Not Found")),"")</f>
        <v>C</v>
      </c>
      <c r="D6" s="1" t="str">
        <f t="array" ref="D6">IF(NOT(ISBLANK(A6)), (_xlfn.XLOOKUP($A6,Index!$B$2:B$995,Index!$A$2:$A$995,"Not Found")),"")</f>
        <v>base1-3</v>
      </c>
      <c r="E6" s="2" t="str">
        <f t="array" ref="E6">IF(NOT(ISBLANK($A6)), (_xlfn.XLOOKUP($A6,Index!$B$2:$B$995,Index!$D$2:$D$995,"Not Found")),"")</f>
        <v>b</v>
      </c>
      <c r="F6" s="1" t="str">
        <f t="array" ref="F6">IF(NOT(ISBLANK($A6)), (_xlfn.XLOOKUP($A6,Index!$B$2:$B$995,Index!$E$2:$E$995,"Not Found")),"")</f>
        <v>n</v>
      </c>
      <c r="G6" s="1">
        <f t="array" ref="G6">IF(NOT(ISBLANK(A6)), ((_xlfn.XLOOKUP(A6,Index!$B$2:$B$995,Index!$F$2:$F$995,"Not Found"))*B6),"")</f>
        <v>1</v>
      </c>
      <c r="L6" s="6"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418</v>
      </c>
      <c r="B7" s="1">
        <v>4.0</v>
      </c>
      <c r="C7" s="1" t="str">
        <f t="array" ref="C7">IF(NOT(ISBLANK($A7)), (_xlfn.XLOOKUP($A7,Index!$B$2:$B$995,Index!$C$2:$C$995,"Not Found")),"")</f>
        <v>G</v>
      </c>
      <c r="D7" s="1" t="str">
        <f t="array" ref="D7">IF(NOT(ISBLANK(A7)), (_xlfn.XLOOKUP($A7,Index!$B$2:B$995,Index!$A$2:$A$995,"Not Found")),"")</f>
        <v>base2-58</v>
      </c>
      <c r="E7" s="2" t="str">
        <f t="array" ref="E7">IF(NOT(ISBLANK($A7)), (_xlfn.XLOOKUP($A7,Index!$B$2:$B$995,Index!$D$2:$D$995,"Not Found")),"")</f>
        <v>b</v>
      </c>
      <c r="F7" s="1" t="str">
        <f t="array" ref="F7">IF(NOT(ISBLANK($A7)), (_xlfn.XLOOKUP($A7,Index!$B$2:$B$995,Index!$E$2:$E$995,"Not Found")),"")</f>
        <v>y</v>
      </c>
      <c r="G7" s="1">
        <f t="array" ref="G7">IF(NOT(ISBLANK(A7)), ((_xlfn.XLOOKUP(A7,Index!$B$2:$B$995,Index!$F$2:$F$995,"Not Found"))*B7),"")</f>
        <v>0</v>
      </c>
      <c r="K7" s="1" t="s">
        <v>724</v>
      </c>
      <c r="L7" s="6">
        <f t="shared" ref="L7:Q7" si="7">SUM(L2:L6)</f>
        <v>20</v>
      </c>
      <c r="M7" s="6">
        <f t="shared" si="7"/>
        <v>13</v>
      </c>
      <c r="N7" s="6">
        <f t="shared" si="7"/>
        <v>2</v>
      </c>
      <c r="O7" s="6">
        <f t="shared" si="7"/>
        <v>3</v>
      </c>
      <c r="P7" s="6">
        <f t="shared" si="7"/>
        <v>2</v>
      </c>
      <c r="Q7" s="6">
        <f t="shared" si="7"/>
        <v>6</v>
      </c>
    </row>
    <row r="8">
      <c r="A8" s="1" t="s">
        <v>382</v>
      </c>
      <c r="B8" s="1">
        <v>3.0</v>
      </c>
      <c r="C8" s="1" t="str">
        <f t="array" ref="C8">IF(NOT(ISBLANK($A8)), (_xlfn.XLOOKUP($A8,Index!$B$2:$B$995,Index!$C$2:$C$995,"Not Found")),"")</f>
        <v>G</v>
      </c>
      <c r="D8" s="1" t="str">
        <f t="array" ref="D8">IF(NOT(ISBLANK(A8)), (_xlfn.XLOOKUP($A8,Index!$B$2:B$995,Index!$A$2:$A$995,"Not Found")),"")</f>
        <v>base2-37</v>
      </c>
      <c r="E8" s="2">
        <f t="array" ref="E8">IF(NOT(ISBLANK($A8)), (_xlfn.XLOOKUP($A8,Index!$B$2:$B$995,Index!$D$2:$D$995,"Not Found")),"")</f>
        <v>1</v>
      </c>
      <c r="F8" s="1" t="str">
        <f t="array" ref="F8">IF(NOT(ISBLANK($A8)), (_xlfn.XLOOKUP($A8,Index!$B$2:$B$995,Index!$E$2:$E$995,"Not Found")),"")</f>
        <v>y</v>
      </c>
      <c r="G8" s="1">
        <f t="array" ref="G8">IF(NOT(ISBLANK(A8)), ((_xlfn.XLOOKUP(A8,Index!$B$2:$B$995,Index!$F$2:$F$995,"Not Found"))*B8),"")</f>
        <v>0</v>
      </c>
    </row>
    <row r="9">
      <c r="A9" s="1" t="s">
        <v>453</v>
      </c>
      <c r="B9" s="1">
        <v>2.0</v>
      </c>
      <c r="C9" s="1" t="str">
        <f t="array" ref="C9">IF(NOT(ISBLANK($A9)), (_xlfn.XLOOKUP($A9,Index!$B$2:$B$995,Index!$C$2:$C$995,"Not Found")),"")</f>
        <v>G</v>
      </c>
      <c r="D9" s="1" t="str">
        <f t="array" ref="D9">IF(NOT(ISBLANK(A9)), (_xlfn.XLOOKUP($A9,Index!$B$2:B$995,Index!$A$2:$A$995,"Not Found")),"")</f>
        <v>base2-15</v>
      </c>
      <c r="E9" s="2">
        <f t="array" ref="E9">IF(NOT(ISBLANK($A9)), (_xlfn.XLOOKUP($A9,Index!$B$2:$B$995,Index!$D$2:$D$995,"Not Found")),"")</f>
        <v>2</v>
      </c>
      <c r="F9" s="1" t="str">
        <f t="array" ref="F9">IF(NOT(ISBLANK($A9)), (_xlfn.XLOOKUP($A9,Index!$B$2:$B$995,Index!$E$2:$E$995,"Not Found")),"")</f>
        <v/>
      </c>
      <c r="G9" s="1">
        <f t="array" ref="G9">IF(NOT(ISBLANK(A9)), ((_xlfn.XLOOKUP(A9,Index!$B$2:$B$995,Index!$F$2:$F$995,"Not Found"))*B9),"")</f>
        <v>6</v>
      </c>
      <c r="M9" s="1" t="s">
        <v>725</v>
      </c>
      <c r="N9" s="1" t="s">
        <v>726</v>
      </c>
      <c r="O9" s="1" t="s">
        <v>727</v>
      </c>
    </row>
    <row r="10">
      <c r="A10" s="1" t="s">
        <v>425</v>
      </c>
      <c r="B10" s="1">
        <v>2.0</v>
      </c>
      <c r="C10" s="1" t="str">
        <f t="array" ref="C10">IF(NOT(ISBLANK($A10)), (_xlfn.XLOOKUP($A10,Index!$B$2:$B$995,Index!$C$2:$C$995,"Not Found")),"")</f>
        <v>G</v>
      </c>
      <c r="D10" s="1" t="str">
        <f t="array" ref="D10">IF(NOT(ISBLANK(A10)), (_xlfn.XLOOKUP($A10,Index!$B$2:B$995,Index!$A$2:$A$995,"Not Found")),"")</f>
        <v>base2-9</v>
      </c>
      <c r="E10" s="2" t="str">
        <f t="array" ref="E10">IF(NOT(ISBLANK($A10)), (_xlfn.XLOOKUP($A10,Index!$B$2:$B$995,Index!$D$2:$D$995,"Not Found")),"")</f>
        <v>b</v>
      </c>
      <c r="F10" s="1" t="str">
        <f t="array" ref="F10">IF(NOT(ISBLANK($A10)), (_xlfn.XLOOKUP($A10,Index!$B$2:$B$995,Index!$E$2:$E$995,"Not Found")),"")</f>
        <v>n</v>
      </c>
      <c r="G10" s="1">
        <f t="array" ref="G10">IF(NOT(ISBLANK(A10)), ((_xlfn.XLOOKUP(A10,Index!$B$2:$B$995,Index!$F$2:$F$995,"Not Found"))*B10),"")</f>
        <v>2</v>
      </c>
      <c r="K10" s="1" t="s">
        <v>728</v>
      </c>
      <c r="L10" s="6">
        <f>SUM(M10:P10)</f>
        <v>16</v>
      </c>
      <c r="M10" s="6">
        <f>IF(NOT(ISBLANK($K10)), SUMIFS($B$2:$B$32,$E$2:$E$32, "C", $C$2:$C$32,"T"), "")</f>
        <v>8</v>
      </c>
      <c r="N10" s="6">
        <f>IF(NOT(ISBLANK($K10)), SUMIFS($B$2:$B$32,$E$2:$E$32, "U", $C$2:$C$32,"T"), "")</f>
        <v>6</v>
      </c>
      <c r="O10" s="6">
        <f>IF(NOT(ISBLANK($K$2)), SUMIFS($B$2:$B$32,$E$2:$E$32, "R", $C$2:$C$32,"T"), "")</f>
        <v>2</v>
      </c>
    </row>
    <row r="11">
      <c r="A11" s="1" t="s">
        <v>121</v>
      </c>
      <c r="B11" s="1">
        <v>1.0</v>
      </c>
      <c r="C11" s="1" t="str">
        <f t="array" ref="C11">IF(NOT(ISBLANK($A11)), (_xlfn.XLOOKUP($A11,Index!$B$2:$B$995,Index!$C$2:$C$995,"Not Found")),"")</f>
        <v>C</v>
      </c>
      <c r="D11" s="1" t="str">
        <f t="array" ref="D11">IF(NOT(ISBLANK(A11)), (_xlfn.XLOOKUP($A11,Index!$B$2:B$995,Index!$A$2:$A$995,"Not Found")),"")</f>
        <v>base2-38</v>
      </c>
      <c r="E11" s="2" t="str">
        <f t="array" ref="E11">IF(NOT(ISBLANK($A11)), (_xlfn.XLOOKUP($A11,Index!$B$2:$B$995,Index!$D$2:$D$995,"Not Found")),"")</f>
        <v>b</v>
      </c>
      <c r="F11" s="1" t="str">
        <f t="array" ref="F11">IF(NOT(ISBLANK($A11)), (_xlfn.XLOOKUP($A11,Index!$B$2:$B$995,Index!$E$2:$E$995,"Not Found")),"")</f>
        <v>n</v>
      </c>
      <c r="G11" s="1">
        <f t="array" ref="G11">IF(NOT(ISBLANK(A11)), ((_xlfn.XLOOKUP(A11,Index!$B$2:$B$995,Index!$F$2:$F$995,"Not Found"))*B11),"")</f>
        <v>0.5</v>
      </c>
      <c r="K11" s="1" t="s">
        <v>289</v>
      </c>
      <c r="L11" s="1">
        <f>IF(NOT(ISBLANK($K$2)), SUMIFS($B$2:$B$32, $C$2:$C$32,"Energy"), "")</f>
        <v>24</v>
      </c>
    </row>
    <row r="12">
      <c r="A12" s="1" t="s">
        <v>570</v>
      </c>
      <c r="B12" s="1">
        <v>3.0</v>
      </c>
      <c r="C12" s="1" t="str">
        <f t="array" ref="C12">IF(NOT(ISBLANK($A12)), (_xlfn.XLOOKUP($A12,Index!$B$2:$B$995,Index!$C$2:$C$995,"Not Found")),"")</f>
        <v>T</v>
      </c>
      <c r="D12" s="1" t="str">
        <f t="array" ref="D12">IF(NOT(ISBLANK(A12)), (_xlfn.XLOOKUP($A12,Index!$B$2:B$995,Index!$A$2:$A$995,"Not Found")),"")</f>
        <v>base1-91</v>
      </c>
      <c r="E12" s="2" t="str">
        <f t="array" ref="E12">IF(NOT(ISBLANK($A12)), (_xlfn.XLOOKUP($A12,Index!$B$2:$B$995,Index!$D$2:$D$995,"Not Found")),"")</f>
        <v>c</v>
      </c>
      <c r="F12" s="1" t="str">
        <f t="array" ref="F12">IF(NOT(ISBLANK($A12)), (_xlfn.XLOOKUP($A12,Index!$B$2:$B$995,Index!$E$2:$E$995,"Not Found")),"")</f>
        <v/>
      </c>
      <c r="G12" s="1" t="str">
        <f t="array" ref="G12">IF(NOT(ISBLANK(A12)), ((_xlfn.XLOOKUP(A12,Index!$B$2:$B$995,Index!$F$2:$F$995,"Not Found"))*B12),"")</f>
        <v>#VALUE!</v>
      </c>
      <c r="K12" s="1" t="s">
        <v>729</v>
      </c>
      <c r="L12" s="6">
        <f>L7</f>
        <v>20</v>
      </c>
    </row>
    <row r="13">
      <c r="A13" s="1" t="s">
        <v>638</v>
      </c>
      <c r="B13" s="1">
        <v>2.0</v>
      </c>
      <c r="C13" s="1" t="str">
        <f t="array" ref="C13">IF(NOT(ISBLANK($A13)), (_xlfn.XLOOKUP($A13,Index!$B$2:$B$995,Index!$C$2:$C$995,"Not Found")),"")</f>
        <v>T</v>
      </c>
      <c r="D13" s="1" t="str">
        <f t="array" ref="D13">IF(NOT(ISBLANK(A13)), (_xlfn.XLOOKUP($A13,Index!$B$2:B$995,Index!$A$2:$A$995,"Not Found")),"")</f>
        <v>base1-88</v>
      </c>
      <c r="E13" s="2" t="str">
        <f t="array" ref="E13">IF(NOT(ISBLANK($A13)), (_xlfn.XLOOKUP($A13,Index!$B$2:$B$995,Index!$D$2:$D$995,"Not Found")),"")</f>
        <v>u</v>
      </c>
      <c r="F13" s="1" t="str">
        <f t="array" ref="F13">IF(NOT(ISBLANK($A13)), (_xlfn.XLOOKUP($A13,Index!$B$2:$B$995,Index!$E$2:$E$995,"Not Found")),"")</f>
        <v/>
      </c>
      <c r="G13" s="1" t="str">
        <f t="array" ref="G13">IF(NOT(ISBLANK(A13)), ((_xlfn.XLOOKUP(A13,Index!$B$2:$B$995,Index!$F$2:$F$995,"Not Found"))*B13),"")</f>
        <v>#VALUE!</v>
      </c>
    </row>
    <row r="14">
      <c r="A14" s="1" t="s">
        <v>589</v>
      </c>
      <c r="B14" s="1">
        <v>2.0</v>
      </c>
      <c r="C14" s="1" t="str">
        <f t="array" ref="C14">IF(NOT(ISBLANK($A14)), (_xlfn.XLOOKUP($A14,Index!$B$2:$B$995,Index!$C$2:$C$995,"Not Found")),"")</f>
        <v>T</v>
      </c>
      <c r="D14" s="1" t="str">
        <f t="array" ref="D14">IF(NOT(ISBLANK(A14)), (_xlfn.XLOOKUP($A14,Index!$B$2:B$995,Index!$A$2:$A$995,"Not Found")),"")</f>
        <v>base1-94</v>
      </c>
      <c r="E14" s="2" t="str">
        <f t="array" ref="E14">IF(NOT(ISBLANK($A14)), (_xlfn.XLOOKUP($A14,Index!$B$2:$B$995,Index!$D$2:$D$995,"Not Found")),"")</f>
        <v>c</v>
      </c>
      <c r="F14" s="1" t="str">
        <f t="array" ref="F14">IF(NOT(ISBLANK($A14)), (_xlfn.XLOOKUP($A14,Index!$B$2:$B$995,Index!$E$2:$E$995,"Not Found")),"")</f>
        <v/>
      </c>
      <c r="G14" s="1" t="str">
        <f t="array" ref="G14">IF(NOT(ISBLANK(A14)), ((_xlfn.XLOOKUP(A14,Index!$B$2:$B$995,Index!$F$2:$F$995,"Not Found"))*B14),"")</f>
        <v>#VALUE!</v>
      </c>
    </row>
    <row r="15">
      <c r="A15" s="1" t="s">
        <v>642</v>
      </c>
      <c r="B15" s="1">
        <v>2.0</v>
      </c>
      <c r="C15" s="1" t="str">
        <f t="array" ref="C15">IF(NOT(ISBLANK($A15)), (_xlfn.XLOOKUP($A15,Index!$B$2:$B$995,Index!$C$2:$C$995,"Not Found")),"")</f>
        <v>T</v>
      </c>
      <c r="D15" s="1" t="str">
        <f t="array" ref="D15">IF(NOT(ISBLANK(A15)), (_xlfn.XLOOKUP($A15,Index!$B$2:B$995,Index!$A$2:$A$995,"Not Found")),"")</f>
        <v>base1-90</v>
      </c>
      <c r="E15" s="2" t="str">
        <f t="array" ref="E15">IF(NOT(ISBLANK($A15)), (_xlfn.XLOOKUP($A15,Index!$B$2:$B$995,Index!$D$2:$D$995,"Not Found")),"")</f>
        <v>u</v>
      </c>
      <c r="F15" s="1" t="str">
        <f t="array" ref="F15">IF(NOT(ISBLANK($A15)), (_xlfn.XLOOKUP($A15,Index!$B$2:$B$995,Index!$E$2:$E$995,"Not Found")),"")</f>
        <v/>
      </c>
      <c r="G15" s="1" t="str">
        <f t="array" ref="G15">IF(NOT(ISBLANK(A15)), ((_xlfn.XLOOKUP(A15,Index!$B$2:$B$995,Index!$F$2:$F$995,"Not Found"))*B15),"")</f>
        <v>#VALUE!</v>
      </c>
      <c r="K15" s="1" t="s">
        <v>730</v>
      </c>
    </row>
    <row r="16">
      <c r="A16" s="1" t="s">
        <v>618</v>
      </c>
      <c r="B16" s="1">
        <v>1.0</v>
      </c>
      <c r="C16" s="1" t="str">
        <f t="array" ref="C16">IF(NOT(ISBLANK($A16)), (_xlfn.XLOOKUP($A16,Index!$B$2:$B$995,Index!$C$2:$C$995,"Not Found")),"")</f>
        <v>T</v>
      </c>
      <c r="D16" s="1" t="str">
        <f t="array" ref="D16">IF(NOT(ISBLANK(A16)), (_xlfn.XLOOKUP($A16,Index!$B$2:B$995,Index!$A$2:$A$995,"Not Found")),"")</f>
        <v>base1-80</v>
      </c>
      <c r="E16" s="2" t="str">
        <f t="array" ref="E16">IF(NOT(ISBLANK($A16)), (_xlfn.XLOOKUP($A16,Index!$B$2:$B$995,Index!$D$2:$D$995,"Not Found")),"")</f>
        <v>u</v>
      </c>
      <c r="F16" s="1" t="str">
        <f t="array" ref="F16">IF(NOT(ISBLANK($A16)), (_xlfn.XLOOKUP($A16,Index!$B$2:$B$995,Index!$E$2:$E$995,"Not Found")),"")</f>
        <v/>
      </c>
      <c r="G16" s="1" t="str">
        <f t="array" ref="G16">IF(NOT(ISBLANK(A16)), ((_xlfn.XLOOKUP(A16,Index!$B$2:$B$995,Index!$F$2:$F$995,"Not Found"))*B16),"")</f>
        <v>#VALUE!</v>
      </c>
      <c r="K16" s="6" t="str">
        <f t="shared" ref="K16:K20" si="8">K2</f>
        <v>G</v>
      </c>
      <c r="L16" s="1">
        <f t="shared" ref="L16:L19" si="9">IF(NOT(ISBLANK($K2)), SUMIFS($G$2:$G$32, $C$2:$C$32,$K2), "")</f>
        <v>12</v>
      </c>
    </row>
    <row r="17">
      <c r="A17" s="1" t="s">
        <v>593</v>
      </c>
      <c r="B17" s="1">
        <v>1.0</v>
      </c>
      <c r="C17" s="1" t="str">
        <f t="array" ref="C17">IF(NOT(ISBLANK($A17)), (_xlfn.XLOOKUP($A17,Index!$B$2:$B$995,Index!$C$2:$C$995,"Not Found")),"")</f>
        <v>T</v>
      </c>
      <c r="D17" s="1" t="str">
        <f t="array" ref="D17">IF(NOT(ISBLANK(A17)), (_xlfn.XLOOKUP($A17,Index!$B$2:B$995,Index!$A$2:$A$995,"Not Found")),"")</f>
        <v>base1-95</v>
      </c>
      <c r="E17" s="2" t="str">
        <f t="array" ref="E17">IF(NOT(ISBLANK($A17)), (_xlfn.XLOOKUP($A17,Index!$B$2:$B$995,Index!$D$2:$D$995,"Not Found")),"")</f>
        <v>c</v>
      </c>
      <c r="F17" s="1" t="str">
        <f t="array" ref="F17">IF(NOT(ISBLANK($A17)), (_xlfn.XLOOKUP($A17,Index!$B$2:$B$995,Index!$E$2:$E$995,"Not Found")),"")</f>
        <v/>
      </c>
      <c r="G17" s="1" t="str">
        <f t="array" ref="G17">IF(NOT(ISBLANK(A17)), ((_xlfn.XLOOKUP(A17,Index!$B$2:$B$995,Index!$F$2:$F$995,"Not Found"))*B17),"")</f>
        <v>#VALUE!</v>
      </c>
      <c r="K17" s="6" t="str">
        <f t="shared" si="8"/>
        <v>C</v>
      </c>
      <c r="L17" s="1">
        <f t="shared" si="9"/>
        <v>4.5</v>
      </c>
    </row>
    <row r="18">
      <c r="A18" s="1" t="s">
        <v>604</v>
      </c>
      <c r="B18" s="1">
        <v>1.0</v>
      </c>
      <c r="C18" s="1" t="str">
        <f t="array" ref="C18">IF(NOT(ISBLANK($A18)), (_xlfn.XLOOKUP($A18,Index!$B$2:$B$995,Index!$C$2:$C$995,"Not Found")),"")</f>
        <v>T</v>
      </c>
      <c r="D18" s="1" t="str">
        <f t="array" ref="D18">IF(NOT(ISBLANK(A18)), (_xlfn.XLOOKUP($A18,Index!$B$2:B$995,Index!$A$2:$A$995,"Not Found")),"")</f>
        <v>base1-73</v>
      </c>
      <c r="E18" s="2" t="str">
        <f t="array" ref="E18">IF(NOT(ISBLANK($A18)), (_xlfn.XLOOKUP($A18,Index!$B$2:$B$995,Index!$D$2:$D$995,"Not Found")),"")</f>
        <v>r</v>
      </c>
      <c r="F18" s="1" t="str">
        <f t="array" ref="F18">IF(NOT(ISBLANK($A18)), (_xlfn.XLOOKUP($A18,Index!$B$2:$B$995,Index!$E$2:$E$995,"Not Found")),"")</f>
        <v/>
      </c>
      <c r="G18" s="1" t="str">
        <f t="array" ref="G18">IF(NOT(ISBLANK(A18)), ((_xlfn.XLOOKUP(A18,Index!$B$2:$B$995,Index!$F$2:$F$995,"Not Found"))*B18),"")</f>
        <v>#VALUE!</v>
      </c>
      <c r="K18" s="6" t="str">
        <f t="shared" si="8"/>
        <v/>
      </c>
      <c r="L18" s="1" t="str">
        <f t="shared" si="9"/>
        <v/>
      </c>
    </row>
    <row r="19">
      <c r="A19" s="1" t="s">
        <v>608</v>
      </c>
      <c r="B19" s="1">
        <v>1.0</v>
      </c>
      <c r="C19" s="1" t="str">
        <f t="array" ref="C19">IF(NOT(ISBLANK($A19)), (_xlfn.XLOOKUP($A19,Index!$B$2:$B$995,Index!$C$2:$C$995,"Not Found")),"")</f>
        <v>T</v>
      </c>
      <c r="D19" s="1" t="str">
        <f t="array" ref="D19">IF(NOT(ISBLANK(A19)), (_xlfn.XLOOKUP($A19,Index!$B$2:B$995,Index!$A$2:$A$995,"Not Found")),"")</f>
        <v>base1-75</v>
      </c>
      <c r="E19" s="2" t="str">
        <f t="array" ref="E19">IF(NOT(ISBLANK($A19)), (_xlfn.XLOOKUP($A19,Index!$B$2:$B$995,Index!$D$2:$D$995,"Not Found")),"")</f>
        <v>r</v>
      </c>
      <c r="F19" s="1" t="str">
        <f t="array" ref="F19">IF(NOT(ISBLANK($A19)), (_xlfn.XLOOKUP($A19,Index!$B$2:$B$995,Index!$E$2:$E$995,"Not Found")),"")</f>
        <v/>
      </c>
      <c r="G19" s="1" t="str">
        <f t="array" ref="G19">IF(NOT(ISBLANK(A19)), ((_xlfn.XLOOKUP(A19,Index!$B$2:$B$995,Index!$F$2:$F$995,"Not Found"))*B19),"")</f>
        <v>#VALUE!</v>
      </c>
      <c r="K19" s="6" t="str">
        <f t="shared" si="8"/>
        <v/>
      </c>
      <c r="L19" s="1" t="str">
        <f t="shared" si="9"/>
        <v/>
      </c>
    </row>
    <row r="20">
      <c r="A20" s="1" t="s">
        <v>587</v>
      </c>
      <c r="B20" s="1">
        <v>2.0</v>
      </c>
      <c r="C20" s="1" t="str">
        <f t="array" ref="C20">IF(NOT(ISBLANK($A20)), (_xlfn.XLOOKUP($A20,Index!$B$2:$B$995,Index!$C$2:$C$995,"Not Found")),"")</f>
        <v>T</v>
      </c>
      <c r="D20" s="1" t="str">
        <f t="array" ref="D20">IF(NOT(ISBLANK(A20)), (_xlfn.XLOOKUP($A20,Index!$B$2:B$995,Index!$A$2:$A$995,"Not Found")),"")</f>
        <v>base2-64</v>
      </c>
      <c r="E20" s="2" t="str">
        <f t="array" ref="E20">IF(NOT(ISBLANK($A20)), (_xlfn.XLOOKUP($A20,Index!$B$2:$B$995,Index!$D$2:$D$995,"Not Found")),"")</f>
        <v>c</v>
      </c>
      <c r="F20" s="1" t="str">
        <f t="array" ref="F20">IF(NOT(ISBLANK($A20)), (_xlfn.XLOOKUP($A20,Index!$B$2:$B$995,Index!$E$2:$E$995,"Not Found")),"")</f>
        <v/>
      </c>
      <c r="G20" s="1" t="str">
        <f t="array" ref="G20">IF(NOT(ISBLANK(A20)), ((_xlfn.XLOOKUP(A20,Index!$B$2:$B$995,Index!$F$2:$F$995,"Not Found"))*B20),"")</f>
        <v>#VALUE!</v>
      </c>
      <c r="K20" s="6" t="str">
        <f t="shared" si="8"/>
        <v/>
      </c>
    </row>
    <row r="21">
      <c r="A21" s="1" t="s">
        <v>623</v>
      </c>
      <c r="B21" s="1">
        <v>1.0</v>
      </c>
      <c r="C21" s="1" t="str">
        <f t="array" ref="C21">IF(NOT(ISBLANK($A21)), (_xlfn.XLOOKUP($A21,Index!$B$2:$B$995,Index!$C$2:$C$995,"Not Found")),"")</f>
        <v>T</v>
      </c>
      <c r="D21" s="1" t="str">
        <f t="array" ref="D21">IF(NOT(ISBLANK(A21)), (_xlfn.XLOOKUP($A21,Index!$B$2:B$995,Index!$A$2:$A$995,"Not Found")),"")</f>
        <v>base1-82</v>
      </c>
      <c r="E21" s="2" t="str">
        <f t="array" ref="E21">IF(NOT(ISBLANK($A21)), (_xlfn.XLOOKUP($A21,Index!$B$2:$B$995,Index!$D$2:$D$995,"Not Found")),"")</f>
        <v>u</v>
      </c>
      <c r="F21" s="1" t="str">
        <f t="array" ref="F21">IF(NOT(ISBLANK($A21)), (_xlfn.XLOOKUP($A21,Index!$B$2:$B$995,Index!$E$2:$E$995,"Not Found")),"")</f>
        <v/>
      </c>
      <c r="G21" s="1" t="str">
        <f t="array" ref="G21">IF(NOT(ISBLANK(A21)), ((_xlfn.XLOOKUP(A21,Index!$B$2:$B$995,Index!$F$2:$F$995,"Not Found"))*B21),"")</f>
        <v>#VALUE!</v>
      </c>
      <c r="K21" s="1" t="s">
        <v>731</v>
      </c>
      <c r="L21" s="6">
        <f>SUM(L15:L19)</f>
        <v>16.5</v>
      </c>
    </row>
    <row r="22">
      <c r="C22" s="1" t="str">
        <f t="array" ref="C22">IF(NOT(ISBLANK($A22)), (_xlfn.XLOOKUP($A22,Index!$B$2:$B$995,Index!$C$2:$C$995,"Not Found")),"")</f>
        <v/>
      </c>
      <c r="D22" s="1" t="str">
        <f t="array" ref="D22">IF(NOT(ISBLANK(A22)), (_xlfn.XLOOKUP($A22,Index!$B$2:B$995,Index!$A$2:$A$995,"Not Found")),"")</f>
        <v/>
      </c>
      <c r="E22" s="2" t="str">
        <f t="array" ref="E22">IF(NOT(ISBLANK($A22)), (_xlfn.XLOOKUP($A22,Index!$B$2:$B$995,Index!$D$2:$D$995,"Not Found")),"")</f>
        <v/>
      </c>
      <c r="F22" s="1" t="str">
        <f t="array" ref="F22">IF(NOT(ISBLANK($A22)), (_xlfn.XLOOKUP($A22,Index!$B$2:$B$995,Index!$E$2:$E$995,"Not Found")),"")</f>
        <v/>
      </c>
      <c r="G22" s="1" t="str">
        <f t="array" ref="G22">IF(NOT(ISBLANK(A22)), ((_xlfn.XLOOKUP(A22,Index!$B$2:$B$995,Index!$F$2:$F$995,"Not Found"))*B22),"")</f>
        <v/>
      </c>
    </row>
    <row r="23">
      <c r="C23" s="1" t="str">
        <f t="array" ref="C23">IF(NOT(ISBLANK($A23)), (_xlfn.XLOOKUP($A23,Index!$B$2:$B$995,Index!$C$2:$C$995,"Not Found")),"")</f>
        <v/>
      </c>
      <c r="D23" s="1" t="str">
        <f t="array" ref="D23">IF(NOT(ISBLANK(A23)), (_xlfn.XLOOKUP($A23,Index!$B$2:B$995,Index!$A$2:$A$995,"Not Found")),"")</f>
        <v/>
      </c>
      <c r="E23" s="2" t="str">
        <f t="array" ref="E23">IF(NOT(ISBLANK($A23)), (_xlfn.XLOOKUP($A23,Index!$B$2:$B$995,Index!$D$2:$D$995,"Not Found")),"")</f>
        <v/>
      </c>
      <c r="F23" s="1" t="str">
        <f t="array" ref="F23">IF(NOT(ISBLANK($A23)), (_xlfn.XLOOKUP($A23,Index!$B$2:$B$995,Index!$E$2:$E$995,"Not Found")),"")</f>
        <v/>
      </c>
      <c r="G23" s="1" t="str">
        <f t="array" ref="G23">IF(NOT(ISBLANK(A23)), ((_xlfn.XLOOKUP(A23,Index!$B$2:$B$995,Index!$F$2:$F$995,"Not Found"))*B23),"")</f>
        <v/>
      </c>
    </row>
    <row r="24">
      <c r="C24" s="1" t="str">
        <f t="array" ref="C24">IF(NOT(ISBLANK($A24)), (_xlfn.XLOOKUP($A24,Index!$B$2:$B$995,Index!$C$2:$C$995,"Not Found")),"")</f>
        <v/>
      </c>
      <c r="D24" s="1" t="str">
        <f t="array" ref="D24">IF(NOT(ISBLANK(A24)), (_xlfn.XLOOKUP($A24,Index!$B$2:B$995,Index!$A$2:$A$995,"Not Found")),"")</f>
        <v/>
      </c>
      <c r="E24" s="2" t="str">
        <f t="array" ref="E24">IF(NOT(ISBLANK($A24)), (_xlfn.XLOOKUP($A24,Index!$B$2:$B$995,Index!$D$2:$D$995,"Not Found")),"")</f>
        <v/>
      </c>
      <c r="F24" s="1" t="str">
        <f t="array" ref="F24">IF(NOT(ISBLANK($A24)), (_xlfn.XLOOKUP($A24,Index!$B$2:$B$995,Index!$E$2:$E$995,"Not Found")),"")</f>
        <v/>
      </c>
      <c r="G24" s="1" t="str">
        <f t="array" ref="G24">IF(NOT(ISBLANK(A24)), ((_xlfn.XLOOKUP(A24,Index!$B$2:$B$995,Index!$F$2:$F$995,"Not Found"))*B24),"")</f>
        <v/>
      </c>
      <c r="K24" s="1" t="s">
        <v>732</v>
      </c>
    </row>
    <row r="25">
      <c r="C25" s="1" t="str">
        <f t="array" ref="C25">IF(NOT(ISBLANK($A25)), (_xlfn.XLOOKUP($A25,Index!$B$2:$B$995,Index!$C$2:$C$995,"Not Found")),"")</f>
        <v/>
      </c>
      <c r="D25" s="1" t="str">
        <f t="array" ref="D25">IF(NOT(ISBLANK(A25)), (_xlfn.XLOOKUP($A25,Index!$B$2:B$995,Index!$A$2:$A$995,"Not Found")),"")</f>
        <v/>
      </c>
      <c r="E25" s="2" t="str">
        <f t="array" ref="E25">IF(NOT(ISBLANK($A25)), (_xlfn.XLOOKUP($A25,Index!$B$2:$B$995,Index!$D$2:$D$995,"Not Found")),"")</f>
        <v/>
      </c>
      <c r="F25" s="1" t="str">
        <f t="array" ref="F25">IF(NOT(ISBLANK($A25)), (_xlfn.XLOOKUP($A25,Index!$B$2:$B$995,Index!$E$2:$E$995,"Not Found")),"")</f>
        <v/>
      </c>
      <c r="G25" s="1" t="str">
        <f t="array" ref="G25">IF(NOT(ISBLANK(A25)), ((_xlfn.XLOOKUP(A25,Index!$B$2:$B$995,Index!$F$2:$F$995,"Not Found"))*B25),"")</f>
        <v/>
      </c>
    </row>
    <row r="26">
      <c r="C26" s="1" t="str">
        <f t="array" ref="C26">IF(NOT(ISBLANK($A26)), (_xlfn.XLOOKUP($A26,Index!$B$2:$B$995,Index!$C$2:$C$995,"Not Found")),"")</f>
        <v/>
      </c>
      <c r="D26" s="1" t="str">
        <f t="array" ref="D26">IF(NOT(ISBLANK(A26)), (_xlfn.XLOOKUP($A26,Index!$B$2:B$995,Index!$A$2:$A$995,"Not Found")),"")</f>
        <v/>
      </c>
      <c r="E26" s="2" t="str">
        <f t="array" ref="E26">IF(NOT(ISBLANK($A26)), (_xlfn.XLOOKUP($A26,Index!$B$2:$B$995,Index!$D$2:$D$995,"Not Found")),"")</f>
        <v/>
      </c>
      <c r="F26" s="1" t="str">
        <f t="array" ref="F26">IF(NOT(ISBLANK($A26)), (_xlfn.XLOOKUP($A26,Index!$B$2:$B$995,Index!$E$2:$E$995,"Not Found")),"")</f>
        <v/>
      </c>
      <c r="G26" s="1" t="str">
        <f t="array" ref="G26">IF(NOT(ISBLANK(A26)), ((_xlfn.XLOOKUP(A26,Index!$B$2:$B$995,Index!$F$2:$F$995,"Not Found"))*B26),"")</f>
        <v/>
      </c>
    </row>
    <row r="27">
      <c r="C27" s="1" t="str">
        <f t="array" ref="C27">IF(NOT(ISBLANK($A27)), (_xlfn.XLOOKUP($A27,Index!$B$2:$B$995,Index!$C$2:$C$995,"Not Found")),"")</f>
        <v/>
      </c>
      <c r="D27" s="1" t="str">
        <f t="array" ref="D27">IF(NOT(ISBLANK(A27)), (_xlfn.XLOOKUP($A27,Index!$B$2:B$995,Index!$A$2:$A$995,"Not Found")),"")</f>
        <v/>
      </c>
      <c r="E27" s="2" t="str">
        <f t="array" ref="E27">IF(NOT(ISBLANK($A27)), (_xlfn.XLOOKUP($A27,Index!$B$2:$B$995,Index!$D$2:$D$995,"Not Found")),"")</f>
        <v/>
      </c>
      <c r="F27" s="1" t="str">
        <f t="array" ref="F27">IF(NOT(ISBLANK($A27)), (_xlfn.XLOOKUP($A27,Index!$B$2:$B$995,Index!$E$2:$E$995,"Not Found")),"")</f>
        <v/>
      </c>
      <c r="G27" s="1" t="str">
        <f t="array" ref="G27">IF(NOT(ISBLANK(A27)), ((_xlfn.XLOOKUP(A27,Index!$B$2:$B$995,Index!$F$2:$F$995,"Not Found"))*B27),"")</f>
        <v/>
      </c>
    </row>
    <row r="28">
      <c r="C28" s="1" t="str">
        <f t="array" ref="C28">IF(NOT(ISBLANK($A28)), (_xlfn.XLOOKUP($A28,Index!$B$2:$B$995,Index!$C$2:$C$995,"Not Found")),"")</f>
        <v/>
      </c>
      <c r="D28" s="1" t="str">
        <f t="array" ref="D28">IF(NOT(ISBLANK(A28)), (_xlfn.XLOOKUP($A28,Index!$B$2:B$995,Index!$A$2:$A$995,"Not Found")),"")</f>
        <v/>
      </c>
      <c r="E28" s="2" t="str">
        <f t="array" ref="E28">IF(NOT(ISBLANK($A28)), (_xlfn.XLOOKUP($A28,Index!$B$2:$B$995,Index!$D$2:$D$995,"Not Found")),"")</f>
        <v/>
      </c>
      <c r="F28" s="1" t="str">
        <f t="array" ref="F28">IF(NOT(ISBLANK($A28)), (_xlfn.XLOOKUP($A28,Index!$B$2:$B$995,Index!$E$2:$E$995,"Not Found")),"")</f>
        <v/>
      </c>
      <c r="G28" s="1" t="str">
        <f t="array" ref="G28">IF(NOT(ISBLANK(A28)), ((_xlfn.XLOOKUP(A28,Index!$B$2:$B$995,Index!$F$2:$F$995,"Not Found"))*B28),"")</f>
        <v/>
      </c>
    </row>
    <row r="29">
      <c r="C29" s="1" t="str">
        <f t="array" ref="C29">IF(NOT(ISBLANK($A29)), (_xlfn.XLOOKUP($A29,Index!$B$2:$B$995,Index!$C$2:$C$995,"Not Found")),"")</f>
        <v/>
      </c>
      <c r="D29" s="1" t="str">
        <f t="array" ref="D29">IF(NOT(ISBLANK(A29)), (_xlfn.XLOOKUP($A29,Index!$B$2:B$995,Index!$A$2:$A$995,"Not Found")),"")</f>
        <v/>
      </c>
      <c r="E29" s="2" t="str">
        <f t="array" ref="E29">IF(NOT(ISBLANK($A29)), (_xlfn.XLOOKUP($A29,Index!$B$2:$B$995,Index!$D$2:$D$995,"Not Found")),"")</f>
        <v/>
      </c>
      <c r="F29" s="1" t="str">
        <f t="array" ref="F29">IF(NOT(ISBLANK($A29)), (_xlfn.XLOOKUP($A29,Index!$B$2:$B$995,Index!$E$2:$E$995,"Not Found")),"")</f>
        <v/>
      </c>
      <c r="G29" s="1" t="str">
        <f t="array" ref="G29">IF(NOT(ISBLANK(A29)), ((_xlfn.XLOOKUP(A29,Index!$B$2:$B$995,Index!$F$2:$F$995,"Not Found"))*B29),"")</f>
        <v/>
      </c>
    </row>
    <row r="30">
      <c r="C30" s="1" t="str">
        <f t="array" ref="C30">IF(NOT(ISBLANK($A30)), (_xlfn.XLOOKUP($A30,Index!$B$2:$B$995,Index!$C$2:$C$995,"Not Found")),"")</f>
        <v/>
      </c>
      <c r="D30" s="1" t="str">
        <f t="array" ref="D30">IF(NOT(ISBLANK(A30)), (_xlfn.XLOOKUP($A30,Index!$B$2:B$995,Index!$A$2:$A$995,"Not Found")),"")</f>
        <v/>
      </c>
      <c r="E30" s="2" t="str">
        <f t="array" ref="E30">IF(NOT(ISBLANK($A30)), (_xlfn.XLOOKUP($A30,Index!$B$2:$B$995,Index!$D$2:$D$995,"Not Found")),"")</f>
        <v/>
      </c>
      <c r="F30" s="1" t="str">
        <f t="array" ref="F30">IF(NOT(ISBLANK($A30)), (_xlfn.XLOOKUP($A30,Index!$B$2:$B$995,Index!$E$2:$E$995,"Not Found")),"")</f>
        <v/>
      </c>
      <c r="G30" s="1" t="str">
        <f t="array" ref="G30">IF(NOT(ISBLANK(A30)), ((_xlfn.XLOOKUP(A30,Index!$B$2:$B$995,Index!$F$2:$F$995,"Not Found"))*B30),"")</f>
        <v/>
      </c>
    </row>
    <row r="31">
      <c r="C31" s="1" t="str">
        <f t="array" ref="C31">IF(NOT(ISBLANK($A31)), (_xlfn.XLOOKUP($A31,Index!$B$2:$B$995,Index!$C$2:$C$995,"Not Found")),"")</f>
        <v/>
      </c>
      <c r="D31" s="1" t="str">
        <f t="array" ref="D31">IF(NOT(ISBLANK(A31)), (_xlfn.XLOOKUP($A31,Index!$B$2:B$995,Index!$A$2:$A$995,"Not Found")),"")</f>
        <v/>
      </c>
      <c r="E31" s="2" t="str">
        <f t="array" ref="E31">IF(NOT(ISBLANK($A31)), (_xlfn.XLOOKUP($A31,Index!$B$2:$B$995,Index!$D$2:$D$995,"Not Found")),"")</f>
        <v/>
      </c>
      <c r="F31" s="1" t="str">
        <f t="array" ref="F31">IF(NOT(ISBLANK($A31)), (_xlfn.XLOOKUP($A31,Index!$B$2:$B$995,Index!$E$2:$E$995,"Not Found")),"")</f>
        <v/>
      </c>
      <c r="G31" s="1" t="str">
        <f t="array" ref="G31">IF(NOT(ISBLANK(A31)), ((_xlfn.XLOOKUP(A31,Index!$B$2:$B$995,Index!$F$2:$F$995,"Not Found"))*B31),"")</f>
        <v/>
      </c>
    </row>
    <row r="32">
      <c r="C32" s="1" t="str">
        <f t="array" ref="C32">IF(NOT(ISBLANK($A32)), (_xlfn.XLOOKUP($A32,Index!$B$2:$B$995,Index!$C$2:$C$995,"Not Found")),"")</f>
        <v/>
      </c>
      <c r="D32" s="1" t="str">
        <f t="array" ref="D32">IF(NOT(ISBLANK(A32)), (_xlfn.XLOOKUP($A32,Index!$B$2:B$995,Index!$A$2:$A$995,"Not Found")),"")</f>
        <v/>
      </c>
      <c r="E32" s="2" t="str">
        <f t="array" ref="E32">IF(NOT(ISBLANK($A32)), (_xlfn.XLOOKUP($A32,Index!$B$2:$B$995,Index!$D$2:$D$995,"Not Found")),"")</f>
        <v/>
      </c>
      <c r="F32" s="1" t="str">
        <f t="array" ref="F32">IF(NOT(ISBLANK($A32)), (_xlfn.XLOOKUP($A32,Index!$B$2:$B$995,Index!$E$2:$E$995,"Not Found")),"")</f>
        <v/>
      </c>
      <c r="G32" s="1" t="str">
        <f t="array" ref="G32">IF(NOT(ISBLANK(A32)), ((_xlfn.XLOOKUP(A32,Index!$B$2:$B$995,Index!$F$2:$F$995,"Not Found"))*B32),"")</f>
        <v/>
      </c>
    </row>
    <row r="33">
      <c r="C33" s="1" t="str">
        <f t="array" ref="C33">IF(NOT(ISBLANK($A33)), (_xlfn.XLOOKUP($A33,Index!$B$2:$B$995,Index!$C$2:$C$995,"Not Found")),"")</f>
        <v/>
      </c>
      <c r="D33" s="1" t="str">
        <f t="array" ref="D33">IF(NOT(ISBLANK(A33)), (_xlfn.XLOOKUP($A33,Index!$B$2:B$995,Index!$A$2:$A$995,"Not Found")),"")</f>
        <v/>
      </c>
      <c r="E33" s="2" t="str">
        <f t="array" ref="E33">IF(NOT(ISBLANK($A33)), (_xlfn.XLOOKUP($A33,Index!$B$2:$B$995,Index!$D$2:$D$995,"Not Found")),"")</f>
        <v/>
      </c>
      <c r="F33" s="1" t="str">
        <f t="array" ref="F33">IF(NOT(ISBLANK($A33)), (_xlfn.XLOOKUP($A33,Index!$B$2:$B$995,Index!$E$2:$E$995,"Not Found")),"")</f>
        <v/>
      </c>
      <c r="G33" s="1" t="str">
        <f t="array" ref="G33">IF(NOT(ISBLANK(A33)), ((_xlfn.XLOOKUP(A33,Index!$B$2:$B$995,Index!$F$2:$F$995,"Not Found"))*B33),"")</f>
        <v/>
      </c>
    </row>
    <row r="34">
      <c r="C34" s="1" t="str">
        <f t="array" ref="C34">IF(NOT(ISBLANK($A34)), (_xlfn.XLOOKUP($A34,Index!$B$2:$B$995,Index!$C$2:$C$995,"Not Found")),"")</f>
        <v/>
      </c>
      <c r="D34" s="1" t="str">
        <f t="array" ref="D34">IF(NOT(ISBLANK(A34)), (_xlfn.XLOOKUP($A34,Index!$B$2:B$995,Index!$A$2:$A$995,"Not Found")),"")</f>
        <v/>
      </c>
      <c r="E34" s="2" t="str">
        <f t="array" ref="E34">IF(NOT(ISBLANK($A34)), (_xlfn.XLOOKUP($A34,Index!$B$2:$B$995,Index!$D$2:$D$995,"Not Found")),"")</f>
        <v/>
      </c>
      <c r="F34" s="1" t="str">
        <f t="array" ref="F34">IF(NOT(ISBLANK($A34)), (_xlfn.XLOOKUP($A34,Index!$B$2:$B$995,Index!$E$2:$E$995,"Not Found")),"")</f>
        <v/>
      </c>
      <c r="G34" s="1" t="str">
        <f t="array" ref="G34">IF(NOT(ISBLANK(A34)), ((_xlfn.XLOOKUP(A34,Index!$B$2:$B$995,Index!$F$2:$F$995,"Not Found"))*B34),"")</f>
        <v/>
      </c>
    </row>
    <row r="35">
      <c r="C35" s="1" t="str">
        <f t="array" ref="C35">IF(NOT(ISBLANK($A35)), (_xlfn.XLOOKUP($A35,Index!$B$2:$B$995,Index!$C$2:$C$995,"Not Found")),"")</f>
        <v/>
      </c>
      <c r="D35" s="1" t="str">
        <f t="array" ref="D35">IF(NOT(ISBLANK(A35)), (_xlfn.XLOOKUP($A35,Index!$B$2:B$995,Index!$A$2:$A$995,"Not Found")),"")</f>
        <v/>
      </c>
      <c r="E35" s="2" t="str">
        <f t="array" ref="E35">IF(NOT(ISBLANK($A35)), (_xlfn.XLOOKUP($A35,Index!$B$2:$B$995,Index!$D$2:$D$995,"Not Found")),"")</f>
        <v/>
      </c>
      <c r="F35" s="1" t="str">
        <f t="array" ref="F35">IF(NOT(ISBLANK($A35)), (_xlfn.XLOOKUP($A35,Index!$B$2:$B$995,Index!$E$2:$E$995,"Not Found")),"")</f>
        <v/>
      </c>
      <c r="G35" s="1" t="str">
        <f t="array" ref="G35">IF(NOT(ISBLANK(A35)), ((_xlfn.XLOOKUP(A35,Index!$B$2:$B$995,Index!$F$2:$F$995,"Not Found"))*B35),"")</f>
        <v/>
      </c>
    </row>
    <row r="36">
      <c r="C36" s="1" t="str">
        <f t="array" ref="C36">IF(NOT(ISBLANK($A36)), (_xlfn.XLOOKUP($A36,Index!$B$2:$B$995,Index!$C$2:$C$995,"Not Found")),"")</f>
        <v/>
      </c>
      <c r="D36" s="1" t="str">
        <f t="array" ref="D36">IF(NOT(ISBLANK(A36)), (_xlfn.XLOOKUP($A36,Index!$B$2:B$995,Index!$A$2:$A$995,"Not Found")),"")</f>
        <v/>
      </c>
      <c r="E36" s="2" t="str">
        <f t="array" ref="E36">IF(NOT(ISBLANK($A36)), (_xlfn.XLOOKUP($A36,Index!$B$2:$B$995,Index!$D$2:$D$995,"Not Found")),"")</f>
        <v/>
      </c>
      <c r="F36" s="1" t="str">
        <f t="array" ref="F36">IF(NOT(ISBLANK($A36)), (_xlfn.XLOOKUP($A36,Index!$B$2:$B$995,Index!$E$2:$E$995,"Not Found")),"")</f>
        <v/>
      </c>
      <c r="G36" s="1" t="str">
        <f t="array" ref="G36">IF(NOT(ISBLANK(A36)), ((_xlfn.XLOOKUP(A36,Index!$B$2:$B$995,Index!$F$2:$F$995,"Not Found"))*B36),"")</f>
        <v/>
      </c>
    </row>
    <row r="37">
      <c r="C37" s="1" t="str">
        <f t="array" ref="C37">IF(NOT(ISBLANK($A37)), (_xlfn.XLOOKUP($A37,Index!$B$2:$B$995,Index!$C$2:$C$995,"Not Found")),"")</f>
        <v/>
      </c>
      <c r="D37" s="1" t="str">
        <f t="array" ref="D37">IF(NOT(ISBLANK(A37)), (_xlfn.XLOOKUP($A37,Index!$B$2:B$995,Index!$A$2:$A$995,"Not Found")),"")</f>
        <v/>
      </c>
      <c r="E37" s="2" t="str">
        <f t="array" ref="E37">IF(NOT(ISBLANK($A37)), (_xlfn.XLOOKUP($A37,Index!$B$2:$B$995,Index!$D$2:$D$995,"Not Found")),"")</f>
        <v/>
      </c>
      <c r="F37" s="1" t="str">
        <f t="array" ref="F37">IF(NOT(ISBLANK($A37)), (_xlfn.XLOOKUP($A37,Index!$B$2:$B$995,Index!$E$2:$E$995,"Not Found")),"")</f>
        <v/>
      </c>
      <c r="G37" s="1" t="str">
        <f t="array" ref="G37">IF(NOT(ISBLANK(A37)), ((_xlfn.XLOOKUP(A37,Index!$B$2:$B$995,Index!$F$2:$F$995,"Not Found"))*B37),"")</f>
        <v/>
      </c>
    </row>
    <row r="38">
      <c r="C38" s="1" t="str">
        <f t="array" ref="C38">IF(NOT(ISBLANK($A38)), (_xlfn.XLOOKUP($A38,Index!$B$2:$B$995,Index!$C$2:$C$995,"Not Found")),"")</f>
        <v/>
      </c>
      <c r="D38" s="1" t="str">
        <f t="array" ref="D38">IF(NOT(ISBLANK(A38)), (_xlfn.XLOOKUP($A38,Index!$B$2:B$995,Index!$A$2:$A$995,"Not Found")),"")</f>
        <v/>
      </c>
      <c r="E38" s="2" t="str">
        <f t="array" ref="E38">IF(NOT(ISBLANK($A38)), (_xlfn.XLOOKUP($A38,Index!$B$2:$B$995,Index!$D$2:$D$995,"Not Found")),"")</f>
        <v/>
      </c>
      <c r="F38" s="1" t="str">
        <f t="array" ref="F38">IF(NOT(ISBLANK($A38)), (_xlfn.XLOOKUP($A38,Index!$B$2:$B$995,Index!$E$2:$E$995,"Not Found")),"")</f>
        <v/>
      </c>
      <c r="G38" s="1" t="str">
        <f t="array" ref="G38">IF(NOT(ISBLANK(A38)), ((_xlfn.XLOOKUP(A38,Index!$B$2:$B$995,Index!$F$2:$F$995,"Not Found"))*B38),"")</f>
        <v/>
      </c>
    </row>
    <row r="39">
      <c r="C39" s="1" t="str">
        <f t="array" ref="C39">IF(NOT(ISBLANK($A39)), (_xlfn.XLOOKUP($A39,Index!$B$2:$B$995,Index!$C$2:$C$995,"Not Found")),"")</f>
        <v/>
      </c>
      <c r="D39" s="1" t="str">
        <f t="array" ref="D39">IF(NOT(ISBLANK(A39)), (_xlfn.XLOOKUP($A39,Index!$B$2:B$995,Index!$A$2:$A$995,"Not Found")),"")</f>
        <v/>
      </c>
      <c r="E39" s="2" t="str">
        <f t="array" ref="E39">IF(NOT(ISBLANK($A39)), (_xlfn.XLOOKUP($A39,Index!$B$2:$B$995,Index!$D$2:$D$995,"Not Found")),"")</f>
        <v/>
      </c>
      <c r="F39" s="1" t="str">
        <f t="array" ref="F39">IF(NOT(ISBLANK($A39)), (_xlfn.XLOOKUP($A39,Index!$B$2:$B$995,Index!$E$2:$E$995,"Not Found")),"")</f>
        <v/>
      </c>
      <c r="G39" s="1" t="str">
        <f t="array" ref="G39">IF(NOT(ISBLANK(A39)), ((_xlfn.XLOOKUP(A39,Index!$B$2:$B$995,Index!$F$2:$F$995,"Not Found"))*B39),"")</f>
        <v/>
      </c>
    </row>
    <row r="40">
      <c r="C40" s="1" t="str">
        <f t="array" ref="C40">IF(NOT(ISBLANK($A40)), (_xlfn.XLOOKUP($A40,Index!$B$2:$B$995,Index!$C$2:$C$995,"Not Found")),"")</f>
        <v/>
      </c>
      <c r="D40" s="1" t="str">
        <f t="array" ref="D40">IF(NOT(ISBLANK(A40)), (_xlfn.XLOOKUP($A40,Index!$B$2:B$995,Index!$A$2:$A$995,"Not Found")),"")</f>
        <v/>
      </c>
      <c r="E40" s="2" t="str">
        <f t="array" ref="E40">IF(NOT(ISBLANK($A40)), (_xlfn.XLOOKUP($A40,Index!$B$2:$B$995,Index!$D$2:$D$995,"Not Found")),"")</f>
        <v/>
      </c>
      <c r="F40" s="1" t="str">
        <f t="array" ref="F40">IF(NOT(ISBLANK($A40)), (_xlfn.XLOOKUP($A40,Index!$B$2:$B$995,Index!$E$2:$E$995,"Not Found")),"")</f>
        <v/>
      </c>
      <c r="G40" s="1" t="str">
        <f t="array" ref="G40">IF(NOT(ISBLANK(A40)), ((_xlfn.XLOOKUP(A40,Index!$B$2:$B$995,Index!$F$2:$F$995,"Not Found"))*B40),"")</f>
        <v/>
      </c>
    </row>
    <row r="41">
      <c r="C41" s="1" t="str">
        <f t="array" ref="C41">IF(NOT(ISBLANK($A41)), (_xlfn.XLOOKUP($A41,Index!$B$2:$B$995,Index!$C$2:$C$995,"Not Found")),"")</f>
        <v/>
      </c>
      <c r="D41" s="1" t="str">
        <f t="array" ref="D41">IF(NOT(ISBLANK(A41)), (_xlfn.XLOOKUP($A41,Index!$B$2:B$995,Index!$A$2:$A$995,"Not Found")),"")</f>
        <v/>
      </c>
      <c r="E41" s="2" t="str">
        <f t="array" ref="E41">IF(NOT(ISBLANK($A41)), (_xlfn.XLOOKUP($A41,Index!$B$2:$B$995,Index!$D$2:$D$995,"Not Found")),"")</f>
        <v/>
      </c>
      <c r="F41" s="1" t="str">
        <f t="array" ref="F41">IF(NOT(ISBLANK($A41)), (_xlfn.XLOOKUP($A41,Index!$B$2:$B$995,Index!$E$2:$E$995,"Not Found")),"")</f>
        <v/>
      </c>
      <c r="G41" s="1" t="str">
        <f t="array" ref="G41">IF(NOT(ISBLANK(A41)), ((_xlfn.XLOOKUP(A41,Index!$B$2:$B$995,Index!$F$2:$F$995,"Not Found"))*B41),"")</f>
        <v/>
      </c>
    </row>
    <row r="42">
      <c r="C42" s="1" t="str">
        <f t="array" ref="C42">IF(NOT(ISBLANK($A42)), (_xlfn.XLOOKUP($A42,Index!$B$2:$B$995,Index!$C$2:$C$995,"Not Found")),"")</f>
        <v/>
      </c>
      <c r="D42" s="1" t="str">
        <f t="array" ref="D42">IF(NOT(ISBLANK(A42)), (_xlfn.XLOOKUP($A42,Index!$B$2:B$995,Index!$A$2:$A$995,"Not Found")),"")</f>
        <v/>
      </c>
      <c r="E42" s="2" t="str">
        <f t="array" ref="E42">IF(NOT(ISBLANK($A42)), (_xlfn.XLOOKUP($A42,Index!$B$2:$B$995,Index!$D$2:$D$995,"Not Found")),"")</f>
        <v/>
      </c>
      <c r="F42" s="1" t="str">
        <f t="array" ref="F42">IF(NOT(ISBLANK($A42)), (_xlfn.XLOOKUP($A42,Index!$B$2:$B$995,Index!$E$2:$E$995,"Not Found")),"")</f>
        <v/>
      </c>
      <c r="G42" s="1" t="str">
        <f t="array" ref="G42">IF(NOT(ISBLANK(A42)), ((_xlfn.XLOOKUP(A42,Index!$B$2:$B$995,Index!$F$2:$F$995,"Not Found"))*B42),"")</f>
        <v/>
      </c>
    </row>
    <row r="43">
      <c r="C43" s="1" t="str">
        <f t="array" ref="C43">IF(NOT(ISBLANK($A43)), (_xlfn.XLOOKUP($A43,Index!$B$2:$B$995,Index!$C$2:$C$995,"Not Found")),"")</f>
        <v/>
      </c>
      <c r="D43" s="1" t="str">
        <f t="array" ref="D43">IF(NOT(ISBLANK(A43)), (_xlfn.XLOOKUP($A43,Index!$B$2:B$995,Index!$A$2:$A$995,"Not Found")),"")</f>
        <v/>
      </c>
      <c r="E43" s="2" t="str">
        <f t="array" ref="E43">IF(NOT(ISBLANK($A43)), (_xlfn.XLOOKUP($A43,Index!$B$2:$B$995,Index!$D$2:$D$995,"Not Found")),"")</f>
        <v/>
      </c>
      <c r="F43" s="1" t="str">
        <f t="array" ref="F43">IF(NOT(ISBLANK($A43)), (_xlfn.XLOOKUP($A43,Index!$B$2:$B$995,Index!$E$2:$E$995,"Not Found")),"")</f>
        <v/>
      </c>
      <c r="G43" s="1" t="str">
        <f t="array" ref="G43">IF(NOT(ISBLANK(A43)), ((_xlfn.XLOOKUP(A43,Index!$B$2:$B$995,Index!$F$2:$F$995,"Not Found"))*B43),"")</f>
        <v/>
      </c>
    </row>
    <row r="44">
      <c r="C44" s="1" t="str">
        <f t="array" ref="C44">IF(NOT(ISBLANK($A44)), (_xlfn.XLOOKUP($A44,Index!$B$2:$B$995,Index!$C$2:$C$995,"Not Found")),"")</f>
        <v/>
      </c>
      <c r="D44" s="1" t="str">
        <f t="array" ref="D44">IF(NOT(ISBLANK(A44)), (_xlfn.XLOOKUP($A44,Index!$B$2:B$995,Index!$A$2:$A$995,"Not Found")),"")</f>
        <v/>
      </c>
      <c r="E44" s="2" t="str">
        <f t="array" ref="E44">IF(NOT(ISBLANK($A44)), (_xlfn.XLOOKUP($A44,Index!$B$2:$B$995,Index!$D$2:$D$995,"Not Found")),"")</f>
        <v/>
      </c>
      <c r="F44" s="1" t="str">
        <f t="array" ref="F44">IF(NOT(ISBLANK($A44)), (_xlfn.XLOOKUP($A44,Index!$B$2:$B$995,Index!$E$2:$E$995,"Not Found")),"")</f>
        <v/>
      </c>
      <c r="G44" s="1" t="str">
        <f t="array" ref="G44">IF(NOT(ISBLANK(A44)), ((_xlfn.XLOOKUP(A44,Index!$B$2:$B$995,Index!$F$2:$F$995,"Not Found"))*B44),"")</f>
        <v/>
      </c>
    </row>
    <row r="45">
      <c r="C45" s="1" t="str">
        <f t="array" ref="C45">IF(NOT(ISBLANK($A45)), (_xlfn.XLOOKUP($A45,Index!$B$2:$B$995,Index!$C$2:$C$995,"Not Found")),"")</f>
        <v/>
      </c>
      <c r="D45" s="1" t="str">
        <f t="array" ref="D45">IF(NOT(ISBLANK(A45)), (_xlfn.XLOOKUP($A45,Index!$B$2:B$995,Index!$A$2:$A$995,"Not Found")),"")</f>
        <v/>
      </c>
      <c r="E45" s="2" t="str">
        <f t="array" ref="E45">IF(NOT(ISBLANK($A45)), (_xlfn.XLOOKUP($A45,Index!$B$2:$B$995,Index!$D$2:$D$995,"Not Found")),"")</f>
        <v/>
      </c>
      <c r="F45" s="1" t="str">
        <f t="array" ref="F45">IF(NOT(ISBLANK($A45)), (_xlfn.XLOOKUP($A45,Index!$B$2:$B$995,Index!$E$2:$E$995,"Not Found")),"")</f>
        <v/>
      </c>
      <c r="G45" s="1" t="str">
        <f t="array" ref="G45">IF(NOT(ISBLANK(A45)), ((_xlfn.XLOOKUP(A45,Index!$B$2:$B$995,Index!$F$2:$F$995,"Not Found"))*B45),"")</f>
        <v/>
      </c>
    </row>
    <row r="46">
      <c r="C46" s="1" t="str">
        <f t="array" ref="C46">IF(NOT(ISBLANK($A46)), (_xlfn.XLOOKUP($A46,Index!$B$2:$B$995,Index!$C$2:$C$995,"Not Found")),"")</f>
        <v/>
      </c>
      <c r="D46" s="1" t="str">
        <f t="array" ref="D46">IF(NOT(ISBLANK(A46)), (_xlfn.XLOOKUP($A46,Index!$B$2:B$995,Index!$A$2:$A$995,"Not Found")),"")</f>
        <v/>
      </c>
      <c r="E46" s="2" t="str">
        <f t="array" ref="E46">IF(NOT(ISBLANK($A46)), (_xlfn.XLOOKUP($A46,Index!$B$2:$B$995,Index!$D$2:$D$995,"Not Found")),"")</f>
        <v/>
      </c>
      <c r="F46" s="1" t="str">
        <f t="array" ref="F46">IF(NOT(ISBLANK($A46)), (_xlfn.XLOOKUP($A46,Index!$B$2:$B$995,Index!$E$2:$E$995,"Not Found")),"")</f>
        <v/>
      </c>
      <c r="G46" s="1" t="str">
        <f t="array" ref="G46">IF(NOT(ISBLANK(A46)), ((_xlfn.XLOOKUP(A46,Index!$B$2:$B$995,Index!$F$2:$F$995,"Not Found"))*B46),"")</f>
        <v/>
      </c>
    </row>
    <row r="47">
      <c r="C47" s="1" t="str">
        <f t="array" ref="C47">IF(NOT(ISBLANK($A47)), (_xlfn.XLOOKUP($A47,Index!$B$2:$B$995,Index!$C$2:$C$995,"Not Found")),"")</f>
        <v/>
      </c>
      <c r="D47" s="1" t="str">
        <f t="array" ref="D47">IF(NOT(ISBLANK(A47)), (_xlfn.XLOOKUP($A47,Index!$B$2:B$995,Index!$A$2:$A$995,"Not Found")),"")</f>
        <v/>
      </c>
      <c r="E47" s="2" t="str">
        <f t="array" ref="E47">IF(NOT(ISBLANK($A47)), (_xlfn.XLOOKUP($A47,Index!$B$2:$B$995,Index!$D$2:$D$995,"Not Found")),"")</f>
        <v/>
      </c>
      <c r="F47" s="1" t="str">
        <f t="array" ref="F47">IF(NOT(ISBLANK($A47)), (_xlfn.XLOOKUP($A47,Index!$B$2:$B$995,Index!$E$2:$E$995,"Not Found")),"")</f>
        <v/>
      </c>
      <c r="G47" s="1" t="str">
        <f t="array" ref="G47">IF(NOT(ISBLANK(A47)), ((_xlfn.XLOOKUP(A47,Index!$B$2:$B$995,Index!$F$2:$F$995,"Not Found"))*B47),"")</f>
        <v/>
      </c>
    </row>
    <row r="48">
      <c r="C48" s="1" t="str">
        <f t="array" ref="C48">IF(NOT(ISBLANK($A48)), (_xlfn.XLOOKUP($A48,Index!$B$2:$B$995,Index!$C$2:$C$995,"Not Found")),"")</f>
        <v/>
      </c>
      <c r="D48" s="1" t="str">
        <f t="array" ref="D48">IF(NOT(ISBLANK(A48)), (_xlfn.XLOOKUP($A48,Index!$B$2:B$995,Index!$A$2:$A$995,"Not Found")),"")</f>
        <v/>
      </c>
      <c r="E48" s="2" t="str">
        <f t="array" ref="E48">IF(NOT(ISBLANK($A48)), (_xlfn.XLOOKUP($A48,Index!$B$2:$B$995,Index!$D$2:$D$995,"Not Found")),"")</f>
        <v/>
      </c>
      <c r="F48" s="1" t="str">
        <f t="array" ref="F48">IF(NOT(ISBLANK($A48)), (_xlfn.XLOOKUP($A48,Index!$B$2:$B$995,Index!$E$2:$E$995,"Not Found")),"")</f>
        <v/>
      </c>
      <c r="G48" s="1" t="str">
        <f t="array" ref="G48">IF(NOT(ISBLANK(A48)), ((_xlfn.XLOOKUP(A48,Index!$B$2:$B$995,Index!$F$2:$F$995,"Not Found"))*B48),"")</f>
        <v/>
      </c>
    </row>
    <row r="49">
      <c r="C49" s="1" t="str">
        <f t="array" ref="C49">IF(NOT(ISBLANK($A49)), (_xlfn.XLOOKUP($A49,Index!$B$2:$B$995,Index!$C$2:$C$995,"Not Found")),"")</f>
        <v/>
      </c>
      <c r="D49" s="1" t="str">
        <f t="array" ref="D49">IF(NOT(ISBLANK(A49)), (_xlfn.XLOOKUP($A49,Index!$B$2:B$995,Index!$A$2:$A$995,"Not Found")),"")</f>
        <v/>
      </c>
      <c r="E49" s="2" t="str">
        <f t="array" ref="E49">IF(NOT(ISBLANK($A49)), (_xlfn.XLOOKUP($A49,Index!$B$2:$B$995,Index!$D$2:$D$995,"Not Found")),"")</f>
        <v/>
      </c>
      <c r="F49" s="1" t="str">
        <f t="array" ref="F49">IF(NOT(ISBLANK($A49)), (_xlfn.XLOOKUP($A49,Index!$B$2:$B$995,Index!$E$2:$E$995,"Not Found")),"")</f>
        <v/>
      </c>
      <c r="G49" s="1" t="str">
        <f t="array" ref="G49">IF(NOT(ISBLANK(A49)), ((_xlfn.XLOOKUP(A49,Index!$B$2:$B$995,Index!$F$2:$F$995,"Not Found"))*B49),"")</f>
        <v/>
      </c>
    </row>
    <row r="50">
      <c r="C50" s="1" t="str">
        <f t="array" ref="C50">IF(NOT(ISBLANK($A50)), (_xlfn.XLOOKUP($A50,Index!$B$2:$B$995,Index!$C$2:$C$995,"Not Found")),"")</f>
        <v/>
      </c>
      <c r="D50" s="1" t="str">
        <f t="array" ref="D50">IF(NOT(ISBLANK(A50)), (_xlfn.XLOOKUP($A50,Index!$B$2:B$995,Index!$A$2:$A$995,"Not Found")),"")</f>
        <v/>
      </c>
      <c r="E50" s="2" t="str">
        <f t="array" ref="E50">IF(NOT(ISBLANK($A50)), (_xlfn.XLOOKUP($A50,Index!$B$2:$B$995,Index!$D$2:$D$995,"Not Found")),"")</f>
        <v/>
      </c>
      <c r="F50" s="1" t="str">
        <f t="array" ref="F50">IF(NOT(ISBLANK($A50)), (_xlfn.XLOOKUP($A50,Index!$B$2:$B$995,Index!$E$2:$E$995,"Not Found")),"")</f>
        <v/>
      </c>
      <c r="G50" s="1" t="str">
        <f t="array" ref="G50">IF(NOT(ISBLANK(A50)), ((_xlfn.XLOOKUP(A50,Index!$B$2:$B$995,Index!$F$2:$F$995,"Not Found"))*B50),"")</f>
        <v/>
      </c>
    </row>
    <row r="51">
      <c r="C51" s="1" t="str">
        <f t="array" ref="C51">IF(NOT(ISBLANK($A51)), (_xlfn.XLOOKUP($A51,Index!$B$2:$B$995,Index!$C$2:$C$995,"Not Found")),"")</f>
        <v/>
      </c>
      <c r="D51" s="1" t="str">
        <f t="array" ref="D51">IF(NOT(ISBLANK(A51)), (_xlfn.XLOOKUP($A51,Index!$B$2:B$995,Index!$A$2:$A$995,"Not Found")),"")</f>
        <v/>
      </c>
      <c r="E51" s="2" t="str">
        <f t="array" ref="E51">IF(NOT(ISBLANK($A51)), (_xlfn.XLOOKUP($A51,Index!$B$2:$B$995,Index!$D$2:$D$995,"Not Found")),"")</f>
        <v/>
      </c>
      <c r="F51" s="1" t="str">
        <f t="array" ref="F51">IF(NOT(ISBLANK($A51)), (_xlfn.XLOOKUP($A51,Index!$B$2:$B$995,Index!$E$2:$E$995,"Not Found")),"")</f>
        <v/>
      </c>
      <c r="G51" s="1" t="str">
        <f t="array" ref="G51">IF(NOT(ISBLANK(A51)), ((_xlfn.XLOOKUP(A51,Index!$B$2:$B$995,Index!$F$2:$F$995,"Not Found"))*B51),"")</f>
        <v/>
      </c>
    </row>
    <row r="52">
      <c r="C52" s="1" t="str">
        <f t="array" ref="C52">IF(NOT(ISBLANK($A52)), (_xlfn.XLOOKUP($A52,Index!$B$2:$B$995,Index!$C$2:$C$995,"Not Found")),"")</f>
        <v/>
      </c>
      <c r="D52" s="1" t="str">
        <f t="array" ref="D52">IF(NOT(ISBLANK(A52)), (_xlfn.XLOOKUP($A52,Index!$B$2:B$995,Index!$A$2:$A$995,"Not Found")),"")</f>
        <v/>
      </c>
      <c r="E52" s="2" t="str">
        <f t="array" ref="E52">IF(NOT(ISBLANK($A52)), (_xlfn.XLOOKUP($A52,Index!$B$2:$B$995,Index!$D$2:$D$995,"Not Found")),"")</f>
        <v/>
      </c>
      <c r="F52" s="1" t="str">
        <f t="array" ref="F52">IF(NOT(ISBLANK($A52)), (_xlfn.XLOOKUP($A52,Index!$B$2:$B$995,Index!$E$2:$E$995,"Not Found")),"")</f>
        <v/>
      </c>
      <c r="G52" s="1" t="str">
        <f t="array" ref="G52">IF(NOT(ISBLANK(A52)), ((_xlfn.XLOOKUP(A52,Index!$B$2:$B$995,Index!$F$2:$F$995,"Not Found"))*B52),"")</f>
        <v/>
      </c>
    </row>
    <row r="53">
      <c r="C53" s="1" t="str">
        <f t="array" ref="C53">IF(NOT(ISBLANK($A53)), (_xlfn.XLOOKUP($A53,Index!$B$2:$B$995,Index!$C$2:$C$995,"Not Found")),"")</f>
        <v/>
      </c>
      <c r="D53" s="1" t="str">
        <f t="array" ref="D53">IF(NOT(ISBLANK(A53)), (_xlfn.XLOOKUP($A53,Index!$B$2:B$995,Index!$A$2:$A$995,"Not Found")),"")</f>
        <v/>
      </c>
      <c r="E53" s="2" t="str">
        <f t="array" ref="E53">IF(NOT(ISBLANK($A53)), (_xlfn.XLOOKUP($A53,Index!$B$2:$B$995,Index!$D$2:$D$995,"Not Found")),"")</f>
        <v/>
      </c>
      <c r="F53" s="1" t="str">
        <f t="array" ref="F53">IF(NOT(ISBLANK($A53)), (_xlfn.XLOOKUP($A53,Index!$B$2:$B$995,Index!$E$2:$E$995,"Not Found")),"")</f>
        <v/>
      </c>
      <c r="G53" s="1" t="str">
        <f t="array" ref="G53">IF(NOT(ISBLANK(A53)), ((_xlfn.XLOOKUP(A53,Index!$B$2:$B$995,Index!$F$2:$F$995,"Not Found"))*B53),"")</f>
        <v/>
      </c>
    </row>
    <row r="54">
      <c r="C54" s="1" t="str">
        <f t="array" ref="C54">IF(NOT(ISBLANK($A54)), (_xlfn.XLOOKUP($A54,Index!$B$2:$B$995,Index!$C$2:$C$995,"Not Found")),"")</f>
        <v/>
      </c>
      <c r="D54" s="1" t="str">
        <f t="array" ref="D54">IF(NOT(ISBLANK(A54)), (_xlfn.XLOOKUP($A54,Index!$B$2:B$995,Index!$A$2:$A$995,"Not Found")),"")</f>
        <v/>
      </c>
      <c r="E54" s="2" t="str">
        <f t="array" ref="E54">IF(NOT(ISBLANK($A54)), (_xlfn.XLOOKUP($A54,Index!$B$2:$B$995,Index!$D$2:$D$995,"Not Found")),"")</f>
        <v/>
      </c>
      <c r="F54" s="1" t="str">
        <f t="array" ref="F54">IF(NOT(ISBLANK($A54)), (_xlfn.XLOOKUP($A54,Index!$B$2:$B$995,Index!$E$2:$E$995,"Not Found")),"")</f>
        <v/>
      </c>
      <c r="G54" s="1" t="str">
        <f t="array" ref="G54">IF(NOT(ISBLANK(A54)), ((_xlfn.XLOOKUP(A54,Index!$B$2:$B$995,Index!$F$2:$F$995,"Not Found"))*B54),"")</f>
        <v/>
      </c>
    </row>
    <row r="55">
      <c r="C55" s="1" t="str">
        <f t="array" ref="C55">IF(NOT(ISBLANK($A55)), (_xlfn.XLOOKUP($A55,Index!$B$2:$B$995,Index!$C$2:$C$995,"Not Found")),"")</f>
        <v/>
      </c>
      <c r="D55" s="1" t="str">
        <f t="array" ref="D55">IF(NOT(ISBLANK(A55)), (_xlfn.XLOOKUP($A55,Index!$B$2:B$995,Index!$A$2:$A$995,"Not Found")),"")</f>
        <v/>
      </c>
      <c r="E55" s="2" t="str">
        <f t="array" ref="E55">IF(NOT(ISBLANK($A55)), (_xlfn.XLOOKUP($A55,Index!$B$2:$B$995,Index!$D$2:$D$995,"Not Found")),"")</f>
        <v/>
      </c>
      <c r="F55" s="1" t="str">
        <f t="array" ref="F55">IF(NOT(ISBLANK($A55)), (_xlfn.XLOOKUP($A55,Index!$B$2:$B$995,Index!$E$2:$E$995,"Not Found")),"")</f>
        <v/>
      </c>
      <c r="G55" s="1" t="str">
        <f t="array" ref="G55">IF(NOT(ISBLANK(A55)), ((_xlfn.XLOOKUP(A55,Index!$B$2:$B$995,Index!$F$2:$F$995,"Not Found"))*B55),"")</f>
        <v/>
      </c>
    </row>
    <row r="56">
      <c r="C56" s="1" t="str">
        <f t="array" ref="C56">IF(NOT(ISBLANK($A56)), (_xlfn.XLOOKUP($A56,Index!$B$2:$B$995,Index!$C$2:$C$995,"Not Found")),"")</f>
        <v/>
      </c>
      <c r="D56" s="1" t="str">
        <f t="array" ref="D56">IF(NOT(ISBLANK(A56)), (_xlfn.XLOOKUP($A56,Index!$B$2:B$995,Index!$A$2:$A$995,"Not Found")),"")</f>
        <v/>
      </c>
      <c r="E56" s="2" t="str">
        <f t="array" ref="E56">IF(NOT(ISBLANK($A56)), (_xlfn.XLOOKUP($A56,Index!$B$2:$B$995,Index!$D$2:$D$995,"Not Found")),"")</f>
        <v/>
      </c>
      <c r="F56" s="1" t="str">
        <f t="array" ref="F56">IF(NOT(ISBLANK($A56)), (_xlfn.XLOOKUP($A56,Index!$B$2:$B$995,Index!$E$2:$E$995,"Not Found")),"")</f>
        <v/>
      </c>
      <c r="G56" s="1" t="str">
        <f t="array" ref="G56">IF(NOT(ISBLANK(A56)), ((_xlfn.XLOOKUP(A56,Index!$B$2:$B$995,Index!$F$2:$F$995,"Not Found"))*B56),"")</f>
        <v/>
      </c>
    </row>
    <row r="57">
      <c r="C57" s="1" t="str">
        <f t="array" ref="C57">IF(NOT(ISBLANK($A57)), (_xlfn.XLOOKUP($A57,Index!$B$2:$B$995,Index!$C$2:$C$995,"Not Found")),"")</f>
        <v/>
      </c>
      <c r="D57" s="1" t="str">
        <f t="array" ref="D57">IF(NOT(ISBLANK(A57)), (_xlfn.XLOOKUP($A57,Index!$B$2:B$995,Index!$A$2:$A$995,"Not Found")),"")</f>
        <v/>
      </c>
      <c r="E57" s="2" t="str">
        <f t="array" ref="E57">IF(NOT(ISBLANK($A57)), (_xlfn.XLOOKUP($A57,Index!$B$2:$B$995,Index!$D$2:$D$995,"Not Found")),"")</f>
        <v/>
      </c>
      <c r="F57" s="1" t="str">
        <f t="array" ref="F57">IF(NOT(ISBLANK($A57)), (_xlfn.XLOOKUP($A57,Index!$B$2:$B$995,Index!$E$2:$E$995,"Not Found")),"")</f>
        <v/>
      </c>
      <c r="G57" s="1" t="str">
        <f t="array" ref="G57">IF(NOT(ISBLANK(A57)), ((_xlfn.XLOOKUP(A57,Index!$B$2:$B$995,Index!$F$2:$F$995,"Not Found"))*B57),"")</f>
        <v/>
      </c>
    </row>
    <row r="58">
      <c r="C58" s="1" t="str">
        <f t="array" ref="C58">IF(NOT(ISBLANK($A58)), (_xlfn.XLOOKUP($A58,Index!$B$2:$B$995,Index!$C$2:$C$995,"Not Found")),"")</f>
        <v/>
      </c>
      <c r="D58" s="1" t="str">
        <f t="array" ref="D58">IF(NOT(ISBLANK(A58)), (_xlfn.XLOOKUP($A58,Index!$B$2:B$995,Index!$A$2:$A$995,"Not Found")),"")</f>
        <v/>
      </c>
      <c r="E58" s="2" t="str">
        <f t="array" ref="E58">IF(NOT(ISBLANK($A58)), (_xlfn.XLOOKUP($A58,Index!$B$2:$B$995,Index!$D$2:$D$995,"Not Found")),"")</f>
        <v/>
      </c>
      <c r="F58" s="1" t="str">
        <f t="array" ref="F58">IF(NOT(ISBLANK($A58)), (_xlfn.XLOOKUP($A58,Index!$B$2:$B$995,Index!$E$2:$E$995,"Not Found")),"")</f>
        <v/>
      </c>
      <c r="G58" s="1" t="str">
        <f t="array" ref="G58">IF(NOT(ISBLANK(A58)), ((_xlfn.XLOOKUP(A58,Index!$B$2:$B$995,Index!$F$2:$F$995,"Not Found"))*B58),"")</f>
        <v/>
      </c>
    </row>
    <row r="59">
      <c r="C59" s="1" t="str">
        <f t="array" ref="C59">IF(NOT(ISBLANK($A59)), (_xlfn.XLOOKUP($A59,Index!$B$2:$B$995,Index!$C$2:$C$995,"Not Found")),"")</f>
        <v/>
      </c>
      <c r="D59" s="1" t="str">
        <f t="array" ref="D59">IF(NOT(ISBLANK(A59)), (_xlfn.XLOOKUP($A59,Index!$B$2:B$995,Index!$A$2:$A$995,"Not Found")),"")</f>
        <v/>
      </c>
      <c r="E59" s="2" t="str">
        <f t="array" ref="E59">IF(NOT(ISBLANK($A59)), (_xlfn.XLOOKUP($A59,Index!$B$2:$B$995,Index!$D$2:$D$995,"Not Found")),"")</f>
        <v/>
      </c>
      <c r="F59" s="1" t="str">
        <f t="array" ref="F59">IF(NOT(ISBLANK($A59)), (_xlfn.XLOOKUP($A59,Index!$B$2:$B$995,Index!$E$2:$E$995,"Not Found")),"")</f>
        <v/>
      </c>
      <c r="G59" s="1" t="str">
        <f t="array" ref="G59">IF(NOT(ISBLANK(A59)), ((_xlfn.XLOOKUP(A59,Index!$B$2:$B$995,Index!$F$2:$F$995,"Not Found"))*B59),"")</f>
        <v/>
      </c>
    </row>
    <row r="60">
      <c r="C60" s="1" t="str">
        <f t="array" ref="C60">IF(NOT(ISBLANK($A60)), (_xlfn.XLOOKUP($A60,Index!$B$2:$B$995,Index!$C$2:$C$995,"Not Found")),"")</f>
        <v/>
      </c>
      <c r="D60" s="1" t="str">
        <f t="array" ref="D60">IF(NOT(ISBLANK(A60)), (_xlfn.XLOOKUP($A60,Index!$B$2:B$995,Index!$A$2:$A$995,"Not Found")),"")</f>
        <v/>
      </c>
      <c r="E60" s="2" t="str">
        <f t="array" ref="E60">IF(NOT(ISBLANK($A60)), (_xlfn.XLOOKUP($A60,Index!$B$2:$B$995,Index!$D$2:$D$995,"Not Found")),"")</f>
        <v/>
      </c>
      <c r="F60" s="1" t="str">
        <f t="array" ref="F60">IF(NOT(ISBLANK($A60)), (_xlfn.XLOOKUP($A60,Index!$B$2:$B$995,Index!$E$2:$E$995,"Not Found")),"")</f>
        <v/>
      </c>
      <c r="G60" s="1" t="str">
        <f t="array" ref="G60">IF(NOT(ISBLANK(A60)), ((_xlfn.XLOOKUP(A60,Index!$B$2:$B$995,Index!$F$2:$F$995,"Not Found"))*B60),"")</f>
        <v/>
      </c>
    </row>
    <row r="61">
      <c r="C61" s="1" t="str">
        <f t="array" ref="C61">IF(NOT(ISBLANK($A61)), (_xlfn.XLOOKUP($A61,Index!$B$2:$B$995,Index!$C$2:$C$995,"Not Found")),"")</f>
        <v/>
      </c>
      <c r="D61" s="1" t="str">
        <f t="array" ref="D61">IF(NOT(ISBLANK(A61)), (_xlfn.XLOOKUP($A61,Index!$B$2:B$995,Index!$A$2:$A$995,"Not Found")),"")</f>
        <v/>
      </c>
      <c r="E61" s="2" t="str">
        <f t="array" ref="E61">IF(NOT(ISBLANK($A61)), (_xlfn.XLOOKUP($A61,Index!$B$2:$B$995,Index!$D$2:$D$995,"Not Found")),"")</f>
        <v/>
      </c>
      <c r="F61" s="1" t="str">
        <f t="array" ref="F61">IF(NOT(ISBLANK($A61)), (_xlfn.XLOOKUP($A61,Index!$B$2:$B$995,Index!$E$2:$E$995,"Not Found")),"")</f>
        <v/>
      </c>
      <c r="G61" s="1" t="str">
        <f t="array" ref="G61">IF(NOT(ISBLANK(A61)), ((_xlfn.XLOOKUP(A61,Index!$B$2:$B$995,Index!$F$2:$F$995,"Not Found"))*B61),"")</f>
        <v/>
      </c>
    </row>
    <row r="62">
      <c r="C62" s="1" t="str">
        <f t="array" ref="C62">IF(NOT(ISBLANK($A62)), (_xlfn.XLOOKUP($A62,Index!$B$2:$B$995,Index!$C$2:$C$995,"Not Found")),"")</f>
        <v/>
      </c>
      <c r="D62" s="1" t="str">
        <f t="array" ref="D62">IF(NOT(ISBLANK(A62)), (_xlfn.XLOOKUP($A62,Index!$B$2:B$995,Index!$A$2:$A$995,"Not Found")),"")</f>
        <v/>
      </c>
      <c r="E62" s="2" t="str">
        <f t="array" ref="E62">IF(NOT(ISBLANK($A62)), (_xlfn.XLOOKUP($A62,Index!$B$2:$B$995,Index!$D$2:$D$995,"Not Found")),"")</f>
        <v/>
      </c>
      <c r="F62" s="1" t="str">
        <f t="array" ref="F62">IF(NOT(ISBLANK($A62)), (_xlfn.XLOOKUP($A62,Index!$B$2:$B$995,Index!$E$2:$E$995,"Not Found")),"")</f>
        <v/>
      </c>
      <c r="G62" s="1" t="str">
        <f t="array" ref="G62">IF(NOT(ISBLANK(A62)), ((_xlfn.XLOOKUP(A62,Index!$B$2:$B$995,Index!$F$2:$F$995,"Not Found"))*B62),"")</f>
        <v/>
      </c>
    </row>
    <row r="63">
      <c r="C63" s="1" t="str">
        <f t="array" ref="C63">IF(NOT(ISBLANK($A63)), (_xlfn.XLOOKUP($A63,Index!$B$2:$B$995,Index!$C$2:$C$995,"Not Found")),"")</f>
        <v/>
      </c>
      <c r="D63" s="1" t="str">
        <f t="array" ref="D63">IF(NOT(ISBLANK(A63)), (_xlfn.XLOOKUP($A63,Index!$B$2:B$995,Index!$A$2:$A$995,"Not Found")),"")</f>
        <v/>
      </c>
      <c r="E63" s="2" t="str">
        <f t="array" ref="E63">IF(NOT(ISBLANK($A63)), (_xlfn.XLOOKUP($A63,Index!$B$2:$B$995,Index!$D$2:$D$995,"Not Found")),"")</f>
        <v/>
      </c>
      <c r="F63" s="1" t="str">
        <f t="array" ref="F63">IF(NOT(ISBLANK($A63)), (_xlfn.XLOOKUP($A63,Index!$B$2:$B$995,Index!$E$2:$E$995,"Not Found")),"")</f>
        <v/>
      </c>
      <c r="G63" s="1" t="str">
        <f t="array" ref="G63">IF(NOT(ISBLANK(A63)), ((_xlfn.XLOOKUP(A63,Index!$B$2:$B$995,Index!$F$2:$F$995,"Not Found"))*B63),"")</f>
        <v/>
      </c>
    </row>
    <row r="64">
      <c r="C64" s="1" t="str">
        <f t="array" ref="C64">IF(NOT(ISBLANK($A64)), (_xlfn.XLOOKUP($A64,Index!$B$2:$B$995,Index!$C$2:$C$995,"Not Found")),"")</f>
        <v/>
      </c>
      <c r="D64" s="1" t="str">
        <f t="array" ref="D64">IF(NOT(ISBLANK(A64)), (_xlfn.XLOOKUP($A64,Index!$B$2:B$995,Index!$A$2:$A$995,"Not Found")),"")</f>
        <v/>
      </c>
      <c r="E64" s="2" t="str">
        <f t="array" ref="E64">IF(NOT(ISBLANK($A64)), (_xlfn.XLOOKUP($A64,Index!$B$2:$B$995,Index!$D$2:$D$995,"Not Found")),"")</f>
        <v/>
      </c>
      <c r="F64" s="1" t="str">
        <f t="array" ref="F64">IF(NOT(ISBLANK($A64)), (_xlfn.XLOOKUP($A64,Index!$B$2:$B$995,Index!$E$2:$E$995,"Not Found")),"")</f>
        <v/>
      </c>
      <c r="G64" s="1" t="str">
        <f t="array" ref="G64">IF(NOT(ISBLANK(A64)), ((_xlfn.XLOOKUP(A64,Index!$B$2:$B$995,Index!$F$2:$F$995,"Not Found"))*B64),"")</f>
        <v/>
      </c>
    </row>
    <row r="65">
      <c r="C65" s="1" t="str">
        <f t="array" ref="C65">IF(NOT(ISBLANK($A65)), (_xlfn.XLOOKUP($A65,Index!$B$2:$B$995,Index!$C$2:$C$995,"Not Found")),"")</f>
        <v/>
      </c>
      <c r="D65" s="1" t="str">
        <f t="array" ref="D65">IF(NOT(ISBLANK(A65)), (_xlfn.XLOOKUP($A65,Index!$B$2:B$995,Index!$A$2:$A$995,"Not Found")),"")</f>
        <v/>
      </c>
      <c r="E65" s="2" t="str">
        <f t="array" ref="E65">IF(NOT(ISBLANK($A65)), (_xlfn.XLOOKUP($A65,Index!$B$2:$B$995,Index!$D$2:$D$995,"Not Found")),"")</f>
        <v/>
      </c>
      <c r="F65" s="1" t="str">
        <f t="array" ref="F65">IF(NOT(ISBLANK($A65)), (_xlfn.XLOOKUP($A65,Index!$B$2:$B$995,Index!$E$2:$E$995,"Not Found")),"")</f>
        <v/>
      </c>
      <c r="G65" s="1" t="str">
        <f t="array" ref="G65">IF(NOT(ISBLANK(A65)), ((_xlfn.XLOOKUP(A65,Index!$B$2:$B$995,Index!$F$2:$F$995,"Not Found"))*B65),"")</f>
        <v/>
      </c>
    </row>
    <row r="66">
      <c r="C66" s="1" t="str">
        <f t="array" ref="C66">IF(NOT(ISBLANK($A66)), (_xlfn.XLOOKUP($A66,Index!$B$2:$B$995,Index!$C$2:$C$995,"Not Found")),"")</f>
        <v/>
      </c>
      <c r="D66" s="1" t="str">
        <f t="array" ref="D66">IF(NOT(ISBLANK(A66)), (_xlfn.XLOOKUP($A66,Index!$B$2:B$995,Index!$A$2:$A$995,"Not Found")),"")</f>
        <v/>
      </c>
      <c r="E66" s="2" t="str">
        <f t="array" ref="E66">IF(NOT(ISBLANK($A66)), (_xlfn.XLOOKUP($A66,Index!$B$2:$B$995,Index!$D$2:$D$995,"Not Found")),"")</f>
        <v/>
      </c>
      <c r="F66" s="1" t="str">
        <f t="array" ref="F66">IF(NOT(ISBLANK($A66)), (_xlfn.XLOOKUP($A66,Index!$B$2:$B$995,Index!$E$2:$E$995,"Not Found")),"")</f>
        <v/>
      </c>
      <c r="G66" s="1" t="str">
        <f t="array" ref="G66">IF(NOT(ISBLANK(A66)), ((_xlfn.XLOOKUP(A66,Index!$B$2:$B$995,Index!$F$2:$F$995,"Not Found"))*B66),"")</f>
        <v/>
      </c>
    </row>
    <row r="67">
      <c r="C67" s="1" t="str">
        <f t="array" ref="C67">IF(NOT(ISBLANK($A67)), (_xlfn.XLOOKUP($A67,Index!$B$2:$B$995,Index!$C$2:$C$995,"Not Found")),"")</f>
        <v/>
      </c>
      <c r="D67" s="1" t="str">
        <f t="array" ref="D67">IF(NOT(ISBLANK(A67)), (_xlfn.XLOOKUP($A67,Index!$B$2:B$995,Index!$A$2:$A$995,"Not Found")),"")</f>
        <v/>
      </c>
      <c r="E67" s="2" t="str">
        <f t="array" ref="E67">IF(NOT(ISBLANK($A67)), (_xlfn.XLOOKUP($A67,Index!$B$2:$B$995,Index!$D$2:$D$995,"Not Found")),"")</f>
        <v/>
      </c>
      <c r="F67" s="1" t="str">
        <f t="array" ref="F67">IF(NOT(ISBLANK($A67)), (_xlfn.XLOOKUP($A67,Index!$B$2:$B$995,Index!$E$2:$E$995,"Not Found")),"")</f>
        <v/>
      </c>
      <c r="G67" s="1" t="str">
        <f t="array" ref="G67">IF(NOT(ISBLANK(A67)), ((_xlfn.XLOOKUP(A67,Index!$B$2:$B$995,Index!$F$2:$F$995,"Not Found"))*B67),"")</f>
        <v/>
      </c>
    </row>
    <row r="68">
      <c r="C68" s="1" t="str">
        <f t="array" ref="C68">IF(NOT(ISBLANK($A68)), (_xlfn.XLOOKUP($A68,Index!$B$2:$B$995,Index!$C$2:$C$995,"Not Found")),"")</f>
        <v/>
      </c>
      <c r="D68" s="1" t="str">
        <f t="array" ref="D68">IF(NOT(ISBLANK(A68)), (_xlfn.XLOOKUP($A68,Index!$B$2:B$995,Index!$A$2:$A$995,"Not Found")),"")</f>
        <v/>
      </c>
      <c r="E68" s="2" t="str">
        <f t="array" ref="E68">IF(NOT(ISBLANK($A68)), (_xlfn.XLOOKUP($A68,Index!$B$2:$B$995,Index!$D$2:$D$995,"Not Found")),"")</f>
        <v/>
      </c>
      <c r="F68" s="1" t="str">
        <f t="array" ref="F68">IF(NOT(ISBLANK($A68)), (_xlfn.XLOOKUP($A68,Index!$B$2:$B$995,Index!$E$2:$E$995,"Not Found")),"")</f>
        <v/>
      </c>
      <c r="G68" s="1" t="str">
        <f t="array" ref="G68">IF(NOT(ISBLANK(A68)), ((_xlfn.XLOOKUP(A68,Index!$B$2:$B$995,Index!$F$2:$F$995,"Not Found"))*B68),"")</f>
        <v/>
      </c>
    </row>
    <row r="69">
      <c r="C69" s="1" t="str">
        <f t="array" ref="C69">IF(NOT(ISBLANK($A69)), (_xlfn.XLOOKUP($A69,Index!$B$2:$B$995,Index!$C$2:$C$995,"Not Found")),"")</f>
        <v/>
      </c>
      <c r="D69" s="1" t="str">
        <f t="array" ref="D69">IF(NOT(ISBLANK(A69)), (_xlfn.XLOOKUP($A69,Index!$B$2:B$995,Index!$A$2:$A$995,"Not Found")),"")</f>
        <v/>
      </c>
      <c r="E69" s="2" t="str">
        <f t="array" ref="E69">IF(NOT(ISBLANK($A69)), (_xlfn.XLOOKUP($A69,Index!$B$2:$B$995,Index!$D$2:$D$995,"Not Found")),"")</f>
        <v/>
      </c>
      <c r="F69" s="1" t="str">
        <f t="array" ref="F69">IF(NOT(ISBLANK($A69)), (_xlfn.XLOOKUP($A69,Index!$B$2:$B$995,Index!$E$2:$E$995,"Not Found")),"")</f>
        <v/>
      </c>
      <c r="G69" s="1" t="str">
        <f t="array" ref="G69">IF(NOT(ISBLANK(A69)), ((_xlfn.XLOOKUP(A69,Index!$B$2:$B$995,Index!$F$2:$F$995,"Not Found"))*B69),"")</f>
        <v/>
      </c>
    </row>
    <row r="70">
      <c r="C70" s="1" t="str">
        <f t="array" ref="C70">IF(NOT(ISBLANK($A70)), (_xlfn.XLOOKUP($A70,Index!$B$2:$B$995,Index!$C$2:$C$995,"Not Found")),"")</f>
        <v/>
      </c>
      <c r="D70" s="1" t="str">
        <f t="array" ref="D70">IF(NOT(ISBLANK(A70)), (_xlfn.XLOOKUP($A70,Index!$B$2:B$995,Index!$A$2:$A$995,"Not Found")),"")</f>
        <v/>
      </c>
      <c r="E70" s="2" t="str">
        <f t="array" ref="E70">IF(NOT(ISBLANK($A70)), (_xlfn.XLOOKUP($A70,Index!$B$2:$B$995,Index!$D$2:$D$995,"Not Found")),"")</f>
        <v/>
      </c>
      <c r="F70" s="1" t="str">
        <f t="array" ref="F70">IF(NOT(ISBLANK($A70)), (_xlfn.XLOOKUP($A70,Index!$B$2:$B$995,Index!$E$2:$E$995,"Not Found")),"")</f>
        <v/>
      </c>
      <c r="G70" s="1" t="str">
        <f t="array" ref="G70">IF(NOT(ISBLANK(A70)), ((_xlfn.XLOOKUP(A70,Index!$B$2:$B$995,Index!$F$2:$F$995,"Not Found"))*B70),"")</f>
        <v/>
      </c>
    </row>
    <row r="71">
      <c r="C71" s="1" t="str">
        <f t="array" ref="C71">IF(NOT(ISBLANK($A71)), (_xlfn.XLOOKUP($A71,Index!$B$2:$B$995,Index!$C$2:$C$995,"Not Found")),"")</f>
        <v/>
      </c>
      <c r="D71" s="1" t="str">
        <f t="array" ref="D71">IF(NOT(ISBLANK(A71)), (_xlfn.XLOOKUP($A71,Index!$B$2:B$995,Index!$A$2:$A$995,"Not Found")),"")</f>
        <v/>
      </c>
      <c r="E71" s="2" t="str">
        <f t="array" ref="E71">IF(NOT(ISBLANK($A71)), (_xlfn.XLOOKUP($A71,Index!$B$2:$B$995,Index!$D$2:$D$995,"Not Found")),"")</f>
        <v/>
      </c>
      <c r="F71" s="1" t="str">
        <f t="array" ref="F71">IF(NOT(ISBLANK($A71)), (_xlfn.XLOOKUP($A71,Index!$B$2:$B$995,Index!$E$2:$E$995,"Not Found")),"")</f>
        <v/>
      </c>
      <c r="G71" s="1" t="str">
        <f t="array" ref="G71">IF(NOT(ISBLANK(A71)), ((_xlfn.XLOOKUP(A71,Index!$B$2:$B$995,Index!$F$2:$F$995,"Not Found"))*B71),"")</f>
        <v/>
      </c>
    </row>
    <row r="72">
      <c r="C72" s="1" t="str">
        <f t="array" ref="C72">IF(NOT(ISBLANK($A72)), (_xlfn.XLOOKUP($A72,Index!$B$2:$B$995,Index!$C$2:$C$995,"Not Found")),"")</f>
        <v/>
      </c>
      <c r="D72" s="1" t="str">
        <f t="array" ref="D72">IF(NOT(ISBLANK(A72)), (_xlfn.XLOOKUP($A72,Index!$B$2:B$995,Index!$A$2:$A$995,"Not Found")),"")</f>
        <v/>
      </c>
      <c r="E72" s="2" t="str">
        <f t="array" ref="E72">IF(NOT(ISBLANK($A72)), (_xlfn.XLOOKUP($A72,Index!$B$2:$B$995,Index!$D$2:$D$995,"Not Found")),"")</f>
        <v/>
      </c>
      <c r="F72" s="1" t="str">
        <f t="array" ref="F72">IF(NOT(ISBLANK($A72)), (_xlfn.XLOOKUP($A72,Index!$B$2:$B$995,Index!$E$2:$E$995,"Not Found")),"")</f>
        <v/>
      </c>
      <c r="G72" s="1" t="str">
        <f t="array" ref="G72">IF(NOT(ISBLANK(A72)), ((_xlfn.XLOOKUP(A72,Index!$B$2:$B$995,Index!$F$2:$F$995,"Not Found"))*B72),"")</f>
        <v/>
      </c>
    </row>
    <row r="73">
      <c r="C73" s="1" t="str">
        <f t="array" ref="C73">IF(NOT(ISBLANK($A73)), (_xlfn.XLOOKUP($A73,Index!$B$2:$B$995,Index!$C$2:$C$995,"Not Found")),"")</f>
        <v/>
      </c>
      <c r="D73" s="1" t="str">
        <f t="array" ref="D73">IF(NOT(ISBLANK(A73)), (_xlfn.XLOOKUP($A73,Index!$B$2:B$995,Index!$A$2:$A$995,"Not Found")),"")</f>
        <v/>
      </c>
      <c r="E73" s="2" t="str">
        <f t="array" ref="E73">IF(NOT(ISBLANK($A73)), (_xlfn.XLOOKUP($A73,Index!$B$2:$B$995,Index!$D$2:$D$995,"Not Found")),"")</f>
        <v/>
      </c>
      <c r="F73" s="1" t="str">
        <f t="array" ref="F73">IF(NOT(ISBLANK($A73)), (_xlfn.XLOOKUP($A73,Index!$B$2:$B$995,Index!$E$2:$E$995,"Not Found")),"")</f>
        <v/>
      </c>
      <c r="G73" s="1" t="str">
        <f t="array" ref="G73">IF(NOT(ISBLANK(A73)), ((_xlfn.XLOOKUP(A73,Index!$B$2:$B$995,Index!$F$2:$F$995,"Not Found"))*B73),"")</f>
        <v/>
      </c>
    </row>
    <row r="74">
      <c r="C74" s="1" t="str">
        <f t="array" ref="C74">IF(NOT(ISBLANK($A74)), (_xlfn.XLOOKUP($A74,Index!$B$2:$B$995,Index!$C$2:$C$995,"Not Found")),"")</f>
        <v/>
      </c>
      <c r="D74" s="1" t="str">
        <f t="array" ref="D74">IF(NOT(ISBLANK(A74)), (_xlfn.XLOOKUP($A74,Index!$B$2:B$995,Index!$A$2:$A$995,"Not Found")),"")</f>
        <v/>
      </c>
      <c r="E74" s="2" t="str">
        <f t="array" ref="E74">IF(NOT(ISBLANK($A74)), (_xlfn.XLOOKUP($A74,Index!$B$2:$B$995,Index!$D$2:$D$995,"Not Found")),"")</f>
        <v/>
      </c>
      <c r="F74" s="1" t="str">
        <f t="array" ref="F74">IF(NOT(ISBLANK($A74)), (_xlfn.XLOOKUP($A74,Index!$B$2:$B$995,Index!$E$2:$E$995,"Not Found")),"")</f>
        <v/>
      </c>
      <c r="G74" s="1" t="str">
        <f t="array" ref="G74">IF(NOT(ISBLANK(A74)), ((_xlfn.XLOOKUP(A74,Index!$B$2:$B$995,Index!$F$2:$F$995,"Not Found"))*B74),"")</f>
        <v/>
      </c>
    </row>
    <row r="75">
      <c r="C75" s="1" t="str">
        <f t="array" ref="C75">IF(NOT(ISBLANK($A75)), (_xlfn.XLOOKUP($A75,Index!$B$2:$B$995,Index!$C$2:$C$995,"Not Found")),"")</f>
        <v/>
      </c>
      <c r="D75" s="1" t="str">
        <f t="array" ref="D75">IF(NOT(ISBLANK(A75)), (_xlfn.XLOOKUP($A75,Index!$B$2:B$995,Index!$A$2:$A$995,"Not Found")),"")</f>
        <v/>
      </c>
      <c r="E75" s="2" t="str">
        <f t="array" ref="E75">IF(NOT(ISBLANK($A75)), (_xlfn.XLOOKUP($A75,Index!$B$2:$B$995,Index!$D$2:$D$995,"Not Found")),"")</f>
        <v/>
      </c>
      <c r="F75" s="1" t="str">
        <f t="array" ref="F75">IF(NOT(ISBLANK($A75)), (_xlfn.XLOOKUP($A75,Index!$B$2:$B$995,Index!$E$2:$E$995,"Not Found")),"")</f>
        <v/>
      </c>
      <c r="G75" s="1" t="str">
        <f t="array" ref="G75">IF(NOT(ISBLANK(A75)), ((_xlfn.XLOOKUP(A75,Index!$B$2:$B$995,Index!$F$2:$F$995,"Not Found"))*B75),"")</f>
        <v/>
      </c>
    </row>
    <row r="76">
      <c r="C76" s="1" t="str">
        <f t="array" ref="C76">IF(NOT(ISBLANK($A76)), (_xlfn.XLOOKUP($A76,Index!$B$2:$B$995,Index!$C$2:$C$995,"Not Found")),"")</f>
        <v/>
      </c>
      <c r="D76" s="1" t="str">
        <f t="array" ref="D76">IF(NOT(ISBLANK(A76)), (_xlfn.XLOOKUP($A76,Index!$B$2:B$995,Index!$A$2:$A$995,"Not Found")),"")</f>
        <v/>
      </c>
      <c r="E76" s="2" t="str">
        <f t="array" ref="E76">IF(NOT(ISBLANK($A76)), (_xlfn.XLOOKUP($A76,Index!$B$2:$B$995,Index!$D$2:$D$995,"Not Found")),"")</f>
        <v/>
      </c>
      <c r="F76" s="1" t="str">
        <f t="array" ref="F76">IF(NOT(ISBLANK($A76)), (_xlfn.XLOOKUP($A76,Index!$B$2:$B$995,Index!$E$2:$E$995,"Not Found")),"")</f>
        <v/>
      </c>
      <c r="G76" s="1" t="str">
        <f t="array" ref="G76">IF(NOT(ISBLANK(A76)), ((_xlfn.XLOOKUP(A76,Index!$B$2:$B$995,Index!$F$2:$F$995,"Not Found"))*B76),"")</f>
        <v/>
      </c>
    </row>
    <row r="77">
      <c r="C77" s="1" t="str">
        <f t="array" ref="C77">IF(NOT(ISBLANK($A77)), (_xlfn.XLOOKUP($A77,Index!$B$2:$B$995,Index!$C$2:$C$995,"Not Found")),"")</f>
        <v/>
      </c>
      <c r="D77" s="1" t="str">
        <f t="array" ref="D77">IF(NOT(ISBLANK(A77)), (_xlfn.XLOOKUP($A77,Index!$B$2:B$995,Index!$A$2:$A$995,"Not Found")),"")</f>
        <v/>
      </c>
      <c r="E77" s="2" t="str">
        <f t="array" ref="E77">IF(NOT(ISBLANK($A77)), (_xlfn.XLOOKUP($A77,Index!$B$2:$B$995,Index!$D$2:$D$995,"Not Found")),"")</f>
        <v/>
      </c>
      <c r="F77" s="1" t="str">
        <f t="array" ref="F77">IF(NOT(ISBLANK($A77)), (_xlfn.XLOOKUP($A77,Index!$B$2:$B$995,Index!$E$2:$E$995,"Not Found")),"")</f>
        <v/>
      </c>
      <c r="G77" s="1" t="str">
        <f t="array" ref="G77">IF(NOT(ISBLANK(A77)), ((_xlfn.XLOOKUP(A77,Index!$B$2:$B$995,Index!$F$2:$F$995,"Not Found"))*B77),"")</f>
        <v/>
      </c>
    </row>
    <row r="78">
      <c r="E78" s="7"/>
    </row>
    <row r="79">
      <c r="E79" s="7"/>
    </row>
    <row r="80">
      <c r="E80" s="7"/>
    </row>
    <row r="81">
      <c r="E81" s="7"/>
    </row>
    <row r="82">
      <c r="E82" s="7"/>
    </row>
    <row r="83">
      <c r="E83" s="7"/>
    </row>
    <row r="84">
      <c r="E84" s="7"/>
    </row>
    <row r="85">
      <c r="E85" s="7"/>
    </row>
    <row r="86">
      <c r="E86" s="7"/>
    </row>
    <row r="87">
      <c r="E87" s="7"/>
    </row>
    <row r="88">
      <c r="E88" s="7"/>
    </row>
    <row r="89">
      <c r="E89" s="7"/>
    </row>
    <row r="90">
      <c r="E90" s="7"/>
    </row>
    <row r="91">
      <c r="E91" s="7"/>
    </row>
    <row r="92">
      <c r="E92" s="7"/>
    </row>
    <row r="93">
      <c r="E93" s="7"/>
    </row>
    <row r="94">
      <c r="E94" s="7"/>
    </row>
    <row r="95">
      <c r="E95" s="7"/>
    </row>
    <row r="96">
      <c r="E96" s="7"/>
    </row>
    <row r="97">
      <c r="E97" s="7"/>
    </row>
    <row r="98">
      <c r="E98" s="7"/>
    </row>
    <row r="99">
      <c r="E99" s="7"/>
    </row>
    <row r="100">
      <c r="E100" s="7"/>
    </row>
    <row r="101">
      <c r="E101" s="7"/>
    </row>
    <row r="102">
      <c r="E102" s="7"/>
    </row>
    <row r="103">
      <c r="E103" s="7"/>
    </row>
    <row r="104">
      <c r="E104" s="7"/>
    </row>
    <row r="105">
      <c r="E105" s="7"/>
    </row>
    <row r="106">
      <c r="E106" s="7"/>
    </row>
    <row r="107">
      <c r="E107" s="7"/>
    </row>
    <row r="108">
      <c r="E108" s="7"/>
    </row>
    <row r="109">
      <c r="E109" s="7"/>
    </row>
    <row r="110">
      <c r="E110" s="7"/>
    </row>
    <row r="111">
      <c r="E111" s="7"/>
    </row>
    <row r="112">
      <c r="E112" s="7"/>
    </row>
    <row r="113">
      <c r="E113" s="7"/>
    </row>
    <row r="114">
      <c r="E114" s="7"/>
    </row>
    <row r="115">
      <c r="E115" s="7"/>
    </row>
    <row r="116">
      <c r="E116" s="7"/>
    </row>
    <row r="117">
      <c r="E117" s="7"/>
    </row>
    <row r="118">
      <c r="E118" s="7"/>
    </row>
    <row r="119">
      <c r="E119" s="7"/>
    </row>
    <row r="120">
      <c r="E120" s="7"/>
    </row>
    <row r="121">
      <c r="E121" s="7"/>
    </row>
    <row r="122">
      <c r="E122" s="7"/>
    </row>
    <row r="123">
      <c r="E123" s="7"/>
    </row>
    <row r="124">
      <c r="E124" s="7"/>
    </row>
    <row r="125">
      <c r="E125" s="7"/>
    </row>
    <row r="126">
      <c r="E126" s="7"/>
    </row>
    <row r="127">
      <c r="E127" s="7"/>
    </row>
    <row r="128">
      <c r="E128" s="7"/>
    </row>
    <row r="129">
      <c r="E129" s="7"/>
    </row>
    <row r="130">
      <c r="E130" s="7"/>
    </row>
    <row r="131">
      <c r="E131" s="7"/>
    </row>
    <row r="132">
      <c r="E132" s="7"/>
    </row>
    <row r="133">
      <c r="E133" s="7"/>
    </row>
    <row r="134">
      <c r="E134" s="7"/>
    </row>
    <row r="135">
      <c r="E135" s="7"/>
    </row>
    <row r="136">
      <c r="E136" s="7"/>
    </row>
    <row r="137">
      <c r="E137" s="7"/>
    </row>
    <row r="138">
      <c r="E138" s="7"/>
    </row>
    <row r="139">
      <c r="E139" s="7"/>
    </row>
    <row r="140">
      <c r="E140" s="7"/>
    </row>
    <row r="141">
      <c r="E141" s="7"/>
    </row>
    <row r="142">
      <c r="E142" s="7"/>
    </row>
    <row r="143">
      <c r="E143" s="7"/>
    </row>
    <row r="144">
      <c r="E144" s="7"/>
    </row>
    <row r="145">
      <c r="E145" s="7"/>
    </row>
    <row r="146">
      <c r="E146" s="7"/>
    </row>
    <row r="147">
      <c r="E147" s="7"/>
    </row>
    <row r="148">
      <c r="E148" s="7"/>
    </row>
    <row r="149">
      <c r="E149" s="7"/>
    </row>
    <row r="150">
      <c r="E150" s="7"/>
    </row>
    <row r="151">
      <c r="E151" s="7"/>
    </row>
    <row r="152">
      <c r="E152" s="7"/>
    </row>
    <row r="153">
      <c r="E153" s="7"/>
    </row>
    <row r="154">
      <c r="E154" s="7"/>
    </row>
    <row r="155">
      <c r="E155" s="7"/>
    </row>
    <row r="156">
      <c r="E156" s="7"/>
    </row>
    <row r="157">
      <c r="E157" s="7"/>
    </row>
    <row r="158">
      <c r="E158" s="7"/>
    </row>
    <row r="159">
      <c r="E159" s="7"/>
    </row>
    <row r="160">
      <c r="E160" s="7"/>
    </row>
    <row r="161">
      <c r="E161" s="7"/>
    </row>
    <row r="162">
      <c r="E162" s="7"/>
    </row>
    <row r="163">
      <c r="E163" s="7"/>
    </row>
    <row r="164">
      <c r="E164" s="7"/>
    </row>
    <row r="165">
      <c r="E165" s="7"/>
    </row>
    <row r="166">
      <c r="E166" s="7"/>
    </row>
    <row r="167">
      <c r="E167" s="7"/>
    </row>
    <row r="168">
      <c r="E168" s="7"/>
    </row>
    <row r="169">
      <c r="E169" s="7"/>
    </row>
    <row r="170">
      <c r="E170" s="7"/>
    </row>
    <row r="171">
      <c r="E171" s="7"/>
    </row>
    <row r="172">
      <c r="E172" s="7"/>
    </row>
    <row r="173">
      <c r="E173" s="7"/>
    </row>
    <row r="174">
      <c r="E174" s="7"/>
    </row>
    <row r="175">
      <c r="E175" s="7"/>
    </row>
    <row r="176">
      <c r="E176" s="7"/>
    </row>
    <row r="177">
      <c r="E177" s="7"/>
    </row>
    <row r="178">
      <c r="E178" s="7"/>
    </row>
    <row r="179">
      <c r="E179" s="7"/>
    </row>
    <row r="180">
      <c r="E180" s="7"/>
    </row>
    <row r="181">
      <c r="E181" s="7"/>
    </row>
    <row r="182">
      <c r="E182" s="7"/>
    </row>
    <row r="183">
      <c r="E183" s="7"/>
    </row>
    <row r="184">
      <c r="E184" s="7"/>
    </row>
    <row r="185">
      <c r="E185" s="7"/>
    </row>
    <row r="186">
      <c r="E186" s="7"/>
    </row>
    <row r="187">
      <c r="E187" s="7"/>
    </row>
    <row r="188">
      <c r="E188" s="7"/>
    </row>
    <row r="189">
      <c r="E189" s="7"/>
    </row>
    <row r="190">
      <c r="E190" s="7"/>
    </row>
    <row r="191">
      <c r="E191" s="7"/>
    </row>
    <row r="192">
      <c r="E192" s="7"/>
    </row>
    <row r="193">
      <c r="E193" s="7"/>
    </row>
    <row r="194">
      <c r="E194" s="7"/>
    </row>
    <row r="195">
      <c r="E195" s="7"/>
    </row>
    <row r="196">
      <c r="E196" s="7"/>
    </row>
    <row r="197">
      <c r="E197" s="7"/>
    </row>
    <row r="198">
      <c r="E198" s="7"/>
    </row>
    <row r="199">
      <c r="E199" s="7"/>
    </row>
    <row r="200">
      <c r="E200" s="7"/>
    </row>
    <row r="201">
      <c r="E201" s="7"/>
    </row>
    <row r="202">
      <c r="E202" s="7"/>
    </row>
    <row r="203">
      <c r="E203" s="7"/>
    </row>
    <row r="204">
      <c r="E204" s="7"/>
    </row>
    <row r="205">
      <c r="E205" s="7"/>
    </row>
    <row r="206">
      <c r="E206" s="7"/>
    </row>
    <row r="207">
      <c r="E207" s="7"/>
    </row>
    <row r="208">
      <c r="E208" s="7"/>
    </row>
    <row r="209">
      <c r="E209" s="7"/>
    </row>
    <row r="210">
      <c r="E210" s="7"/>
    </row>
    <row r="211">
      <c r="E211" s="7"/>
    </row>
    <row r="212">
      <c r="E212" s="7"/>
    </row>
    <row r="213">
      <c r="E213" s="7"/>
    </row>
    <row r="214">
      <c r="E214" s="7"/>
    </row>
    <row r="215">
      <c r="E215" s="7"/>
    </row>
    <row r="216">
      <c r="E216" s="7"/>
    </row>
    <row r="217">
      <c r="E217" s="7"/>
    </row>
    <row r="218">
      <c r="E218" s="7"/>
    </row>
    <row r="219">
      <c r="E219" s="7"/>
    </row>
    <row r="220">
      <c r="E220" s="7"/>
    </row>
    <row r="221">
      <c r="E221" s="7"/>
    </row>
    <row r="222">
      <c r="E222" s="7"/>
    </row>
    <row r="223">
      <c r="E223" s="7"/>
    </row>
    <row r="224">
      <c r="E224" s="7"/>
    </row>
    <row r="225">
      <c r="E225" s="7"/>
    </row>
    <row r="226">
      <c r="E226" s="7"/>
    </row>
    <row r="227">
      <c r="E227" s="7"/>
    </row>
    <row r="228">
      <c r="E228" s="7"/>
    </row>
    <row r="229">
      <c r="E229" s="7"/>
    </row>
    <row r="230">
      <c r="E230" s="7"/>
    </row>
    <row r="231">
      <c r="E231" s="7"/>
    </row>
    <row r="232">
      <c r="E232" s="7"/>
    </row>
    <row r="233">
      <c r="E233" s="7"/>
    </row>
    <row r="234">
      <c r="E234" s="7"/>
    </row>
    <row r="235">
      <c r="E235" s="7"/>
    </row>
    <row r="236">
      <c r="E236" s="7"/>
    </row>
    <row r="237">
      <c r="E237" s="7"/>
    </row>
    <row r="238">
      <c r="E238" s="7"/>
    </row>
    <row r="239">
      <c r="E239" s="7"/>
    </row>
    <row r="240">
      <c r="E240" s="7"/>
    </row>
    <row r="241">
      <c r="E241" s="7"/>
    </row>
    <row r="242">
      <c r="E242" s="7"/>
    </row>
    <row r="243">
      <c r="E243" s="7"/>
    </row>
    <row r="244">
      <c r="E244" s="7"/>
    </row>
    <row r="245">
      <c r="E245" s="7"/>
    </row>
    <row r="246">
      <c r="E246" s="7"/>
    </row>
    <row r="247">
      <c r="E247" s="7"/>
    </row>
    <row r="248">
      <c r="E248" s="7"/>
    </row>
    <row r="249">
      <c r="E249" s="7"/>
    </row>
    <row r="250">
      <c r="E250" s="7"/>
    </row>
    <row r="251">
      <c r="E251" s="7"/>
    </row>
    <row r="252">
      <c r="E252" s="7"/>
    </row>
    <row r="253">
      <c r="E253" s="7"/>
    </row>
    <row r="254">
      <c r="E254" s="7"/>
    </row>
    <row r="255">
      <c r="E255" s="7"/>
    </row>
    <row r="256">
      <c r="E256" s="7"/>
    </row>
    <row r="257">
      <c r="E257" s="7"/>
    </row>
    <row r="258">
      <c r="E258" s="7"/>
    </row>
    <row r="259">
      <c r="E259" s="7"/>
    </row>
    <row r="260">
      <c r="E260" s="7"/>
    </row>
    <row r="261">
      <c r="E261" s="7"/>
    </row>
    <row r="262">
      <c r="E262" s="7"/>
    </row>
    <row r="263">
      <c r="E263" s="7"/>
    </row>
    <row r="264">
      <c r="E264" s="7"/>
    </row>
    <row r="265">
      <c r="E265" s="7"/>
    </row>
    <row r="266">
      <c r="E266" s="7"/>
    </row>
    <row r="267">
      <c r="E267" s="7"/>
    </row>
    <row r="268">
      <c r="E268" s="7"/>
    </row>
    <row r="269">
      <c r="E269" s="7"/>
    </row>
    <row r="270">
      <c r="E270" s="7"/>
    </row>
    <row r="271">
      <c r="E271" s="7"/>
    </row>
    <row r="272">
      <c r="E272" s="7"/>
    </row>
    <row r="273">
      <c r="E273" s="7"/>
    </row>
    <row r="274">
      <c r="E274" s="7"/>
    </row>
    <row r="275">
      <c r="E275" s="7"/>
    </row>
    <row r="276">
      <c r="E276" s="7"/>
    </row>
    <row r="277">
      <c r="E277" s="7"/>
    </row>
    <row r="278">
      <c r="E278" s="7"/>
    </row>
    <row r="279">
      <c r="E279" s="7"/>
    </row>
    <row r="280">
      <c r="E280" s="7"/>
    </row>
    <row r="281">
      <c r="E281" s="7"/>
    </row>
    <row r="282">
      <c r="E282" s="7"/>
    </row>
    <row r="283">
      <c r="E283" s="7"/>
    </row>
    <row r="284">
      <c r="E284" s="7"/>
    </row>
    <row r="285">
      <c r="E285" s="7"/>
    </row>
    <row r="286">
      <c r="E286" s="7"/>
    </row>
    <row r="287">
      <c r="E287" s="7"/>
    </row>
    <row r="288">
      <c r="E288" s="7"/>
    </row>
    <row r="289">
      <c r="E289" s="7"/>
    </row>
    <row r="290">
      <c r="E290" s="7"/>
    </row>
    <row r="291">
      <c r="E291" s="7"/>
    </row>
    <row r="292">
      <c r="E292" s="7"/>
    </row>
    <row r="293">
      <c r="E293" s="7"/>
    </row>
    <row r="294">
      <c r="E294" s="7"/>
    </row>
    <row r="295">
      <c r="E295" s="7"/>
    </row>
    <row r="296">
      <c r="E296" s="7"/>
    </row>
    <row r="297">
      <c r="E297" s="7"/>
    </row>
    <row r="298">
      <c r="E298" s="7"/>
    </row>
    <row r="299">
      <c r="E299" s="7"/>
    </row>
    <row r="300">
      <c r="E300" s="7"/>
    </row>
    <row r="301">
      <c r="E301" s="7"/>
    </row>
    <row r="302">
      <c r="E302" s="7"/>
    </row>
    <row r="303">
      <c r="E303" s="7"/>
    </row>
    <row r="304">
      <c r="E304" s="7"/>
    </row>
    <row r="305">
      <c r="E305" s="7"/>
    </row>
    <row r="306">
      <c r="E306" s="7"/>
    </row>
    <row r="307">
      <c r="E307" s="7"/>
    </row>
    <row r="308">
      <c r="E308" s="7"/>
    </row>
    <row r="309">
      <c r="E309" s="7"/>
    </row>
    <row r="310">
      <c r="E310" s="7"/>
    </row>
    <row r="311">
      <c r="E311" s="7"/>
    </row>
    <row r="312">
      <c r="E312" s="7"/>
    </row>
    <row r="313">
      <c r="E313" s="7"/>
    </row>
    <row r="314">
      <c r="E314" s="7"/>
    </row>
    <row r="315">
      <c r="E315" s="7"/>
    </row>
    <row r="316">
      <c r="E316" s="7"/>
    </row>
    <row r="317">
      <c r="E317" s="7"/>
    </row>
    <row r="318">
      <c r="E318" s="7"/>
    </row>
    <row r="319">
      <c r="E319" s="7"/>
    </row>
    <row r="320">
      <c r="E320" s="7"/>
    </row>
    <row r="321">
      <c r="E321" s="7"/>
    </row>
    <row r="322">
      <c r="E322" s="7"/>
    </row>
    <row r="323">
      <c r="E323" s="7"/>
    </row>
    <row r="324">
      <c r="E324" s="7"/>
    </row>
    <row r="325">
      <c r="E325" s="7"/>
    </row>
    <row r="326">
      <c r="E326" s="7"/>
    </row>
    <row r="327">
      <c r="E327" s="7"/>
    </row>
    <row r="328">
      <c r="E328" s="7"/>
    </row>
    <row r="329">
      <c r="E329" s="7"/>
    </row>
    <row r="330">
      <c r="E330" s="7"/>
    </row>
    <row r="331">
      <c r="E331" s="7"/>
    </row>
    <row r="332">
      <c r="E332" s="7"/>
    </row>
    <row r="333">
      <c r="E333" s="7"/>
    </row>
    <row r="334">
      <c r="E334" s="7"/>
    </row>
    <row r="335">
      <c r="E335" s="7"/>
    </row>
    <row r="336">
      <c r="E336" s="7"/>
    </row>
    <row r="337">
      <c r="E337" s="7"/>
    </row>
    <row r="338">
      <c r="E338" s="7"/>
    </row>
    <row r="339">
      <c r="E339" s="7"/>
    </row>
    <row r="340">
      <c r="E340" s="7"/>
    </row>
    <row r="341">
      <c r="E341" s="7"/>
    </row>
    <row r="342">
      <c r="E342" s="7"/>
    </row>
    <row r="343">
      <c r="E343" s="7"/>
    </row>
    <row r="344">
      <c r="E344" s="7"/>
    </row>
    <row r="345">
      <c r="E345" s="7"/>
    </row>
    <row r="346">
      <c r="E346" s="7"/>
    </row>
    <row r="347">
      <c r="E347" s="7"/>
    </row>
    <row r="348">
      <c r="E348" s="7"/>
    </row>
    <row r="349">
      <c r="E349" s="7"/>
    </row>
    <row r="350">
      <c r="E350" s="7"/>
    </row>
    <row r="351">
      <c r="E351" s="7"/>
    </row>
    <row r="352">
      <c r="E352" s="7"/>
    </row>
    <row r="353">
      <c r="E353" s="7"/>
    </row>
    <row r="354">
      <c r="E354" s="7"/>
    </row>
    <row r="355">
      <c r="E355" s="7"/>
    </row>
    <row r="356">
      <c r="E356" s="7"/>
    </row>
    <row r="357">
      <c r="E357" s="7"/>
    </row>
    <row r="358">
      <c r="E358" s="7"/>
    </row>
    <row r="359">
      <c r="E359" s="7"/>
    </row>
    <row r="360">
      <c r="E360" s="7"/>
    </row>
    <row r="361">
      <c r="E361" s="7"/>
    </row>
    <row r="362">
      <c r="E362" s="7"/>
    </row>
    <row r="363">
      <c r="E363" s="7"/>
    </row>
    <row r="364">
      <c r="E364" s="7"/>
    </row>
    <row r="365">
      <c r="E365" s="7"/>
    </row>
    <row r="366">
      <c r="E366" s="7"/>
    </row>
    <row r="367">
      <c r="E367" s="7"/>
    </row>
    <row r="368">
      <c r="E368" s="7"/>
    </row>
    <row r="369">
      <c r="E369" s="7"/>
    </row>
    <row r="370">
      <c r="E370" s="7"/>
    </row>
    <row r="371">
      <c r="E371" s="7"/>
    </row>
    <row r="372">
      <c r="E372" s="7"/>
    </row>
    <row r="373">
      <c r="E373" s="7"/>
    </row>
    <row r="374">
      <c r="E374" s="7"/>
    </row>
    <row r="375">
      <c r="E375" s="7"/>
    </row>
    <row r="376">
      <c r="E376" s="7"/>
    </row>
    <row r="377">
      <c r="E377" s="7"/>
    </row>
    <row r="378">
      <c r="E378" s="7"/>
    </row>
    <row r="379">
      <c r="E379" s="7"/>
    </row>
    <row r="380">
      <c r="E380" s="7"/>
    </row>
    <row r="381">
      <c r="E381" s="7"/>
    </row>
    <row r="382">
      <c r="E382" s="7"/>
    </row>
    <row r="383">
      <c r="E383" s="7"/>
    </row>
    <row r="384">
      <c r="E384" s="7"/>
    </row>
    <row r="385">
      <c r="E385" s="7"/>
    </row>
    <row r="386">
      <c r="E386" s="7"/>
    </row>
    <row r="387">
      <c r="E387" s="7"/>
    </row>
    <row r="388">
      <c r="E388" s="7"/>
    </row>
    <row r="389">
      <c r="E389" s="7"/>
    </row>
    <row r="390">
      <c r="E390" s="7"/>
    </row>
    <row r="391">
      <c r="E391" s="7"/>
    </row>
    <row r="392">
      <c r="E392" s="7"/>
    </row>
    <row r="393">
      <c r="E393" s="7"/>
    </row>
    <row r="394">
      <c r="E394" s="7"/>
    </row>
    <row r="395">
      <c r="E395" s="7"/>
    </row>
    <row r="396">
      <c r="E396" s="7"/>
    </row>
    <row r="397">
      <c r="E397" s="7"/>
    </row>
    <row r="398">
      <c r="E398" s="7"/>
    </row>
    <row r="399">
      <c r="E399" s="7"/>
    </row>
    <row r="400">
      <c r="E400" s="7"/>
    </row>
    <row r="401">
      <c r="E401" s="7"/>
    </row>
    <row r="402">
      <c r="E402" s="7"/>
    </row>
    <row r="403">
      <c r="E403" s="7"/>
    </row>
    <row r="404">
      <c r="E404" s="7"/>
    </row>
    <row r="405">
      <c r="E405" s="7"/>
    </row>
    <row r="406">
      <c r="E406" s="7"/>
    </row>
    <row r="407">
      <c r="E407" s="7"/>
    </row>
    <row r="408">
      <c r="E408" s="7"/>
    </row>
    <row r="409">
      <c r="E409" s="7"/>
    </row>
    <row r="410">
      <c r="E410" s="7"/>
    </row>
    <row r="411">
      <c r="E411" s="7"/>
    </row>
    <row r="412">
      <c r="E412" s="7"/>
    </row>
    <row r="413">
      <c r="E413" s="7"/>
    </row>
    <row r="414">
      <c r="E414" s="7"/>
    </row>
    <row r="415">
      <c r="E415" s="7"/>
    </row>
    <row r="416">
      <c r="E416" s="7"/>
    </row>
    <row r="417">
      <c r="E417" s="7"/>
    </row>
    <row r="418">
      <c r="E418" s="7"/>
    </row>
    <row r="419">
      <c r="E419" s="7"/>
    </row>
    <row r="420">
      <c r="E420" s="7"/>
    </row>
    <row r="421">
      <c r="E421" s="7"/>
    </row>
    <row r="422">
      <c r="E422" s="7"/>
    </row>
    <row r="423">
      <c r="E423" s="7"/>
    </row>
    <row r="424">
      <c r="E424" s="7"/>
    </row>
    <row r="425">
      <c r="E425" s="7"/>
    </row>
    <row r="426">
      <c r="E426" s="7"/>
    </row>
    <row r="427">
      <c r="E427" s="7"/>
    </row>
    <row r="428">
      <c r="E428" s="7"/>
    </row>
    <row r="429">
      <c r="E429" s="7"/>
    </row>
    <row r="430">
      <c r="E430" s="7"/>
    </row>
    <row r="431">
      <c r="E431" s="7"/>
    </row>
    <row r="432">
      <c r="E432" s="7"/>
    </row>
    <row r="433">
      <c r="E433" s="7"/>
    </row>
    <row r="434">
      <c r="E434" s="7"/>
    </row>
    <row r="435">
      <c r="E435" s="7"/>
    </row>
    <row r="436">
      <c r="E436" s="7"/>
    </row>
    <row r="437">
      <c r="E437" s="7"/>
    </row>
    <row r="438">
      <c r="E438" s="7"/>
    </row>
    <row r="439">
      <c r="E439" s="7"/>
    </row>
    <row r="440">
      <c r="E440" s="7"/>
    </row>
    <row r="441">
      <c r="E441" s="7"/>
    </row>
    <row r="442">
      <c r="E442" s="7"/>
    </row>
    <row r="443">
      <c r="E443" s="7"/>
    </row>
    <row r="444">
      <c r="E444" s="7"/>
    </row>
    <row r="445">
      <c r="E445" s="7"/>
    </row>
    <row r="446">
      <c r="E446" s="7"/>
    </row>
    <row r="447">
      <c r="E447" s="7"/>
    </row>
    <row r="448">
      <c r="E448" s="7"/>
    </row>
    <row r="449">
      <c r="E449" s="7"/>
    </row>
    <row r="450">
      <c r="E450" s="7"/>
    </row>
    <row r="451">
      <c r="E451" s="7"/>
    </row>
    <row r="452">
      <c r="E452" s="7"/>
    </row>
    <row r="453">
      <c r="E453" s="7"/>
    </row>
    <row r="454">
      <c r="E454" s="7"/>
    </row>
    <row r="455">
      <c r="E455" s="7"/>
    </row>
    <row r="456">
      <c r="E456" s="7"/>
    </row>
    <row r="457">
      <c r="E457" s="7"/>
    </row>
    <row r="458">
      <c r="E458" s="7"/>
    </row>
    <row r="459">
      <c r="E459" s="7"/>
    </row>
    <row r="460">
      <c r="E460" s="7"/>
    </row>
    <row r="461">
      <c r="E461" s="7"/>
    </row>
    <row r="462">
      <c r="E462" s="7"/>
    </row>
    <row r="463">
      <c r="E463" s="7"/>
    </row>
    <row r="464">
      <c r="E464" s="7"/>
    </row>
    <row r="465">
      <c r="E465" s="7"/>
    </row>
    <row r="466">
      <c r="E466" s="7"/>
    </row>
    <row r="467">
      <c r="E467" s="7"/>
    </row>
    <row r="468">
      <c r="E468" s="7"/>
    </row>
    <row r="469">
      <c r="E469" s="7"/>
    </row>
    <row r="470">
      <c r="E470" s="7"/>
    </row>
    <row r="471">
      <c r="E471" s="7"/>
    </row>
    <row r="472">
      <c r="E472" s="7"/>
    </row>
    <row r="473">
      <c r="E473" s="7"/>
    </row>
    <row r="474">
      <c r="E474" s="7"/>
    </row>
    <row r="475">
      <c r="E475" s="7"/>
    </row>
    <row r="476">
      <c r="E476" s="7"/>
    </row>
    <row r="477">
      <c r="E477" s="7"/>
    </row>
    <row r="478">
      <c r="E478" s="7"/>
    </row>
    <row r="479">
      <c r="E479" s="7"/>
    </row>
    <row r="480">
      <c r="E480" s="7"/>
    </row>
    <row r="481">
      <c r="E481" s="7"/>
    </row>
    <row r="482">
      <c r="E482" s="7"/>
    </row>
    <row r="483">
      <c r="E483" s="7"/>
    </row>
    <row r="484">
      <c r="E484" s="7"/>
    </row>
    <row r="485">
      <c r="E485" s="7"/>
    </row>
    <row r="486">
      <c r="E486" s="7"/>
    </row>
    <row r="487">
      <c r="E487" s="7"/>
    </row>
    <row r="488">
      <c r="E488" s="7"/>
    </row>
    <row r="489">
      <c r="E489" s="7"/>
    </row>
    <row r="490">
      <c r="E490" s="7"/>
    </row>
    <row r="491">
      <c r="E491" s="7"/>
    </row>
    <row r="492">
      <c r="E492" s="7"/>
    </row>
    <row r="493">
      <c r="E493" s="7"/>
    </row>
    <row r="494">
      <c r="E494" s="7"/>
    </row>
    <row r="495">
      <c r="E495" s="7"/>
    </row>
    <row r="496">
      <c r="E496" s="7"/>
    </row>
    <row r="497">
      <c r="E497" s="7"/>
    </row>
    <row r="498">
      <c r="E498" s="7"/>
    </row>
    <row r="499">
      <c r="E499" s="7"/>
    </row>
    <row r="500">
      <c r="E500" s="7"/>
    </row>
    <row r="501">
      <c r="E501" s="7"/>
    </row>
    <row r="502">
      <c r="E502" s="7"/>
    </row>
    <row r="503">
      <c r="E503" s="7"/>
    </row>
    <row r="504">
      <c r="E504" s="7"/>
    </row>
    <row r="505">
      <c r="E505" s="7"/>
    </row>
    <row r="506">
      <c r="E506" s="7"/>
    </row>
    <row r="507">
      <c r="E507" s="7"/>
    </row>
    <row r="508">
      <c r="E508" s="7"/>
    </row>
    <row r="509">
      <c r="E509" s="7"/>
    </row>
    <row r="510">
      <c r="E510" s="7"/>
    </row>
    <row r="511">
      <c r="E511" s="7"/>
    </row>
    <row r="512">
      <c r="E512" s="7"/>
    </row>
    <row r="513">
      <c r="E513" s="7"/>
    </row>
    <row r="514">
      <c r="E514" s="7"/>
    </row>
    <row r="515">
      <c r="E515" s="7"/>
    </row>
    <row r="516">
      <c r="E516" s="7"/>
    </row>
    <row r="517">
      <c r="E517" s="7"/>
    </row>
    <row r="518">
      <c r="E518" s="7"/>
    </row>
    <row r="519">
      <c r="E519" s="7"/>
    </row>
    <row r="520">
      <c r="E520" s="7"/>
    </row>
    <row r="521">
      <c r="E521" s="7"/>
    </row>
    <row r="522">
      <c r="E522" s="7"/>
    </row>
    <row r="523">
      <c r="E523" s="7"/>
    </row>
    <row r="524">
      <c r="E524" s="7"/>
    </row>
    <row r="525">
      <c r="E525" s="7"/>
    </row>
    <row r="526">
      <c r="E526" s="7"/>
    </row>
    <row r="527">
      <c r="E527" s="7"/>
    </row>
    <row r="528">
      <c r="E528" s="7"/>
    </row>
    <row r="529">
      <c r="E529" s="7"/>
    </row>
    <row r="530">
      <c r="E530" s="7"/>
    </row>
    <row r="531">
      <c r="E531" s="7"/>
    </row>
    <row r="532">
      <c r="E532" s="7"/>
    </row>
    <row r="533">
      <c r="E533" s="7"/>
    </row>
    <row r="534">
      <c r="E534" s="7"/>
    </row>
    <row r="535">
      <c r="E535" s="7"/>
    </row>
    <row r="536">
      <c r="E536" s="7"/>
    </row>
    <row r="537">
      <c r="E537" s="7"/>
    </row>
    <row r="538">
      <c r="E538" s="7"/>
    </row>
    <row r="539">
      <c r="E539" s="7"/>
    </row>
    <row r="540">
      <c r="E540" s="7"/>
    </row>
    <row r="541">
      <c r="E541" s="7"/>
    </row>
    <row r="542">
      <c r="E542" s="7"/>
    </row>
    <row r="543">
      <c r="E543" s="7"/>
    </row>
    <row r="544">
      <c r="E544" s="7"/>
    </row>
    <row r="545">
      <c r="E545" s="7"/>
    </row>
    <row r="546">
      <c r="E546" s="7"/>
    </row>
    <row r="547">
      <c r="E547" s="7"/>
    </row>
    <row r="548">
      <c r="E548" s="7"/>
    </row>
    <row r="549">
      <c r="E549" s="7"/>
    </row>
    <row r="550">
      <c r="E550" s="7"/>
    </row>
    <row r="551">
      <c r="E551" s="7"/>
    </row>
    <row r="552">
      <c r="E552" s="7"/>
    </row>
    <row r="553">
      <c r="E553" s="7"/>
    </row>
    <row r="554">
      <c r="E554" s="7"/>
    </row>
    <row r="555">
      <c r="E555" s="7"/>
    </row>
    <row r="556">
      <c r="E556" s="7"/>
    </row>
    <row r="557">
      <c r="E557" s="7"/>
    </row>
    <row r="558">
      <c r="E558" s="7"/>
    </row>
    <row r="559">
      <c r="E559" s="7"/>
    </row>
    <row r="560">
      <c r="E560" s="7"/>
    </row>
    <row r="561">
      <c r="E561" s="7"/>
    </row>
    <row r="562">
      <c r="E562" s="7"/>
    </row>
    <row r="563">
      <c r="E563" s="7"/>
    </row>
    <row r="564">
      <c r="E564" s="7"/>
    </row>
    <row r="565">
      <c r="E565" s="7"/>
    </row>
    <row r="566">
      <c r="E566" s="7"/>
    </row>
    <row r="567">
      <c r="E567" s="7"/>
    </row>
    <row r="568">
      <c r="E568" s="7"/>
    </row>
    <row r="569">
      <c r="E569" s="7"/>
    </row>
    <row r="570">
      <c r="E570" s="7"/>
    </row>
    <row r="571">
      <c r="E571" s="7"/>
    </row>
    <row r="572">
      <c r="E572" s="7"/>
    </row>
    <row r="573">
      <c r="E573" s="7"/>
    </row>
    <row r="574">
      <c r="E574" s="7"/>
    </row>
    <row r="575">
      <c r="E575" s="7"/>
    </row>
    <row r="576">
      <c r="E576" s="7"/>
    </row>
    <row r="577">
      <c r="E577" s="7"/>
    </row>
    <row r="578">
      <c r="E578" s="7"/>
    </row>
    <row r="579">
      <c r="E579" s="7"/>
    </row>
    <row r="580">
      <c r="E580" s="7"/>
    </row>
    <row r="581">
      <c r="E581" s="7"/>
    </row>
    <row r="582">
      <c r="E582" s="7"/>
    </row>
    <row r="583">
      <c r="E583" s="7"/>
    </row>
    <row r="584">
      <c r="E584" s="7"/>
    </row>
    <row r="585">
      <c r="E585" s="7"/>
    </row>
    <row r="586">
      <c r="E586" s="7"/>
    </row>
    <row r="587">
      <c r="E587" s="7"/>
    </row>
    <row r="588">
      <c r="E588" s="7"/>
    </row>
    <row r="589">
      <c r="E589" s="7"/>
    </row>
    <row r="590">
      <c r="E590" s="7"/>
    </row>
    <row r="591">
      <c r="E591" s="7"/>
    </row>
    <row r="592">
      <c r="E592" s="7"/>
    </row>
    <row r="593">
      <c r="E593" s="7"/>
    </row>
    <row r="594">
      <c r="E594" s="7"/>
    </row>
    <row r="595">
      <c r="E595" s="7"/>
    </row>
    <row r="596">
      <c r="E596" s="7"/>
    </row>
    <row r="597">
      <c r="E597" s="7"/>
    </row>
    <row r="598">
      <c r="E598" s="7"/>
    </row>
    <row r="599">
      <c r="E599" s="7"/>
    </row>
    <row r="600">
      <c r="E600" s="7"/>
    </row>
    <row r="601">
      <c r="E601" s="7"/>
    </row>
    <row r="602">
      <c r="E602" s="7"/>
    </row>
    <row r="603">
      <c r="E603" s="7"/>
    </row>
    <row r="604">
      <c r="E604" s="7"/>
    </row>
    <row r="605">
      <c r="E605" s="7"/>
    </row>
    <row r="606">
      <c r="E606" s="7"/>
    </row>
    <row r="607">
      <c r="E607" s="7"/>
    </row>
    <row r="608">
      <c r="E608" s="7"/>
    </row>
    <row r="609">
      <c r="E609" s="7"/>
    </row>
    <row r="610">
      <c r="E610" s="7"/>
    </row>
    <row r="611">
      <c r="E611" s="7"/>
    </row>
    <row r="612">
      <c r="E612" s="7"/>
    </row>
    <row r="613">
      <c r="E613" s="7"/>
    </row>
    <row r="614">
      <c r="E614" s="7"/>
    </row>
    <row r="615">
      <c r="E615" s="7"/>
    </row>
    <row r="616">
      <c r="E616" s="7"/>
    </row>
    <row r="617">
      <c r="E617" s="7"/>
    </row>
    <row r="618">
      <c r="E618" s="7"/>
    </row>
    <row r="619">
      <c r="E619" s="7"/>
    </row>
    <row r="620">
      <c r="E620" s="7"/>
    </row>
    <row r="621">
      <c r="E621" s="7"/>
    </row>
    <row r="622">
      <c r="E622" s="7"/>
    </row>
    <row r="623">
      <c r="E623" s="7"/>
    </row>
    <row r="624">
      <c r="E624" s="7"/>
    </row>
    <row r="625">
      <c r="E625" s="7"/>
    </row>
    <row r="626">
      <c r="E626" s="7"/>
    </row>
    <row r="627">
      <c r="E627" s="7"/>
    </row>
    <row r="628">
      <c r="E628" s="7"/>
    </row>
    <row r="629">
      <c r="E629" s="7"/>
    </row>
    <row r="630">
      <c r="E630" s="7"/>
    </row>
    <row r="631">
      <c r="E631" s="7"/>
    </row>
    <row r="632">
      <c r="E632" s="7"/>
    </row>
    <row r="633">
      <c r="E633" s="7"/>
    </row>
    <row r="634">
      <c r="E634" s="7"/>
    </row>
    <row r="635">
      <c r="E635" s="7"/>
    </row>
    <row r="636">
      <c r="E636" s="7"/>
    </row>
    <row r="637">
      <c r="E637" s="7"/>
    </row>
    <row r="638">
      <c r="E638" s="7"/>
    </row>
    <row r="639">
      <c r="E639" s="7"/>
    </row>
    <row r="640">
      <c r="E640" s="7"/>
    </row>
    <row r="641">
      <c r="E641" s="7"/>
    </row>
    <row r="642">
      <c r="E642" s="7"/>
    </row>
    <row r="643">
      <c r="E643" s="7"/>
    </row>
    <row r="644">
      <c r="E644" s="7"/>
    </row>
    <row r="645">
      <c r="E645" s="7"/>
    </row>
    <row r="646">
      <c r="E646" s="7"/>
    </row>
    <row r="647">
      <c r="E647" s="7"/>
    </row>
    <row r="648">
      <c r="E648" s="7"/>
    </row>
    <row r="649">
      <c r="E649" s="7"/>
    </row>
    <row r="650">
      <c r="E650" s="7"/>
    </row>
    <row r="651">
      <c r="E651" s="7"/>
    </row>
    <row r="652">
      <c r="E652" s="7"/>
    </row>
    <row r="653">
      <c r="E653" s="7"/>
    </row>
    <row r="654">
      <c r="E654" s="7"/>
    </row>
    <row r="655">
      <c r="E655" s="7"/>
    </row>
    <row r="656">
      <c r="E656" s="7"/>
    </row>
    <row r="657">
      <c r="E657" s="7"/>
    </row>
    <row r="658">
      <c r="E658" s="7"/>
    </row>
    <row r="659">
      <c r="E659" s="7"/>
    </row>
    <row r="660">
      <c r="E660" s="7"/>
    </row>
    <row r="661">
      <c r="E661" s="7"/>
    </row>
    <row r="662">
      <c r="E662" s="7"/>
    </row>
    <row r="663">
      <c r="E663" s="7"/>
    </row>
    <row r="664">
      <c r="E664" s="7"/>
    </row>
    <row r="665">
      <c r="E665" s="7"/>
    </row>
    <row r="666">
      <c r="E666" s="7"/>
    </row>
    <row r="667">
      <c r="E667" s="7"/>
    </row>
    <row r="668">
      <c r="E668" s="7"/>
    </row>
    <row r="669">
      <c r="E669" s="7"/>
    </row>
    <row r="670">
      <c r="E670" s="7"/>
    </row>
    <row r="671">
      <c r="E671" s="7"/>
    </row>
    <row r="672">
      <c r="E672" s="7"/>
    </row>
    <row r="673">
      <c r="E673" s="7"/>
    </row>
    <row r="674">
      <c r="E674" s="7"/>
    </row>
    <row r="675">
      <c r="E675" s="7"/>
    </row>
    <row r="676">
      <c r="E676" s="7"/>
    </row>
    <row r="677">
      <c r="E677" s="7"/>
    </row>
    <row r="678">
      <c r="E678" s="7"/>
    </row>
    <row r="679">
      <c r="E679" s="7"/>
    </row>
    <row r="680">
      <c r="E680" s="7"/>
    </row>
    <row r="681">
      <c r="E681" s="7"/>
    </row>
    <row r="682">
      <c r="E682" s="7"/>
    </row>
    <row r="683">
      <c r="E683" s="7"/>
    </row>
    <row r="684">
      <c r="E684" s="7"/>
    </row>
    <row r="685">
      <c r="E685" s="7"/>
    </row>
    <row r="686">
      <c r="E686" s="7"/>
    </row>
    <row r="687">
      <c r="E687" s="7"/>
    </row>
    <row r="688">
      <c r="E688" s="7"/>
    </row>
    <row r="689">
      <c r="E689" s="7"/>
    </row>
    <row r="690">
      <c r="E690" s="7"/>
    </row>
    <row r="691">
      <c r="E691" s="7"/>
    </row>
    <row r="692">
      <c r="E692" s="7"/>
    </row>
    <row r="693">
      <c r="E693" s="7"/>
    </row>
    <row r="694">
      <c r="E694" s="7"/>
    </row>
    <row r="695">
      <c r="E695" s="7"/>
    </row>
    <row r="696">
      <c r="E696" s="7"/>
    </row>
    <row r="697">
      <c r="E697" s="7"/>
    </row>
    <row r="698">
      <c r="E698" s="7"/>
    </row>
    <row r="699">
      <c r="E699" s="7"/>
    </row>
    <row r="700">
      <c r="E700" s="7"/>
    </row>
    <row r="701">
      <c r="E701" s="7"/>
    </row>
    <row r="702">
      <c r="E702" s="7"/>
    </row>
    <row r="703">
      <c r="E703" s="7"/>
    </row>
    <row r="704">
      <c r="E704" s="7"/>
    </row>
    <row r="705">
      <c r="E705" s="7"/>
    </row>
    <row r="706">
      <c r="E706" s="7"/>
    </row>
    <row r="707">
      <c r="E707" s="7"/>
    </row>
    <row r="708">
      <c r="E708" s="7"/>
    </row>
    <row r="709">
      <c r="E709" s="7"/>
    </row>
    <row r="710">
      <c r="E710" s="7"/>
    </row>
    <row r="711">
      <c r="E711" s="7"/>
    </row>
    <row r="712">
      <c r="E712" s="7"/>
    </row>
    <row r="713">
      <c r="E713" s="7"/>
    </row>
    <row r="714">
      <c r="E714" s="7"/>
    </row>
    <row r="715">
      <c r="E715" s="7"/>
    </row>
    <row r="716">
      <c r="E716" s="7"/>
    </row>
    <row r="717">
      <c r="E717" s="7"/>
    </row>
    <row r="718">
      <c r="E718" s="7"/>
    </row>
    <row r="719">
      <c r="E719" s="7"/>
    </row>
    <row r="720">
      <c r="E720" s="7"/>
    </row>
    <row r="721">
      <c r="E721" s="7"/>
    </row>
    <row r="722">
      <c r="E722" s="7"/>
    </row>
    <row r="723">
      <c r="E723" s="7"/>
    </row>
    <row r="724">
      <c r="E724" s="7"/>
    </row>
    <row r="725">
      <c r="E725" s="7"/>
    </row>
    <row r="726">
      <c r="E726" s="7"/>
    </row>
    <row r="727">
      <c r="E727" s="7"/>
    </row>
    <row r="728">
      <c r="E728" s="7"/>
    </row>
    <row r="729">
      <c r="E729" s="7"/>
    </row>
    <row r="730">
      <c r="E730" s="7"/>
    </row>
    <row r="731">
      <c r="E731" s="7"/>
    </row>
    <row r="732">
      <c r="E732" s="7"/>
    </row>
    <row r="733">
      <c r="E733" s="7"/>
    </row>
    <row r="734">
      <c r="E734" s="7"/>
    </row>
    <row r="735">
      <c r="E735" s="7"/>
    </row>
    <row r="736">
      <c r="E736" s="7"/>
    </row>
    <row r="737">
      <c r="E737" s="7"/>
    </row>
    <row r="738">
      <c r="E738" s="7"/>
    </row>
    <row r="739">
      <c r="E739" s="7"/>
    </row>
    <row r="740">
      <c r="E740" s="7"/>
    </row>
    <row r="741">
      <c r="E741" s="7"/>
    </row>
    <row r="742">
      <c r="E742" s="7"/>
    </row>
    <row r="743">
      <c r="E743" s="7"/>
    </row>
    <row r="744">
      <c r="E744" s="7"/>
    </row>
    <row r="745">
      <c r="E745" s="7"/>
    </row>
    <row r="746">
      <c r="E746" s="7"/>
    </row>
    <row r="747">
      <c r="E747" s="7"/>
    </row>
    <row r="748">
      <c r="E748" s="7"/>
    </row>
    <row r="749">
      <c r="E749" s="7"/>
    </row>
    <row r="750">
      <c r="E750" s="7"/>
    </row>
    <row r="751">
      <c r="E751" s="7"/>
    </row>
    <row r="752">
      <c r="E752" s="7"/>
    </row>
    <row r="753">
      <c r="E753" s="7"/>
    </row>
    <row r="754">
      <c r="E754" s="7"/>
    </row>
    <row r="755">
      <c r="E755" s="7"/>
    </row>
    <row r="756">
      <c r="E756" s="7"/>
    </row>
    <row r="757">
      <c r="E757" s="7"/>
    </row>
    <row r="758">
      <c r="E758" s="7"/>
    </row>
    <row r="759">
      <c r="E759" s="7"/>
    </row>
    <row r="760">
      <c r="E760" s="7"/>
    </row>
    <row r="761">
      <c r="E761" s="7"/>
    </row>
    <row r="762">
      <c r="E762" s="7"/>
    </row>
    <row r="763">
      <c r="E763" s="7"/>
    </row>
    <row r="764">
      <c r="E764" s="7"/>
    </row>
    <row r="765">
      <c r="E765" s="7"/>
    </row>
    <row r="766">
      <c r="E766" s="7"/>
    </row>
    <row r="767">
      <c r="E767" s="7"/>
    </row>
    <row r="768">
      <c r="E768" s="7"/>
    </row>
    <row r="769">
      <c r="E769" s="7"/>
    </row>
    <row r="770">
      <c r="E770" s="7"/>
    </row>
    <row r="771">
      <c r="E771" s="7"/>
    </row>
    <row r="772">
      <c r="E772" s="7"/>
    </row>
    <row r="773">
      <c r="E773" s="7"/>
    </row>
    <row r="774">
      <c r="E774" s="7"/>
    </row>
    <row r="775">
      <c r="E775" s="7"/>
    </row>
    <row r="776">
      <c r="E776" s="7"/>
    </row>
    <row r="777">
      <c r="E777" s="7"/>
    </row>
    <row r="778">
      <c r="E778" s="7"/>
    </row>
    <row r="779">
      <c r="E779" s="7"/>
    </row>
    <row r="780">
      <c r="E780" s="7"/>
    </row>
    <row r="781">
      <c r="E781" s="7"/>
    </row>
    <row r="782">
      <c r="E782" s="7"/>
    </row>
    <row r="783">
      <c r="E783" s="7"/>
    </row>
    <row r="784">
      <c r="E784" s="7"/>
    </row>
    <row r="785">
      <c r="E785" s="7"/>
    </row>
    <row r="786">
      <c r="E786" s="7"/>
    </row>
    <row r="787">
      <c r="E787" s="7"/>
    </row>
    <row r="788">
      <c r="E788" s="7"/>
    </row>
    <row r="789">
      <c r="E789" s="7"/>
    </row>
    <row r="790">
      <c r="E790" s="7"/>
    </row>
    <row r="791">
      <c r="E791" s="7"/>
    </row>
    <row r="792">
      <c r="E792" s="7"/>
    </row>
    <row r="793">
      <c r="E793" s="7"/>
    </row>
    <row r="794">
      <c r="E794" s="7"/>
    </row>
    <row r="795">
      <c r="E795" s="7"/>
    </row>
    <row r="796">
      <c r="E796" s="7"/>
    </row>
    <row r="797">
      <c r="E797" s="7"/>
    </row>
    <row r="798">
      <c r="E798" s="7"/>
    </row>
    <row r="799">
      <c r="E799" s="7"/>
    </row>
    <row r="800">
      <c r="E800" s="7"/>
    </row>
    <row r="801">
      <c r="E801" s="7"/>
    </row>
    <row r="802">
      <c r="E802" s="7"/>
    </row>
    <row r="803">
      <c r="E803" s="7"/>
    </row>
    <row r="804">
      <c r="E804" s="7"/>
    </row>
    <row r="805">
      <c r="E805" s="7"/>
    </row>
    <row r="806">
      <c r="E806" s="7"/>
    </row>
    <row r="807">
      <c r="E807" s="7"/>
    </row>
    <row r="808">
      <c r="E808" s="7"/>
    </row>
    <row r="809">
      <c r="E809" s="7"/>
    </row>
    <row r="810">
      <c r="E810" s="7"/>
    </row>
    <row r="811">
      <c r="E811" s="7"/>
    </row>
    <row r="812">
      <c r="E812" s="7"/>
    </row>
    <row r="813">
      <c r="E813" s="7"/>
    </row>
    <row r="814">
      <c r="E814" s="7"/>
    </row>
    <row r="815">
      <c r="E815" s="7"/>
    </row>
    <row r="816">
      <c r="E816" s="7"/>
    </row>
    <row r="817">
      <c r="E817" s="7"/>
    </row>
    <row r="818">
      <c r="E818" s="7"/>
    </row>
    <row r="819">
      <c r="E819" s="7"/>
    </row>
    <row r="820">
      <c r="E820" s="7"/>
    </row>
    <row r="821">
      <c r="E821" s="7"/>
    </row>
    <row r="822">
      <c r="E822" s="7"/>
    </row>
    <row r="823">
      <c r="E823" s="7"/>
    </row>
    <row r="824">
      <c r="E824" s="7"/>
    </row>
    <row r="825">
      <c r="E825" s="7"/>
    </row>
    <row r="826">
      <c r="E826" s="7"/>
    </row>
    <row r="827">
      <c r="E827" s="7"/>
    </row>
    <row r="828">
      <c r="E828" s="7"/>
    </row>
    <row r="829">
      <c r="E829" s="7"/>
    </row>
    <row r="830">
      <c r="E830" s="7"/>
    </row>
    <row r="831">
      <c r="E831" s="7"/>
    </row>
    <row r="832">
      <c r="E832" s="7"/>
    </row>
    <row r="833">
      <c r="E833" s="7"/>
    </row>
    <row r="834">
      <c r="E834" s="7"/>
    </row>
    <row r="835">
      <c r="E835" s="7"/>
    </row>
    <row r="836">
      <c r="E836" s="7"/>
    </row>
    <row r="837">
      <c r="E837" s="7"/>
    </row>
    <row r="838">
      <c r="E838" s="7"/>
    </row>
    <row r="839">
      <c r="E839" s="7"/>
    </row>
    <row r="840">
      <c r="E840" s="7"/>
    </row>
    <row r="841">
      <c r="E841" s="7"/>
    </row>
    <row r="842">
      <c r="E842" s="7"/>
    </row>
    <row r="843">
      <c r="E843" s="7"/>
    </row>
    <row r="844">
      <c r="E844" s="7"/>
    </row>
    <row r="845">
      <c r="E845" s="7"/>
    </row>
    <row r="846">
      <c r="E846" s="7"/>
    </row>
    <row r="847">
      <c r="E847" s="7"/>
    </row>
    <row r="848">
      <c r="E848" s="7"/>
    </row>
    <row r="849">
      <c r="E849" s="7"/>
    </row>
    <row r="850">
      <c r="E850" s="7"/>
    </row>
    <row r="851">
      <c r="E851" s="7"/>
    </row>
    <row r="852">
      <c r="E852" s="7"/>
    </row>
    <row r="853">
      <c r="E853" s="7"/>
    </row>
    <row r="854">
      <c r="E854" s="7"/>
    </row>
    <row r="855">
      <c r="E855" s="7"/>
    </row>
    <row r="856">
      <c r="E856" s="7"/>
    </row>
    <row r="857">
      <c r="E857" s="7"/>
    </row>
    <row r="858">
      <c r="E858" s="7"/>
    </row>
    <row r="859">
      <c r="E859" s="7"/>
    </row>
    <row r="860">
      <c r="E860" s="7"/>
    </row>
    <row r="861">
      <c r="E861" s="7"/>
    </row>
    <row r="862">
      <c r="E862" s="7"/>
    </row>
    <row r="863">
      <c r="E863" s="7"/>
    </row>
    <row r="864">
      <c r="E864" s="7"/>
    </row>
    <row r="865">
      <c r="E865" s="7"/>
    </row>
    <row r="866">
      <c r="E866" s="7"/>
    </row>
    <row r="867">
      <c r="E867" s="7"/>
    </row>
    <row r="868">
      <c r="E868" s="7"/>
    </row>
    <row r="869">
      <c r="E869" s="7"/>
    </row>
    <row r="870">
      <c r="E870" s="7"/>
    </row>
    <row r="871">
      <c r="E871" s="7"/>
    </row>
    <row r="872">
      <c r="E872" s="7"/>
    </row>
    <row r="873">
      <c r="E873" s="7"/>
    </row>
    <row r="874">
      <c r="E874" s="7"/>
    </row>
    <row r="875">
      <c r="E875" s="7"/>
    </row>
    <row r="876">
      <c r="E876" s="7"/>
    </row>
    <row r="877">
      <c r="E877" s="7"/>
    </row>
    <row r="878">
      <c r="E878" s="7"/>
    </row>
    <row r="879">
      <c r="E879" s="7"/>
    </row>
    <row r="880">
      <c r="E880" s="7"/>
    </row>
    <row r="881">
      <c r="E881" s="7"/>
    </row>
    <row r="882">
      <c r="E882" s="7"/>
    </row>
    <row r="883">
      <c r="E883" s="7"/>
    </row>
    <row r="884">
      <c r="E884" s="7"/>
    </row>
    <row r="885">
      <c r="E885" s="7"/>
    </row>
    <row r="886">
      <c r="E886" s="7"/>
    </row>
    <row r="887">
      <c r="E887" s="7"/>
    </row>
    <row r="888">
      <c r="E888" s="7"/>
    </row>
    <row r="889">
      <c r="E889" s="7"/>
    </row>
    <row r="890">
      <c r="E890" s="7"/>
    </row>
    <row r="891">
      <c r="E891" s="7"/>
    </row>
    <row r="892">
      <c r="E892" s="7"/>
    </row>
    <row r="893">
      <c r="E893" s="7"/>
    </row>
    <row r="894">
      <c r="E894" s="7"/>
    </row>
    <row r="895">
      <c r="E895" s="7"/>
    </row>
    <row r="896">
      <c r="E896" s="7"/>
    </row>
    <row r="897">
      <c r="E897" s="7"/>
    </row>
    <row r="898">
      <c r="E898" s="7"/>
    </row>
    <row r="899">
      <c r="E899" s="7"/>
    </row>
    <row r="900">
      <c r="E900" s="7"/>
    </row>
    <row r="901">
      <c r="E901" s="7"/>
    </row>
    <row r="902">
      <c r="E902" s="7"/>
    </row>
    <row r="903">
      <c r="E903" s="7"/>
    </row>
    <row r="904">
      <c r="E904" s="7"/>
    </row>
    <row r="905">
      <c r="E905" s="7"/>
    </row>
    <row r="906">
      <c r="E906" s="7"/>
    </row>
    <row r="907">
      <c r="E907" s="7"/>
    </row>
    <row r="908">
      <c r="E908" s="7"/>
    </row>
    <row r="909">
      <c r="E909" s="7"/>
    </row>
    <row r="910">
      <c r="E910" s="7"/>
    </row>
    <row r="911">
      <c r="E911" s="7"/>
    </row>
    <row r="912">
      <c r="E912" s="7"/>
    </row>
    <row r="913">
      <c r="E913" s="7"/>
    </row>
    <row r="914">
      <c r="E914" s="7"/>
    </row>
    <row r="915">
      <c r="E915" s="7"/>
    </row>
    <row r="916">
      <c r="E916" s="7"/>
    </row>
    <row r="917">
      <c r="E917" s="7"/>
    </row>
    <row r="918">
      <c r="E918" s="7"/>
    </row>
    <row r="919">
      <c r="E919" s="7"/>
    </row>
    <row r="920">
      <c r="E920" s="7"/>
    </row>
    <row r="921">
      <c r="E921" s="7"/>
    </row>
    <row r="922">
      <c r="E922" s="7"/>
    </row>
    <row r="923">
      <c r="E923" s="7"/>
    </row>
    <row r="924">
      <c r="E924" s="7"/>
    </row>
    <row r="925">
      <c r="E925" s="7"/>
    </row>
    <row r="926">
      <c r="E926" s="7"/>
    </row>
    <row r="927">
      <c r="E927" s="7"/>
    </row>
    <row r="928">
      <c r="E928" s="7"/>
    </row>
    <row r="929">
      <c r="E929" s="7"/>
    </row>
    <row r="930">
      <c r="E930" s="7"/>
    </row>
    <row r="931">
      <c r="E931" s="7"/>
    </row>
    <row r="932">
      <c r="E932" s="7"/>
    </row>
    <row r="933">
      <c r="E933" s="7"/>
    </row>
    <row r="934">
      <c r="E934" s="7"/>
    </row>
    <row r="935">
      <c r="E935" s="7"/>
    </row>
    <row r="936">
      <c r="E936" s="7"/>
    </row>
    <row r="937">
      <c r="E937" s="7"/>
    </row>
    <row r="938">
      <c r="E938" s="7"/>
    </row>
    <row r="939">
      <c r="E939" s="7"/>
    </row>
    <row r="940">
      <c r="E940" s="7"/>
    </row>
    <row r="941">
      <c r="E941" s="7"/>
    </row>
    <row r="942">
      <c r="E942" s="7"/>
    </row>
    <row r="943">
      <c r="E943" s="7"/>
    </row>
    <row r="944">
      <c r="E944" s="7"/>
    </row>
    <row r="945">
      <c r="E945" s="7"/>
    </row>
    <row r="946">
      <c r="E946" s="7"/>
    </row>
    <row r="947">
      <c r="E947" s="7"/>
    </row>
    <row r="948">
      <c r="E948" s="7"/>
    </row>
    <row r="949">
      <c r="E949" s="7"/>
    </row>
    <row r="950">
      <c r="E950" s="7"/>
    </row>
    <row r="951">
      <c r="E951" s="7"/>
    </row>
    <row r="952">
      <c r="E952" s="7"/>
    </row>
    <row r="953">
      <c r="E953" s="7"/>
    </row>
    <row r="954">
      <c r="E954" s="7"/>
    </row>
    <row r="955">
      <c r="E955" s="7"/>
    </row>
    <row r="956">
      <c r="E956" s="7"/>
    </row>
    <row r="957">
      <c r="E957" s="7"/>
    </row>
    <row r="958">
      <c r="E958" s="7"/>
    </row>
    <row r="959">
      <c r="E959" s="7"/>
    </row>
    <row r="960">
      <c r="E960" s="7"/>
    </row>
    <row r="961">
      <c r="E961" s="7"/>
    </row>
    <row r="962">
      <c r="E962" s="7"/>
    </row>
    <row r="963">
      <c r="E963" s="7"/>
    </row>
    <row r="964">
      <c r="E964" s="7"/>
    </row>
    <row r="965">
      <c r="E965" s="7"/>
    </row>
    <row r="966">
      <c r="E966" s="7"/>
    </row>
    <row r="967">
      <c r="E967" s="7"/>
    </row>
    <row r="968">
      <c r="E968" s="7"/>
    </row>
    <row r="969">
      <c r="E969" s="7"/>
    </row>
    <row r="970">
      <c r="E970" s="7"/>
    </row>
    <row r="971">
      <c r="E971" s="7"/>
    </row>
    <row r="972">
      <c r="E972" s="7"/>
    </row>
    <row r="973">
      <c r="E973" s="7"/>
    </row>
    <row r="974">
      <c r="E974" s="7"/>
    </row>
    <row r="975">
      <c r="E975" s="7"/>
    </row>
    <row r="976">
      <c r="E976" s="7"/>
    </row>
    <row r="977">
      <c r="E977" s="7"/>
    </row>
    <row r="978">
      <c r="E978" s="7"/>
    </row>
    <row r="979">
      <c r="E979" s="7"/>
    </row>
    <row r="980">
      <c r="E980" s="7"/>
    </row>
    <row r="981">
      <c r="E981" s="7"/>
    </row>
    <row r="982">
      <c r="E982" s="7"/>
    </row>
    <row r="983">
      <c r="E983" s="7"/>
    </row>
    <row r="984">
      <c r="E984" s="7"/>
    </row>
    <row r="985">
      <c r="E985" s="7"/>
    </row>
    <row r="986">
      <c r="E986" s="7"/>
    </row>
    <row r="987">
      <c r="E987" s="7"/>
    </row>
    <row r="988">
      <c r="E988" s="7"/>
    </row>
    <row r="989">
      <c r="E989" s="7"/>
    </row>
    <row r="990">
      <c r="E990" s="7"/>
    </row>
    <row r="991">
      <c r="E991" s="7"/>
    </row>
    <row r="992">
      <c r="E992" s="7"/>
    </row>
    <row r="993">
      <c r="E993" s="7"/>
    </row>
    <row r="994">
      <c r="E994" s="7"/>
    </row>
    <row r="995">
      <c r="E995" s="7"/>
    </row>
    <row r="996">
      <c r="E996" s="7"/>
    </row>
    <row r="997">
      <c r="E997" s="7"/>
    </row>
    <row r="998">
      <c r="E998" s="7"/>
    </row>
    <row r="999">
      <c r="E999" s="7"/>
    </row>
    <row r="1000">
      <c r="E1000" s="7"/>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0</v>
      </c>
      <c r="B1" s="1" t="s">
        <v>2</v>
      </c>
      <c r="C1" s="1" t="s">
        <v>3</v>
      </c>
      <c r="D1" s="1" t="s">
        <v>1</v>
      </c>
      <c r="E1" s="2" t="s">
        <v>4</v>
      </c>
      <c r="F1" s="1" t="s">
        <v>6</v>
      </c>
      <c r="G1" s="1" t="s">
        <v>7</v>
      </c>
      <c r="I1" s="1" t="s">
        <v>9</v>
      </c>
      <c r="K1" s="1" t="s">
        <v>3</v>
      </c>
      <c r="L1" s="1" t="s">
        <v>11</v>
      </c>
      <c r="M1" s="1" t="s">
        <v>13</v>
      </c>
      <c r="N1" s="1" t="s">
        <v>14</v>
      </c>
      <c r="O1" s="1" t="s">
        <v>15</v>
      </c>
      <c r="P1" s="1" t="s">
        <v>16</v>
      </c>
      <c r="Q1" s="1" t="s">
        <v>17</v>
      </c>
    </row>
    <row r="2">
      <c r="A2" s="1" t="s">
        <v>295</v>
      </c>
      <c r="B2" s="1">
        <v>24.0</v>
      </c>
      <c r="C2" s="1" t="str">
        <f t="array" ref="C2">IF(NOT(ISBLANK($A2)), (_xlfn.XLOOKUP($A2,Index!$B$2:$B$995,Index!$C$2:$C$995,"Not Found")),"")</f>
        <v>Energy</v>
      </c>
      <c r="D2" s="1" t="str">
        <f t="array" ref="D2">IF(NOT(ISBLANK(A2)), (_xlfn.XLOOKUP($A2,Index!$B$2:B$995,Index!$A$2:$A$995,"Not Found")),"")</f>
        <v>base1-101</v>
      </c>
      <c r="E2" s="2" t="str">
        <f t="array" ref="E2">IF(NOT(ISBLANK($A2)), (_xlfn.XLOOKUP($A2,Index!$B$2:$B$995,Index!$D$2:$D$995,"Not Found")),"")</f>
        <v/>
      </c>
      <c r="F2" s="1" t="str">
        <f t="array" ref="F2">IF(NOT(ISBLANK($A2)), (_xlfn.XLOOKUP($A2,Index!$B$2:$B$995,Index!$E$2:$E$995,"Not Found")),"")</f>
        <v/>
      </c>
      <c r="G2" s="1">
        <f t="array" ref="G2">IF(NOT(ISBLANK(A2)), ((_xlfn.XLOOKUP(A2,Index!$B$2:$B$995,Index!$F$2:$F$995,"Not Found"))*B2),"")</f>
        <v>0</v>
      </c>
      <c r="I2" s="6">
        <f>SUM(B2:B38)</f>
        <v>60</v>
      </c>
      <c r="K2" s="1" t="s">
        <v>160</v>
      </c>
      <c r="L2" s="6">
        <f t="shared" ref="L2:L6" si="1">IF(NOT(ISBLANK(K2)), SUM(M2:P2), "")</f>
        <v>17</v>
      </c>
      <c r="M2" s="1">
        <f t="shared" ref="M2:M5" si="2">IF(NOT(ISBLANK($K2)), SUMIFS($B$2:$B$32, $E$2:$E$32, "B", $C$2:$C$32,$K2), "")</f>
        <v>9</v>
      </c>
      <c r="N2" s="1">
        <f t="shared" ref="N2:N5" si="3">IF(NOT(ISBLANK($K2)),SUMIFS($B$2:$B$32,$E$2:$E$32, "1", $C$2:$C$32,$K2,$F$2:$F$32,"N"), "")</f>
        <v>0</v>
      </c>
      <c r="O2" s="1">
        <f t="shared" ref="O2:O5" si="4">IF(NOT(ISBLANK($K2)),SUMIFS($B$2:$B$32,$E$2:$E$32, "1", $C$2:$C$32,$K2,$F$2:$F$32,"Y"), "")</f>
        <v>5</v>
      </c>
      <c r="P2" s="1">
        <f t="shared" ref="P2:P5" si="5">IF(NOT(ISBLANK($K2)),SUMIFS($B$2:$B$32,$E$2:$E$32, "2", $C$2:$C$32,$K2), "")</f>
        <v>3</v>
      </c>
      <c r="Q2" s="1">
        <f t="shared" ref="Q2:Q5" si="6">IF(NOT(ISBLANK($K2)),SUMIFS($B$2:$B$32,$E$2:$E$32, "B", $C$2:$C$32,$K2,$F$2:$F$32,"N"), "")</f>
        <v>1</v>
      </c>
    </row>
    <row r="3">
      <c r="A3" s="1" t="s">
        <v>478</v>
      </c>
      <c r="B3" s="1">
        <v>4.0</v>
      </c>
      <c r="C3" s="1" t="str">
        <f t="array" ref="C3">IF(NOT(ISBLANK($A3)), (_xlfn.XLOOKUP($A3,Index!$B$2:$B$995,Index!$C$2:$C$995,"Not Found")),"")</f>
        <v>P</v>
      </c>
      <c r="D3" s="1" t="str">
        <f t="array" ref="D3">IF(NOT(ISBLANK(A3)), (_xlfn.XLOOKUP($A3,Index!$B$2:B$995,Index!$A$2:$A$995,"Not Found")),"")</f>
        <v>base3-33</v>
      </c>
      <c r="E3" s="2" t="str">
        <f t="array" ref="E3">IF(NOT(ISBLANK($A3)), (_xlfn.XLOOKUP($A3,Index!$B$2:$B$995,Index!$D$2:$D$995,"Not Found")),"")</f>
        <v>b</v>
      </c>
      <c r="F3" s="1" t="str">
        <f t="array" ref="F3">IF(NOT(ISBLANK($A3)), (_xlfn.XLOOKUP($A3,Index!$B$2:$B$995,Index!$E$2:$E$995,"Not Found")),"")</f>
        <v>y</v>
      </c>
      <c r="G3" s="1">
        <f t="array" ref="G3">IF(NOT(ISBLANK(A3)), ((_xlfn.XLOOKUP(A3,Index!$B$2:$B$995,Index!$F$2:$F$995,"Not Found"))*B3),"")</f>
        <v>0</v>
      </c>
      <c r="K3" s="1" t="s">
        <v>26</v>
      </c>
      <c r="L3" s="6">
        <f t="shared" si="1"/>
        <v>4</v>
      </c>
      <c r="M3" s="1">
        <f t="shared" si="2"/>
        <v>4</v>
      </c>
      <c r="N3" s="1">
        <f t="shared" si="3"/>
        <v>0</v>
      </c>
      <c r="O3" s="1">
        <f t="shared" si="4"/>
        <v>0</v>
      </c>
      <c r="P3" s="1">
        <f t="shared" si="5"/>
        <v>0</v>
      </c>
      <c r="Q3" s="1">
        <f t="shared" si="6"/>
        <v>4</v>
      </c>
    </row>
    <row r="4">
      <c r="A4" s="1" t="s">
        <v>488</v>
      </c>
      <c r="B4" s="1">
        <v>3.0</v>
      </c>
      <c r="C4" s="1" t="str">
        <f t="array" ref="C4">IF(NOT(ISBLANK($A4)), (_xlfn.XLOOKUP($A4,Index!$B$2:$B$995,Index!$C$2:$C$995,"Not Found")),"")</f>
        <v>P</v>
      </c>
      <c r="D4" s="1" t="str">
        <f t="array" ref="D4">IF(NOT(ISBLANK(A4)), (_xlfn.XLOOKUP($A4,Index!$B$2:B$995,Index!$A$2:$A$995,"Not Found")),"")</f>
        <v>base3-6</v>
      </c>
      <c r="E4" s="2">
        <f t="array" ref="E4">IF(NOT(ISBLANK($A4)), (_xlfn.XLOOKUP($A4,Index!$B$2:$B$995,Index!$D$2:$D$995,"Not Found")),"")</f>
        <v>1</v>
      </c>
      <c r="F4" s="1" t="str">
        <f t="array" ref="F4">IF(NOT(ISBLANK($A4)), (_xlfn.XLOOKUP($A4,Index!$B$2:$B$995,Index!$E$2:$E$995,"Not Found")),"")</f>
        <v>y</v>
      </c>
      <c r="G4" s="1">
        <f t="array" ref="G4">IF(NOT(ISBLANK(A4)), ((_xlfn.XLOOKUP(A4,Index!$B$2:$B$995,Index!$F$2:$F$995,"Not Found"))*B4),"")</f>
        <v>4.5</v>
      </c>
      <c r="L4" s="6" t="str">
        <f t="shared" si="1"/>
        <v/>
      </c>
      <c r="M4" s="1" t="str">
        <f t="shared" si="2"/>
        <v/>
      </c>
      <c r="N4" s="1" t="str">
        <f t="shared" si="3"/>
        <v/>
      </c>
      <c r="O4" s="1" t="str">
        <f t="shared" si="4"/>
        <v/>
      </c>
      <c r="P4" s="1" t="str">
        <f t="shared" si="5"/>
        <v/>
      </c>
      <c r="Q4" s="1" t="str">
        <f t="shared" si="6"/>
        <v/>
      </c>
    </row>
    <row r="5">
      <c r="A5" s="1" t="s">
        <v>481</v>
      </c>
      <c r="B5" s="1">
        <v>2.0</v>
      </c>
      <c r="C5" s="1" t="str">
        <f t="array" ref="C5">IF(NOT(ISBLANK($A5)), (_xlfn.XLOOKUP($A5,Index!$B$2:$B$995,Index!$C$2:$C$995,"Not Found")),"")</f>
        <v>P</v>
      </c>
      <c r="D5" s="1" t="str">
        <f t="array" ref="D5">IF(NOT(ISBLANK(A5)), (_xlfn.XLOOKUP($A5,Index!$B$2:B$995,Index!$A$2:$A$995,"Not Found")),"")</f>
        <v>base3-5</v>
      </c>
      <c r="E5" s="2">
        <f t="array" ref="E5">IF(NOT(ISBLANK($A5)), (_xlfn.XLOOKUP($A5,Index!$B$2:$B$995,Index!$D$2:$D$995,"Not Found")),"")</f>
        <v>2</v>
      </c>
      <c r="F5" s="1" t="str">
        <f t="array" ref="F5">IF(NOT(ISBLANK($A5)), (_xlfn.XLOOKUP($A5,Index!$B$2:$B$995,Index!$E$2:$E$995,"Not Found")),"")</f>
        <v/>
      </c>
      <c r="G5" s="1">
        <f t="array" ref="G5">IF(NOT(ISBLANK(A5)), ((_xlfn.XLOOKUP(A5,Index!$B$2:$B$995,Index!$F$2:$F$995,"Not Found"))*B5),"")</f>
        <v>6</v>
      </c>
      <c r="L5" s="6" t="str">
        <f t="shared" si="1"/>
        <v/>
      </c>
      <c r="M5" s="1" t="str">
        <f t="shared" si="2"/>
        <v/>
      </c>
      <c r="N5" s="1" t="str">
        <f t="shared" si="3"/>
        <v/>
      </c>
      <c r="O5" s="1" t="str">
        <f t="shared" si="4"/>
        <v/>
      </c>
      <c r="P5" s="1" t="str">
        <f t="shared" si="5"/>
        <v/>
      </c>
      <c r="Q5" s="1" t="str">
        <f t="shared" si="6"/>
        <v/>
      </c>
    </row>
    <row r="6">
      <c r="A6" s="1" t="s">
        <v>469</v>
      </c>
      <c r="B6" s="1">
        <v>3.0</v>
      </c>
      <c r="C6" s="1" t="str">
        <f t="array" ref="C6">IF(NOT(ISBLANK($A6)), (_xlfn.XLOOKUP($A6,Index!$B$2:$B$995,Index!$C$2:$C$995,"Not Found")),"")</f>
        <v>P</v>
      </c>
      <c r="D6" s="1" t="str">
        <f t="array" ref="D6">IF(NOT(ISBLANK(A6)), (_xlfn.XLOOKUP($A6,Index!$B$2:B$995,Index!$A$2:$A$995,"Not Found")),"")</f>
        <v>base1-43</v>
      </c>
      <c r="E6" s="2" t="str">
        <f t="array" ref="E6">IF(NOT(ISBLANK($A6)), (_xlfn.XLOOKUP($A6,Index!$B$2:$B$995,Index!$D$2:$D$995,"Not Found")),"")</f>
        <v>b</v>
      </c>
      <c r="F6" s="1" t="str">
        <f t="array" ref="F6">IF(NOT(ISBLANK($A6)), (_xlfn.XLOOKUP($A6,Index!$B$2:$B$995,Index!$E$2:$E$995,"Not Found")),"")</f>
        <v>y</v>
      </c>
      <c r="G6" s="1">
        <f t="array" ref="G6">IF(NOT(ISBLANK(A6)), ((_xlfn.XLOOKUP(A6,Index!$B$2:$B$995,Index!$F$2:$F$995,"Not Found"))*B6),"")</f>
        <v>0</v>
      </c>
      <c r="L6" s="6"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501</v>
      </c>
      <c r="B7" s="1">
        <v>2.0</v>
      </c>
      <c r="C7" s="1" t="str">
        <f t="array" ref="C7">IF(NOT(ISBLANK($A7)), (_xlfn.XLOOKUP($A7,Index!$B$2:$B$995,Index!$C$2:$C$995,"Not Found")),"")</f>
        <v>P</v>
      </c>
      <c r="D7" s="1" t="str">
        <f t="array" ref="D7">IF(NOT(ISBLANK(A7)), (_xlfn.XLOOKUP($A7,Index!$B$2:B$995,Index!$A$2:$A$995,"Not Found")),"")</f>
        <v>base1-32</v>
      </c>
      <c r="E7" s="2">
        <f t="array" ref="E7">IF(NOT(ISBLANK($A7)), (_xlfn.XLOOKUP($A7,Index!$B$2:$B$995,Index!$D$2:$D$995,"Not Found")),"")</f>
        <v>1</v>
      </c>
      <c r="F7" s="1" t="str">
        <f t="array" ref="F7">IF(NOT(ISBLANK($A7)), (_xlfn.XLOOKUP($A7,Index!$B$2:$B$995,Index!$E$2:$E$995,"Not Found")),"")</f>
        <v>y</v>
      </c>
      <c r="G7" s="1">
        <f t="array" ref="G7">IF(NOT(ISBLANK(A7)), ((_xlfn.XLOOKUP(A7,Index!$B$2:$B$995,Index!$F$2:$F$995,"Not Found"))*B7),"")</f>
        <v>0</v>
      </c>
      <c r="K7" s="1" t="s">
        <v>724</v>
      </c>
      <c r="L7" s="6">
        <f t="shared" ref="L7:Q7" si="7">SUM(L2:L6)</f>
        <v>21</v>
      </c>
      <c r="M7" s="6">
        <f t="shared" si="7"/>
        <v>13</v>
      </c>
      <c r="N7" s="6">
        <f t="shared" si="7"/>
        <v>0</v>
      </c>
      <c r="O7" s="6">
        <f t="shared" si="7"/>
        <v>5</v>
      </c>
      <c r="P7" s="6">
        <f t="shared" si="7"/>
        <v>3</v>
      </c>
      <c r="Q7" s="6">
        <f t="shared" si="7"/>
        <v>5</v>
      </c>
    </row>
    <row r="8">
      <c r="A8" s="1" t="s">
        <v>471</v>
      </c>
      <c r="B8" s="1">
        <v>1.0</v>
      </c>
      <c r="C8" s="1" t="str">
        <f t="array" ref="C8">IF(NOT(ISBLANK($A8)), (_xlfn.XLOOKUP($A8,Index!$B$2:$B$995,Index!$C$2:$C$995,"Not Found")),"")</f>
        <v>P</v>
      </c>
      <c r="D8" s="1" t="str">
        <f t="array" ref="D8">IF(NOT(ISBLANK(A8)), (_xlfn.XLOOKUP($A8,Index!$B$2:B$995,Index!$A$2:$A$995,"Not Found")),"")</f>
        <v>base1-1</v>
      </c>
      <c r="E8" s="2">
        <f t="array" ref="E8">IF(NOT(ISBLANK($A8)), (_xlfn.XLOOKUP($A8,Index!$B$2:$B$995,Index!$D$2:$D$995,"Not Found")),"")</f>
        <v>2</v>
      </c>
      <c r="F8" s="1" t="str">
        <f t="array" ref="F8">IF(NOT(ISBLANK($A8)), (_xlfn.XLOOKUP($A8,Index!$B$2:$B$995,Index!$E$2:$E$995,"Not Found")),"")</f>
        <v/>
      </c>
      <c r="G8" s="1">
        <f t="array" ref="G8">IF(NOT(ISBLANK(A8)), ((_xlfn.XLOOKUP(A8,Index!$B$2:$B$995,Index!$F$2:$F$995,"Not Found"))*B8),"")</f>
        <v>2.5</v>
      </c>
    </row>
    <row r="9">
      <c r="A9" s="1" t="s">
        <v>25</v>
      </c>
      <c r="B9" s="1">
        <v>1.0</v>
      </c>
      <c r="C9" s="1" t="str">
        <f t="array" ref="C9">IF(NOT(ISBLANK($A9)), (_xlfn.XLOOKUP($A9,Index!$B$2:$B$995,Index!$C$2:$C$995,"Not Found")),"")</f>
        <v>C</v>
      </c>
      <c r="D9" s="1" t="str">
        <f t="array" ref="D9">IF(NOT(ISBLANK(A9)), (_xlfn.XLOOKUP($A9,Index!$B$2:B$995,Index!$A$2:$A$995,"Not Found")),"")</f>
        <v>base1-3</v>
      </c>
      <c r="E9" s="2" t="str">
        <f t="array" ref="E9">IF(NOT(ISBLANK($A9)), (_xlfn.XLOOKUP($A9,Index!$B$2:$B$995,Index!$D$2:$D$995,"Not Found")),"")</f>
        <v>b</v>
      </c>
      <c r="F9" s="1" t="str">
        <f t="array" ref="F9">IF(NOT(ISBLANK($A9)), (_xlfn.XLOOKUP($A9,Index!$B$2:$B$995,Index!$E$2:$E$995,"Not Found")),"")</f>
        <v>n</v>
      </c>
      <c r="G9" s="1">
        <f t="array" ref="G9">IF(NOT(ISBLANK(A9)), ((_xlfn.XLOOKUP(A9,Index!$B$2:$B$995,Index!$F$2:$F$995,"Not Found"))*B9),"")</f>
        <v>1</v>
      </c>
      <c r="M9" s="1" t="s">
        <v>725</v>
      </c>
      <c r="N9" s="1" t="s">
        <v>726</v>
      </c>
      <c r="O9" s="1" t="s">
        <v>727</v>
      </c>
    </row>
    <row r="10">
      <c r="A10" s="1" t="s">
        <v>112</v>
      </c>
      <c r="B10" s="1">
        <v>2.0</v>
      </c>
      <c r="C10" s="1" t="str">
        <f t="array" ref="C10">IF(NOT(ISBLANK($A10)), (_xlfn.XLOOKUP($A10,Index!$B$2:$B$995,Index!$C$2:$C$995,"Not Found")),"")</f>
        <v>C</v>
      </c>
      <c r="D10" s="1" t="str">
        <f t="array" ref="D10">IF(NOT(ISBLANK(A10)), (_xlfn.XLOOKUP($A10,Index!$B$2:B$995,Index!$A$2:$A$995,"Not Found")),"")</f>
        <v>base2-5</v>
      </c>
      <c r="E10" s="2" t="str">
        <f t="array" ref="E10">IF(NOT(ISBLANK($A10)), (_xlfn.XLOOKUP($A10,Index!$B$2:$B$995,Index!$D$2:$D$995,"Not Found")),"")</f>
        <v>b</v>
      </c>
      <c r="F10" s="1" t="str">
        <f t="array" ref="F10">IF(NOT(ISBLANK($A10)), (_xlfn.XLOOKUP($A10,Index!$B$2:$B$995,Index!$E$2:$E$995,"Not Found")),"")</f>
        <v>n</v>
      </c>
      <c r="G10" s="1">
        <f t="array" ref="G10">IF(NOT(ISBLANK(A10)), ((_xlfn.XLOOKUP(A10,Index!$B$2:$B$995,Index!$F$2:$F$995,"Not Found"))*B10),"")</f>
        <v>3</v>
      </c>
      <c r="K10" s="1" t="s">
        <v>728</v>
      </c>
      <c r="L10" s="6">
        <f>SUM(M10:P10)</f>
        <v>15</v>
      </c>
      <c r="M10" s="6">
        <f>IF(NOT(ISBLANK($K10)), SUMIFS($B$2:$B$32,$E$2:$E$32, "C", $C$2:$C$32,"T"), "")</f>
        <v>6</v>
      </c>
      <c r="N10" s="6">
        <f>IF(NOT(ISBLANK($K10)), SUMIFS($B$2:$B$32,$E$2:$E$32, "U", $C$2:$C$32,"T"), "")</f>
        <v>5</v>
      </c>
      <c r="O10" s="6">
        <f>IF(NOT(ISBLANK($K$2)), SUMIFS($B$2:$B$32,$E$2:$E$32, "R", $C$2:$C$32,"T"), "")</f>
        <v>4</v>
      </c>
    </row>
    <row r="11">
      <c r="A11" s="1" t="s">
        <v>163</v>
      </c>
      <c r="B11" s="1">
        <v>1.0</v>
      </c>
      <c r="C11" s="1" t="str">
        <f t="array" ref="C11">IF(NOT(ISBLANK($A11)), (_xlfn.XLOOKUP($A11,Index!$B$2:$B$995,Index!$C$2:$C$995,"Not Found")),"")</f>
        <v>C</v>
      </c>
      <c r="D11" s="1" t="str">
        <f t="array" ref="D11">IF(NOT(ISBLANK(A11)), (_xlfn.XLOOKUP($A11,Index!$B$2:B$995,Index!$A$2:$A$995,"Not Found")),"")</f>
        <v>base2-11</v>
      </c>
      <c r="E11" s="2" t="str">
        <f t="array" ref="E11">IF(NOT(ISBLANK($A11)), (_xlfn.XLOOKUP($A11,Index!$B$2:$B$995,Index!$D$2:$D$995,"Not Found")),"")</f>
        <v>b</v>
      </c>
      <c r="F11" s="1" t="str">
        <f t="array" ref="F11">IF(NOT(ISBLANK($A11)), (_xlfn.XLOOKUP($A11,Index!$B$2:$B$995,Index!$E$2:$E$995,"Not Found")),"")</f>
        <v>n</v>
      </c>
      <c r="G11" s="1">
        <f t="array" ref="G11">IF(NOT(ISBLANK(A11)), ((_xlfn.XLOOKUP(A11,Index!$B$2:$B$995,Index!$F$2:$F$995,"Not Found"))*B11),"")</f>
        <v>1</v>
      </c>
      <c r="K11" s="1" t="s">
        <v>289</v>
      </c>
      <c r="L11" s="1">
        <f>IF(NOT(ISBLANK($K$2)), SUMIFS($B$2:$B$32, $C$2:$C$32,"Energy"), "")</f>
        <v>24</v>
      </c>
    </row>
    <row r="12">
      <c r="A12" s="1" t="s">
        <v>510</v>
      </c>
      <c r="B12" s="1">
        <v>1.0</v>
      </c>
      <c r="C12" s="1" t="str">
        <f t="array" ref="C12">IF(NOT(ISBLANK($A12)), (_xlfn.XLOOKUP($A12,Index!$B$2:$B$995,Index!$C$2:$C$995,"Not Found")),"")</f>
        <v>P</v>
      </c>
      <c r="D12" s="1" t="str">
        <f t="array" ref="D12">IF(NOT(ISBLANK(A12)), (_xlfn.XLOOKUP($A12,Index!$B$2:B$995,Index!$A$2:$A$995,"Not Found")),"")</f>
        <v>basep-12</v>
      </c>
      <c r="E12" s="2" t="str">
        <f t="array" ref="E12">IF(NOT(ISBLANK($A12)), (_xlfn.XLOOKUP($A12,Index!$B$2:$B$995,Index!$D$2:$D$995,"Not Found")),"")</f>
        <v>b</v>
      </c>
      <c r="F12" s="1" t="str">
        <f t="array" ref="F12">IF(NOT(ISBLANK($A12)), (_xlfn.XLOOKUP($A12,Index!$B$2:$B$995,Index!$E$2:$E$995,"Not Found")),"")</f>
        <v>n</v>
      </c>
      <c r="G12" s="1">
        <f t="array" ref="G12">IF(NOT(ISBLANK(A12)), ((_xlfn.XLOOKUP(A12,Index!$B$2:$B$995,Index!$F$2:$F$995,"Not Found"))*B12),"")</f>
        <v>1</v>
      </c>
      <c r="K12" s="1" t="s">
        <v>729</v>
      </c>
      <c r="L12" s="6">
        <f>L7</f>
        <v>21</v>
      </c>
    </row>
    <row r="13">
      <c r="A13" s="1" t="s">
        <v>514</v>
      </c>
      <c r="B13" s="1">
        <v>1.0</v>
      </c>
      <c r="C13" s="1" t="str">
        <f t="array" ref="C13">IF(NOT(ISBLANK($A13)), (_xlfn.XLOOKUP($A13,Index!$B$2:$B$995,Index!$C$2:$C$995,"Not Found")),"")</f>
        <v>P</v>
      </c>
      <c r="D13" s="1" t="str">
        <f t="array" ref="D13">IF(NOT(ISBLANK(A13)), (_xlfn.XLOOKUP($A13,Index!$B$2:B$995,Index!$A$2:$A$995,"Not Found")),"")</f>
        <v>basep-14</v>
      </c>
      <c r="E13" s="2" t="str">
        <f t="array" ref="E13">IF(NOT(ISBLANK($A13)), (_xlfn.XLOOKUP($A13,Index!$B$2:$B$995,Index!$D$2:$D$995,"Not Found")),"")</f>
        <v>b</v>
      </c>
      <c r="F13" s="1" t="str">
        <f t="array" ref="F13">IF(NOT(ISBLANK($A13)), (_xlfn.XLOOKUP($A13,Index!$B$2:$B$995,Index!$E$2:$E$995,"Not Found")),"")</f>
        <v>y</v>
      </c>
      <c r="G13" s="1">
        <f t="array" ref="G13">IF(NOT(ISBLANK(A13)), ((_xlfn.XLOOKUP(A13,Index!$B$2:$B$995,Index!$F$2:$F$995,"Not Found"))*B13),"")</f>
        <v>1</v>
      </c>
    </row>
    <row r="14">
      <c r="A14" s="1" t="s">
        <v>570</v>
      </c>
      <c r="B14" s="1">
        <v>3.0</v>
      </c>
      <c r="C14" s="1" t="str">
        <f t="array" ref="C14">IF(NOT(ISBLANK($A14)), (_xlfn.XLOOKUP($A14,Index!$B$2:$B$995,Index!$C$2:$C$995,"Not Found")),"")</f>
        <v>T</v>
      </c>
      <c r="D14" s="1" t="str">
        <f t="array" ref="D14">IF(NOT(ISBLANK(A14)), (_xlfn.XLOOKUP($A14,Index!$B$2:B$995,Index!$A$2:$A$995,"Not Found")),"")</f>
        <v>base1-91</v>
      </c>
      <c r="E14" s="2" t="str">
        <f t="array" ref="E14">IF(NOT(ISBLANK($A14)), (_xlfn.XLOOKUP($A14,Index!$B$2:$B$995,Index!$D$2:$D$995,"Not Found")),"")</f>
        <v>c</v>
      </c>
      <c r="F14" s="1" t="str">
        <f t="array" ref="F14">IF(NOT(ISBLANK($A14)), (_xlfn.XLOOKUP($A14,Index!$B$2:$B$995,Index!$E$2:$E$995,"Not Found")),"")</f>
        <v/>
      </c>
      <c r="G14" s="1" t="str">
        <f t="array" ref="G14">IF(NOT(ISBLANK(A14)), ((_xlfn.XLOOKUP(A14,Index!$B$2:$B$995,Index!$F$2:$F$995,"Not Found"))*B14),"")</f>
        <v>#VALUE!</v>
      </c>
    </row>
    <row r="15">
      <c r="A15" s="1" t="s">
        <v>638</v>
      </c>
      <c r="B15" s="1">
        <v>2.0</v>
      </c>
      <c r="C15" s="1" t="str">
        <f t="array" ref="C15">IF(NOT(ISBLANK($A15)), (_xlfn.XLOOKUP($A15,Index!$B$2:$B$995,Index!$C$2:$C$995,"Not Found")),"")</f>
        <v>T</v>
      </c>
      <c r="D15" s="1" t="str">
        <f t="array" ref="D15">IF(NOT(ISBLANK(A15)), (_xlfn.XLOOKUP($A15,Index!$B$2:B$995,Index!$A$2:$A$995,"Not Found")),"")</f>
        <v>base1-88</v>
      </c>
      <c r="E15" s="2" t="str">
        <f t="array" ref="E15">IF(NOT(ISBLANK($A15)), (_xlfn.XLOOKUP($A15,Index!$B$2:$B$995,Index!$D$2:$D$995,"Not Found")),"")</f>
        <v>u</v>
      </c>
      <c r="F15" s="1" t="str">
        <f t="array" ref="F15">IF(NOT(ISBLANK($A15)), (_xlfn.XLOOKUP($A15,Index!$B$2:$B$995,Index!$E$2:$E$995,"Not Found")),"")</f>
        <v/>
      </c>
      <c r="G15" s="1" t="str">
        <f t="array" ref="G15">IF(NOT(ISBLANK(A15)), ((_xlfn.XLOOKUP(A15,Index!$B$2:$B$995,Index!$F$2:$F$995,"Not Found"))*B15),"")</f>
        <v>#VALUE!</v>
      </c>
      <c r="K15" s="1" t="s">
        <v>730</v>
      </c>
    </row>
    <row r="16">
      <c r="A16" s="1" t="s">
        <v>610</v>
      </c>
      <c r="B16" s="1">
        <v>1.0</v>
      </c>
      <c r="C16" s="1" t="str">
        <f t="array" ref="C16">IF(NOT(ISBLANK($A16)), (_xlfn.XLOOKUP($A16,Index!$B$2:$B$995,Index!$C$2:$C$995,"Not Found")),"")</f>
        <v>T</v>
      </c>
      <c r="D16" s="1" t="str">
        <f t="array" ref="D16">IF(NOT(ISBLANK(A16)), (_xlfn.XLOOKUP($A16,Index!$B$2:B$995,Index!$A$2:$A$995,"Not Found")),"")</f>
        <v>base1-76</v>
      </c>
      <c r="E16" s="2" t="str">
        <f t="array" ref="E16">IF(NOT(ISBLANK($A16)), (_xlfn.XLOOKUP($A16,Index!$B$2:$B$995,Index!$D$2:$D$995,"Not Found")),"")</f>
        <v>r</v>
      </c>
      <c r="F16" s="1" t="str">
        <f t="array" ref="F16">IF(NOT(ISBLANK($A16)), (_xlfn.XLOOKUP($A16,Index!$B$2:$B$995,Index!$E$2:$E$995,"Not Found")),"")</f>
        <v/>
      </c>
      <c r="G16" s="1" t="str">
        <f t="array" ref="G16">IF(NOT(ISBLANK(A16)), ((_xlfn.XLOOKUP(A16,Index!$B$2:$B$995,Index!$F$2:$F$995,"Not Found"))*B16),"")</f>
        <v>#VALUE!</v>
      </c>
      <c r="K16" s="6" t="str">
        <f t="shared" ref="K16:K20" si="8">K2</f>
        <v>P</v>
      </c>
      <c r="L16" s="1">
        <f t="shared" ref="L16:L19" si="9">IF(NOT(ISBLANK($K2)), SUMIFS($G$2:$G$32, $C$2:$C$32,$K2), "")</f>
        <v>15</v>
      </c>
    </row>
    <row r="17">
      <c r="A17" s="1" t="s">
        <v>612</v>
      </c>
      <c r="B17" s="1">
        <v>1.0</v>
      </c>
      <c r="C17" s="1" t="str">
        <f t="array" ref="C17">IF(NOT(ISBLANK($A17)), (_xlfn.XLOOKUP($A17,Index!$B$2:$B$995,Index!$C$2:$C$995,"Not Found")),"")</f>
        <v>T</v>
      </c>
      <c r="D17" s="1" t="str">
        <f t="array" ref="D17">IF(NOT(ISBLANK(A17)), (_xlfn.XLOOKUP($A17,Index!$B$2:B$995,Index!$A$2:$A$995,"Not Found")),"")</f>
        <v>base1-77</v>
      </c>
      <c r="E17" s="2" t="str">
        <f t="array" ref="E17">IF(NOT(ISBLANK($A17)), (_xlfn.XLOOKUP($A17,Index!$B$2:$B$995,Index!$D$2:$D$995,"Not Found")),"")</f>
        <v>r</v>
      </c>
      <c r="F17" s="1" t="str">
        <f t="array" ref="F17">IF(NOT(ISBLANK($A17)), (_xlfn.XLOOKUP($A17,Index!$B$2:$B$995,Index!$E$2:$E$995,"Not Found")),"")</f>
        <v/>
      </c>
      <c r="G17" s="1" t="str">
        <f t="array" ref="G17">IF(NOT(ISBLANK(A17)), ((_xlfn.XLOOKUP(A17,Index!$B$2:$B$995,Index!$F$2:$F$995,"Not Found"))*B17),"")</f>
        <v>#VALUE!</v>
      </c>
      <c r="K17" s="6" t="str">
        <f t="shared" si="8"/>
        <v>C</v>
      </c>
      <c r="L17" s="1">
        <f t="shared" si="9"/>
        <v>5</v>
      </c>
    </row>
    <row r="18">
      <c r="A18" s="1" t="s">
        <v>640</v>
      </c>
      <c r="B18" s="1">
        <v>1.0</v>
      </c>
      <c r="C18" s="1" t="str">
        <f t="array" ref="C18">IF(NOT(ISBLANK($A18)), (_xlfn.XLOOKUP($A18,Index!$B$2:$B$995,Index!$C$2:$C$995,"Not Found")),"")</f>
        <v>T</v>
      </c>
      <c r="D18" s="1" t="str">
        <f t="array" ref="D18">IF(NOT(ISBLANK(A18)), (_xlfn.XLOOKUP($A18,Index!$B$2:B$995,Index!$A$2:$A$995,"Not Found")),"")</f>
        <v>base1-89</v>
      </c>
      <c r="E18" s="2" t="str">
        <f t="array" ref="E18">IF(NOT(ISBLANK($A18)), (_xlfn.XLOOKUP($A18,Index!$B$2:$B$995,Index!$D$2:$D$995,"Not Found")),"")</f>
        <v>u</v>
      </c>
      <c r="F18" s="1" t="str">
        <f t="array" ref="F18">IF(NOT(ISBLANK($A18)), (_xlfn.XLOOKUP($A18,Index!$B$2:$B$995,Index!$E$2:$E$995,"Not Found")),"")</f>
        <v/>
      </c>
      <c r="G18" s="1" t="str">
        <f t="array" ref="G18">IF(NOT(ISBLANK(A18)), ((_xlfn.XLOOKUP(A18,Index!$B$2:$B$995,Index!$F$2:$F$995,"Not Found"))*B18),"")</f>
        <v>#VALUE!</v>
      </c>
      <c r="K18" s="6" t="str">
        <f t="shared" si="8"/>
        <v/>
      </c>
      <c r="L18" s="1" t="str">
        <f t="shared" si="9"/>
        <v/>
      </c>
    </row>
    <row r="19">
      <c r="A19" s="1" t="s">
        <v>642</v>
      </c>
      <c r="B19" s="1">
        <v>2.0</v>
      </c>
      <c r="C19" s="1" t="str">
        <f t="array" ref="C19">IF(NOT(ISBLANK($A19)), (_xlfn.XLOOKUP($A19,Index!$B$2:$B$995,Index!$C$2:$C$995,"Not Found")),"")</f>
        <v>T</v>
      </c>
      <c r="D19" s="1" t="str">
        <f t="array" ref="D19">IF(NOT(ISBLANK(A19)), (_xlfn.XLOOKUP($A19,Index!$B$2:B$995,Index!$A$2:$A$995,"Not Found")),"")</f>
        <v>base1-90</v>
      </c>
      <c r="E19" s="2" t="str">
        <f t="array" ref="E19">IF(NOT(ISBLANK($A19)), (_xlfn.XLOOKUP($A19,Index!$B$2:$B$995,Index!$D$2:$D$995,"Not Found")),"")</f>
        <v>u</v>
      </c>
      <c r="F19" s="1" t="str">
        <f t="array" ref="F19">IF(NOT(ISBLANK($A19)), (_xlfn.XLOOKUP($A19,Index!$B$2:$B$995,Index!$E$2:$E$995,"Not Found")),"")</f>
        <v/>
      </c>
      <c r="G19" s="1" t="str">
        <f t="array" ref="G19">IF(NOT(ISBLANK(A19)), ((_xlfn.XLOOKUP(A19,Index!$B$2:$B$995,Index!$F$2:$F$995,"Not Found"))*B19),"")</f>
        <v>#VALUE!</v>
      </c>
      <c r="K19" s="6" t="str">
        <f t="shared" si="8"/>
        <v/>
      </c>
      <c r="L19" s="1" t="str">
        <f t="shared" si="9"/>
        <v/>
      </c>
    </row>
    <row r="20">
      <c r="A20" s="1" t="s">
        <v>593</v>
      </c>
      <c r="B20" s="1">
        <v>1.0</v>
      </c>
      <c r="C20" s="1" t="str">
        <f t="array" ref="C20">IF(NOT(ISBLANK($A20)), (_xlfn.XLOOKUP($A20,Index!$B$2:$B$995,Index!$C$2:$C$995,"Not Found")),"")</f>
        <v>T</v>
      </c>
      <c r="D20" s="1" t="str">
        <f t="array" ref="D20">IF(NOT(ISBLANK(A20)), (_xlfn.XLOOKUP($A20,Index!$B$2:B$995,Index!$A$2:$A$995,"Not Found")),"")</f>
        <v>base1-95</v>
      </c>
      <c r="E20" s="2" t="str">
        <f t="array" ref="E20">IF(NOT(ISBLANK($A20)), (_xlfn.XLOOKUP($A20,Index!$B$2:$B$995,Index!$D$2:$D$995,"Not Found")),"")</f>
        <v>c</v>
      </c>
      <c r="F20" s="1" t="str">
        <f t="array" ref="F20">IF(NOT(ISBLANK($A20)), (_xlfn.XLOOKUP($A20,Index!$B$2:$B$995,Index!$E$2:$E$995,"Not Found")),"")</f>
        <v/>
      </c>
      <c r="G20" s="1" t="str">
        <f t="array" ref="G20">IF(NOT(ISBLANK(A20)), ((_xlfn.XLOOKUP(A20,Index!$B$2:$B$995,Index!$F$2:$F$995,"Not Found"))*B20),"")</f>
        <v>#VALUE!</v>
      </c>
      <c r="K20" s="6" t="str">
        <f t="shared" si="8"/>
        <v/>
      </c>
    </row>
    <row r="21">
      <c r="A21" s="1" t="s">
        <v>614</v>
      </c>
      <c r="B21" s="1">
        <v>2.0</v>
      </c>
      <c r="C21" s="1" t="str">
        <f t="array" ref="C21">IF(NOT(ISBLANK($A21)), (_xlfn.XLOOKUP($A21,Index!$B$2:$B$995,Index!$C$2:$C$995,"Not Found")),"")</f>
        <v>T</v>
      </c>
      <c r="D21" s="1" t="str">
        <f t="array" ref="D21">IF(NOT(ISBLANK(A21)), (_xlfn.XLOOKUP($A21,Index!$B$2:B$995,Index!$A$2:$A$995,"Not Found")),"")</f>
        <v>base1-78</v>
      </c>
      <c r="E21" s="2" t="str">
        <f t="array" ref="E21">IF(NOT(ISBLANK($A21)), (_xlfn.XLOOKUP($A21,Index!$B$2:$B$995,Index!$D$2:$D$995,"Not Found")),"")</f>
        <v>r</v>
      </c>
      <c r="F21" s="1" t="str">
        <f t="array" ref="F21">IF(NOT(ISBLANK($A21)), (_xlfn.XLOOKUP($A21,Index!$B$2:$B$995,Index!$E$2:$E$995,"Not Found")),"")</f>
        <v/>
      </c>
      <c r="G21" s="1" t="str">
        <f t="array" ref="G21">IF(NOT(ISBLANK(A21)), ((_xlfn.XLOOKUP(A21,Index!$B$2:$B$995,Index!$F$2:$F$995,"Not Found"))*B21),"")</f>
        <v>#VALUE!</v>
      </c>
      <c r="K21" s="1" t="s">
        <v>731</v>
      </c>
      <c r="L21" s="6">
        <f>SUM(L15:L19)</f>
        <v>20</v>
      </c>
    </row>
    <row r="22">
      <c r="A22" s="1" t="s">
        <v>587</v>
      </c>
      <c r="B22" s="1">
        <v>1.0</v>
      </c>
      <c r="C22" s="1" t="str">
        <f t="array" ref="C22">IF(NOT(ISBLANK($A22)), (_xlfn.XLOOKUP($A22,Index!$B$2:$B$995,Index!$C$2:$C$995,"Not Found")),"")</f>
        <v>T</v>
      </c>
      <c r="D22" s="1" t="str">
        <f t="array" ref="D22">IF(NOT(ISBLANK(A22)), (_xlfn.XLOOKUP($A22,Index!$B$2:B$995,Index!$A$2:$A$995,"Not Found")),"")</f>
        <v>base2-64</v>
      </c>
      <c r="E22" s="2" t="str">
        <f t="array" ref="E22">IF(NOT(ISBLANK($A22)), (_xlfn.XLOOKUP($A22,Index!$B$2:$B$995,Index!$D$2:$D$995,"Not Found")),"")</f>
        <v>c</v>
      </c>
      <c r="F22" s="1" t="str">
        <f t="array" ref="F22">IF(NOT(ISBLANK($A22)), (_xlfn.XLOOKUP($A22,Index!$B$2:$B$995,Index!$E$2:$E$995,"Not Found")),"")</f>
        <v/>
      </c>
      <c r="G22" s="1" t="str">
        <f t="array" ref="G22">IF(NOT(ISBLANK(A22)), ((_xlfn.XLOOKUP(A22,Index!$B$2:$B$995,Index!$F$2:$F$995,"Not Found"))*B22),"")</f>
        <v>#VALUE!</v>
      </c>
    </row>
    <row r="23">
      <c r="A23" s="1" t="s">
        <v>589</v>
      </c>
      <c r="B23" s="1">
        <v>1.0</v>
      </c>
      <c r="C23" s="1" t="str">
        <f t="array" ref="C23">IF(NOT(ISBLANK($A23)), (_xlfn.XLOOKUP($A23,Index!$B$2:$B$995,Index!$C$2:$C$995,"Not Found")),"")</f>
        <v>T</v>
      </c>
      <c r="D23" s="1" t="str">
        <f t="array" ref="D23">IF(NOT(ISBLANK(A23)), (_xlfn.XLOOKUP($A23,Index!$B$2:B$995,Index!$A$2:$A$995,"Not Found")),"")</f>
        <v>base1-94</v>
      </c>
      <c r="E23" s="2" t="str">
        <f t="array" ref="E23">IF(NOT(ISBLANK($A23)), (_xlfn.XLOOKUP($A23,Index!$B$2:$B$995,Index!$D$2:$D$995,"Not Found")),"")</f>
        <v>c</v>
      </c>
      <c r="F23" s="1" t="str">
        <f t="array" ref="F23">IF(NOT(ISBLANK($A23)), (_xlfn.XLOOKUP($A23,Index!$B$2:$B$995,Index!$E$2:$E$995,"Not Found")),"")</f>
        <v/>
      </c>
      <c r="G23" s="1" t="str">
        <f t="array" ref="G23">IF(NOT(ISBLANK(A23)), ((_xlfn.XLOOKUP(A23,Index!$B$2:$B$995,Index!$F$2:$F$995,"Not Found"))*B23),"")</f>
        <v>#VALUE!</v>
      </c>
    </row>
    <row r="24">
      <c r="C24" s="1" t="str">
        <f t="array" ref="C24">IF(NOT(ISBLANK($A24)), (_xlfn.XLOOKUP($A24,Index!$B$2:$B$995,Index!$C$2:$C$995,"Not Found")),"")</f>
        <v/>
      </c>
      <c r="D24" s="1" t="str">
        <f t="array" ref="D24">IF(NOT(ISBLANK(A24)), (_xlfn.XLOOKUP($A24,Index!$B$2:B$995,Index!$A$2:$A$995,"Not Found")),"")</f>
        <v/>
      </c>
      <c r="E24" s="2" t="str">
        <f t="array" ref="E24">IF(NOT(ISBLANK($A24)), (_xlfn.XLOOKUP($A24,Index!$B$2:$B$995,Index!$D$2:$D$995,"Not Found")),"")</f>
        <v/>
      </c>
      <c r="F24" s="1" t="str">
        <f t="array" ref="F24">IF(NOT(ISBLANK($A24)), (_xlfn.XLOOKUP($A24,Index!$B$2:$B$995,Index!$E$2:$E$995,"Not Found")),"")</f>
        <v/>
      </c>
      <c r="G24" s="1" t="str">
        <f t="array" ref="G24">IF(NOT(ISBLANK(A24)), ((_xlfn.XLOOKUP(A24,Index!$B$2:$B$995,Index!$F$2:$F$995,"Not Found"))*B24),"")</f>
        <v/>
      </c>
      <c r="K24" s="1" t="s">
        <v>732</v>
      </c>
      <c r="L24" s="1" t="s">
        <v>481</v>
      </c>
    </row>
    <row r="25">
      <c r="C25" s="1" t="str">
        <f t="array" ref="C25">IF(NOT(ISBLANK($A25)), (_xlfn.XLOOKUP($A25,Index!$B$2:$B$995,Index!$C$2:$C$995,"Not Found")),"")</f>
        <v/>
      </c>
      <c r="D25" s="1" t="str">
        <f t="array" ref="D25">IF(NOT(ISBLANK(A25)), (_xlfn.XLOOKUP($A25,Index!$B$2:B$995,Index!$A$2:$A$995,"Not Found")),"")</f>
        <v/>
      </c>
      <c r="E25" s="2" t="str">
        <f t="array" ref="E25">IF(NOT(ISBLANK($A25)), (_xlfn.XLOOKUP($A25,Index!$B$2:$B$995,Index!$D$2:$D$995,"Not Found")),"")</f>
        <v/>
      </c>
      <c r="F25" s="1" t="str">
        <f t="array" ref="F25">IF(NOT(ISBLANK($A25)), (_xlfn.XLOOKUP($A25,Index!$B$2:$B$995,Index!$E$2:$E$995,"Not Found")),"")</f>
        <v/>
      </c>
      <c r="G25" s="1" t="str">
        <f t="array" ref="G25">IF(NOT(ISBLANK(A25)), ((_xlfn.XLOOKUP(A25,Index!$B$2:$B$995,Index!$F$2:$F$995,"Not Found"))*B25),"")</f>
        <v/>
      </c>
    </row>
    <row r="26">
      <c r="C26" s="1" t="str">
        <f t="array" ref="C26">IF(NOT(ISBLANK($A26)), (_xlfn.XLOOKUP($A26,Index!$B$2:$B$995,Index!$C$2:$C$995,"Not Found")),"")</f>
        <v/>
      </c>
      <c r="D26" s="1" t="str">
        <f t="array" ref="D26">IF(NOT(ISBLANK(A26)), (_xlfn.XLOOKUP($A26,Index!$B$2:B$995,Index!$A$2:$A$995,"Not Found")),"")</f>
        <v/>
      </c>
      <c r="E26" s="2" t="str">
        <f t="array" ref="E26">IF(NOT(ISBLANK($A26)), (_xlfn.XLOOKUP($A26,Index!$B$2:$B$995,Index!$D$2:$D$995,"Not Found")),"")</f>
        <v/>
      </c>
      <c r="F26" s="1" t="str">
        <f t="array" ref="F26">IF(NOT(ISBLANK($A26)), (_xlfn.XLOOKUP($A26,Index!$B$2:$B$995,Index!$E$2:$E$995,"Not Found")),"")</f>
        <v/>
      </c>
      <c r="G26" s="1" t="str">
        <f t="array" ref="G26">IF(NOT(ISBLANK(A26)), ((_xlfn.XLOOKUP(A26,Index!$B$2:$B$995,Index!$F$2:$F$995,"Not Found"))*B26),"")</f>
        <v/>
      </c>
    </row>
    <row r="27">
      <c r="C27" s="1" t="str">
        <f t="array" ref="C27">IF(NOT(ISBLANK($A27)), (_xlfn.XLOOKUP($A27,Index!$B$2:$B$995,Index!$C$2:$C$995,"Not Found")),"")</f>
        <v/>
      </c>
      <c r="D27" s="1" t="str">
        <f t="array" ref="D27">IF(NOT(ISBLANK(A27)), (_xlfn.XLOOKUP($A27,Index!$B$2:B$995,Index!$A$2:$A$995,"Not Found")),"")</f>
        <v/>
      </c>
      <c r="E27" s="2" t="str">
        <f t="array" ref="E27">IF(NOT(ISBLANK($A27)), (_xlfn.XLOOKUP($A27,Index!$B$2:$B$995,Index!$D$2:$D$995,"Not Found")),"")</f>
        <v/>
      </c>
      <c r="F27" s="1" t="str">
        <f t="array" ref="F27">IF(NOT(ISBLANK($A27)), (_xlfn.XLOOKUP($A27,Index!$B$2:$B$995,Index!$E$2:$E$995,"Not Found")),"")</f>
        <v/>
      </c>
      <c r="G27" s="1" t="str">
        <f t="array" ref="G27">IF(NOT(ISBLANK(A27)), ((_xlfn.XLOOKUP(A27,Index!$B$2:$B$995,Index!$F$2:$F$995,"Not Found"))*B27),"")</f>
        <v/>
      </c>
    </row>
    <row r="28">
      <c r="C28" s="1" t="str">
        <f t="array" ref="C28">IF(NOT(ISBLANK($A28)), (_xlfn.XLOOKUP($A28,Index!$B$2:$B$995,Index!$C$2:$C$995,"Not Found")),"")</f>
        <v/>
      </c>
      <c r="D28" s="1" t="str">
        <f t="array" ref="D28">IF(NOT(ISBLANK(A28)), (_xlfn.XLOOKUP($A28,Index!$B$2:B$995,Index!$A$2:$A$995,"Not Found")),"")</f>
        <v/>
      </c>
      <c r="E28" s="2" t="str">
        <f t="array" ref="E28">IF(NOT(ISBLANK($A28)), (_xlfn.XLOOKUP($A28,Index!$B$2:$B$995,Index!$D$2:$D$995,"Not Found")),"")</f>
        <v/>
      </c>
      <c r="F28" s="1" t="str">
        <f t="array" ref="F28">IF(NOT(ISBLANK($A28)), (_xlfn.XLOOKUP($A28,Index!$B$2:$B$995,Index!$E$2:$E$995,"Not Found")),"")</f>
        <v/>
      </c>
      <c r="G28" s="1" t="str">
        <f t="array" ref="G28">IF(NOT(ISBLANK(A28)), ((_xlfn.XLOOKUP(A28,Index!$B$2:$B$995,Index!$F$2:$F$995,"Not Found"))*B28),"")</f>
        <v/>
      </c>
    </row>
    <row r="29">
      <c r="C29" s="1" t="str">
        <f t="array" ref="C29">IF(NOT(ISBLANK($A29)), (_xlfn.XLOOKUP($A29,Index!$B$2:$B$995,Index!$C$2:$C$995,"Not Found")),"")</f>
        <v/>
      </c>
      <c r="D29" s="1" t="str">
        <f t="array" ref="D29">IF(NOT(ISBLANK(A29)), (_xlfn.XLOOKUP($A29,Index!$B$2:B$995,Index!$A$2:$A$995,"Not Found")),"")</f>
        <v/>
      </c>
      <c r="E29" s="2" t="str">
        <f t="array" ref="E29">IF(NOT(ISBLANK($A29)), (_xlfn.XLOOKUP($A29,Index!$B$2:$B$995,Index!$D$2:$D$995,"Not Found")),"")</f>
        <v/>
      </c>
      <c r="F29" s="1" t="str">
        <f t="array" ref="F29">IF(NOT(ISBLANK($A29)), (_xlfn.XLOOKUP($A29,Index!$B$2:$B$995,Index!$E$2:$E$995,"Not Found")),"")</f>
        <v/>
      </c>
      <c r="G29" s="1" t="str">
        <f t="array" ref="G29">IF(NOT(ISBLANK(A29)), ((_xlfn.XLOOKUP(A29,Index!$B$2:$B$995,Index!$F$2:$F$995,"Not Found"))*B29),"")</f>
        <v/>
      </c>
    </row>
    <row r="30">
      <c r="C30" s="1" t="str">
        <f t="array" ref="C30">IF(NOT(ISBLANK($A30)), (_xlfn.XLOOKUP($A30,Index!$B$2:$B$995,Index!$C$2:$C$995,"Not Found")),"")</f>
        <v/>
      </c>
      <c r="D30" s="1" t="str">
        <f t="array" ref="D30">IF(NOT(ISBLANK(A30)), (_xlfn.XLOOKUP($A30,Index!$B$2:B$995,Index!$A$2:$A$995,"Not Found")),"")</f>
        <v/>
      </c>
      <c r="E30" s="2" t="str">
        <f t="array" ref="E30">IF(NOT(ISBLANK($A30)), (_xlfn.XLOOKUP($A30,Index!$B$2:$B$995,Index!$D$2:$D$995,"Not Found")),"")</f>
        <v/>
      </c>
      <c r="F30" s="1" t="str">
        <f t="array" ref="F30">IF(NOT(ISBLANK($A30)), (_xlfn.XLOOKUP($A30,Index!$B$2:$B$995,Index!$E$2:$E$995,"Not Found")),"")</f>
        <v/>
      </c>
      <c r="G30" s="1" t="str">
        <f t="array" ref="G30">IF(NOT(ISBLANK(A30)), ((_xlfn.XLOOKUP(A30,Index!$B$2:$B$995,Index!$F$2:$F$995,"Not Found"))*B30),"")</f>
        <v/>
      </c>
    </row>
    <row r="31">
      <c r="C31" s="1" t="str">
        <f t="array" ref="C31">IF(NOT(ISBLANK($A31)), (_xlfn.XLOOKUP($A31,Index!$B$2:$B$995,Index!$C$2:$C$995,"Not Found")),"")</f>
        <v/>
      </c>
      <c r="D31" s="1" t="str">
        <f t="array" ref="D31">IF(NOT(ISBLANK(A31)), (_xlfn.XLOOKUP($A31,Index!$B$2:B$995,Index!$A$2:$A$995,"Not Found")),"")</f>
        <v/>
      </c>
      <c r="E31" s="2" t="str">
        <f t="array" ref="E31">IF(NOT(ISBLANK($A31)), (_xlfn.XLOOKUP($A31,Index!$B$2:$B$995,Index!$D$2:$D$995,"Not Found")),"")</f>
        <v/>
      </c>
      <c r="F31" s="1" t="str">
        <f t="array" ref="F31">IF(NOT(ISBLANK($A31)), (_xlfn.XLOOKUP($A31,Index!$B$2:$B$995,Index!$E$2:$E$995,"Not Found")),"")</f>
        <v/>
      </c>
      <c r="G31" s="1" t="str">
        <f t="array" ref="G31">IF(NOT(ISBLANK(A31)), ((_xlfn.XLOOKUP(A31,Index!$B$2:$B$995,Index!$F$2:$F$995,"Not Found"))*B31),"")</f>
        <v/>
      </c>
    </row>
    <row r="32">
      <c r="C32" s="1" t="str">
        <f t="array" ref="C32">IF(NOT(ISBLANK($A32)), (_xlfn.XLOOKUP($A32,Index!$B$2:$B$995,Index!$C$2:$C$995,"Not Found")),"")</f>
        <v/>
      </c>
      <c r="D32" s="1" t="str">
        <f t="array" ref="D32">IF(NOT(ISBLANK(A32)), (_xlfn.XLOOKUP($A32,Index!$B$2:B$995,Index!$A$2:$A$995,"Not Found")),"")</f>
        <v/>
      </c>
      <c r="E32" s="2" t="str">
        <f t="array" ref="E32">IF(NOT(ISBLANK($A32)), (_xlfn.XLOOKUP($A32,Index!$B$2:$B$995,Index!$D$2:$D$995,"Not Found")),"")</f>
        <v/>
      </c>
      <c r="F32" s="1" t="str">
        <f t="array" ref="F32">IF(NOT(ISBLANK($A32)), (_xlfn.XLOOKUP($A32,Index!$B$2:$B$995,Index!$E$2:$E$995,"Not Found")),"")</f>
        <v/>
      </c>
      <c r="G32" s="1" t="str">
        <f t="array" ref="G32">IF(NOT(ISBLANK(A32)), ((_xlfn.XLOOKUP(A32,Index!$B$2:$B$995,Index!$F$2:$F$995,"Not Found"))*B32),"")</f>
        <v/>
      </c>
    </row>
    <row r="33">
      <c r="C33" s="1" t="str">
        <f t="array" ref="C33">IF(NOT(ISBLANK($A33)), (_xlfn.XLOOKUP($A33,Index!$B$2:$B$995,Index!$C$2:$C$995,"Not Found")),"")</f>
        <v/>
      </c>
      <c r="D33" s="1" t="str">
        <f t="array" ref="D33">IF(NOT(ISBLANK(A33)), (_xlfn.XLOOKUP($A33,Index!$B$2:B$995,Index!$A$2:$A$995,"Not Found")),"")</f>
        <v/>
      </c>
      <c r="E33" s="2" t="str">
        <f t="array" ref="E33">IF(NOT(ISBLANK($A33)), (_xlfn.XLOOKUP($A33,Index!$B$2:$B$995,Index!$D$2:$D$995,"Not Found")),"")</f>
        <v/>
      </c>
      <c r="F33" s="1" t="str">
        <f t="array" ref="F33">IF(NOT(ISBLANK($A33)), (_xlfn.XLOOKUP($A33,Index!$B$2:$B$995,Index!$E$2:$E$995,"Not Found")),"")</f>
        <v/>
      </c>
      <c r="G33" s="1" t="str">
        <f t="array" ref="G33">IF(NOT(ISBLANK(A33)), ((_xlfn.XLOOKUP(A33,Index!$B$2:$B$995,Index!$F$2:$F$995,"Not Found"))*B33),"")</f>
        <v/>
      </c>
    </row>
    <row r="34">
      <c r="C34" s="1" t="str">
        <f t="array" ref="C34">IF(NOT(ISBLANK($A34)), (_xlfn.XLOOKUP($A34,Index!$B$2:$B$995,Index!$C$2:$C$995,"Not Found")),"")</f>
        <v/>
      </c>
      <c r="D34" s="1" t="str">
        <f t="array" ref="D34">IF(NOT(ISBLANK(A34)), (_xlfn.XLOOKUP($A34,Index!$B$2:B$995,Index!$A$2:$A$995,"Not Found")),"")</f>
        <v/>
      </c>
      <c r="E34" s="2" t="str">
        <f t="array" ref="E34">IF(NOT(ISBLANK($A34)), (_xlfn.XLOOKUP($A34,Index!$B$2:$B$995,Index!$D$2:$D$995,"Not Found")),"")</f>
        <v/>
      </c>
      <c r="F34" s="1" t="str">
        <f t="array" ref="F34">IF(NOT(ISBLANK($A34)), (_xlfn.XLOOKUP($A34,Index!$B$2:$B$995,Index!$E$2:$E$995,"Not Found")),"")</f>
        <v/>
      </c>
      <c r="G34" s="1" t="str">
        <f t="array" ref="G34">IF(NOT(ISBLANK(A34)), ((_xlfn.XLOOKUP(A34,Index!$B$2:$B$995,Index!$F$2:$F$995,"Not Found"))*B34),"")</f>
        <v/>
      </c>
    </row>
    <row r="35">
      <c r="C35" s="1" t="str">
        <f t="array" ref="C35">IF(NOT(ISBLANK($A35)), (_xlfn.XLOOKUP($A35,Index!$B$2:$B$995,Index!$C$2:$C$995,"Not Found")),"")</f>
        <v/>
      </c>
      <c r="D35" s="1" t="str">
        <f t="array" ref="D35">IF(NOT(ISBLANK(A35)), (_xlfn.XLOOKUP($A35,Index!$B$2:B$995,Index!$A$2:$A$995,"Not Found")),"")</f>
        <v/>
      </c>
      <c r="E35" s="2" t="str">
        <f t="array" ref="E35">IF(NOT(ISBLANK($A35)), (_xlfn.XLOOKUP($A35,Index!$B$2:$B$995,Index!$D$2:$D$995,"Not Found")),"")</f>
        <v/>
      </c>
      <c r="F35" s="1" t="str">
        <f t="array" ref="F35">IF(NOT(ISBLANK($A35)), (_xlfn.XLOOKUP($A35,Index!$B$2:$B$995,Index!$E$2:$E$995,"Not Found")),"")</f>
        <v/>
      </c>
      <c r="G35" s="1" t="str">
        <f t="array" ref="G35">IF(NOT(ISBLANK(A35)), ((_xlfn.XLOOKUP(A35,Index!$B$2:$B$995,Index!$F$2:$F$995,"Not Found"))*B35),"")</f>
        <v/>
      </c>
    </row>
    <row r="36">
      <c r="C36" s="1" t="str">
        <f t="array" ref="C36">IF(NOT(ISBLANK($A36)), (_xlfn.XLOOKUP($A36,Index!$B$2:$B$995,Index!$C$2:$C$995,"Not Found")),"")</f>
        <v/>
      </c>
      <c r="D36" s="1" t="str">
        <f t="array" ref="D36">IF(NOT(ISBLANK(A36)), (_xlfn.XLOOKUP($A36,Index!$B$2:B$995,Index!$A$2:$A$995,"Not Found")),"")</f>
        <v/>
      </c>
      <c r="E36" s="2" t="str">
        <f t="array" ref="E36">IF(NOT(ISBLANK($A36)), (_xlfn.XLOOKUP($A36,Index!$B$2:$B$995,Index!$D$2:$D$995,"Not Found")),"")</f>
        <v/>
      </c>
      <c r="F36" s="1" t="str">
        <f t="array" ref="F36">IF(NOT(ISBLANK($A36)), (_xlfn.XLOOKUP($A36,Index!$B$2:$B$995,Index!$E$2:$E$995,"Not Found")),"")</f>
        <v/>
      </c>
      <c r="G36" s="1" t="str">
        <f t="array" ref="G36">IF(NOT(ISBLANK(A36)), ((_xlfn.XLOOKUP(A36,Index!$B$2:$B$995,Index!$F$2:$F$995,"Not Found"))*B36),"")</f>
        <v/>
      </c>
    </row>
    <row r="37">
      <c r="C37" s="1" t="str">
        <f t="array" ref="C37">IF(NOT(ISBLANK($A37)), (_xlfn.XLOOKUP($A37,Index!$B$2:$B$995,Index!$C$2:$C$995,"Not Found")),"")</f>
        <v/>
      </c>
      <c r="D37" s="1" t="str">
        <f t="array" ref="D37">IF(NOT(ISBLANK(A37)), (_xlfn.XLOOKUP($A37,Index!$B$2:B$995,Index!$A$2:$A$995,"Not Found")),"")</f>
        <v/>
      </c>
      <c r="E37" s="2" t="str">
        <f t="array" ref="E37">IF(NOT(ISBLANK($A37)), (_xlfn.XLOOKUP($A37,Index!$B$2:$B$995,Index!$D$2:$D$995,"Not Found")),"")</f>
        <v/>
      </c>
      <c r="F37" s="1" t="str">
        <f t="array" ref="F37">IF(NOT(ISBLANK($A37)), (_xlfn.XLOOKUP($A37,Index!$B$2:$B$995,Index!$E$2:$E$995,"Not Found")),"")</f>
        <v/>
      </c>
      <c r="G37" s="1" t="str">
        <f t="array" ref="G37">IF(NOT(ISBLANK(A37)), ((_xlfn.XLOOKUP(A37,Index!$B$2:$B$995,Index!$F$2:$F$995,"Not Found"))*B37),"")</f>
        <v/>
      </c>
    </row>
    <row r="38">
      <c r="C38" s="1" t="str">
        <f t="array" ref="C38">IF(NOT(ISBLANK($A38)), (_xlfn.XLOOKUP($A38,Index!$B$2:$B$995,Index!$C$2:$C$995,"Not Found")),"")</f>
        <v/>
      </c>
      <c r="D38" s="1" t="str">
        <f t="array" ref="D38">IF(NOT(ISBLANK(A38)), (_xlfn.XLOOKUP($A38,Index!$B$2:B$995,Index!$A$2:$A$995,"Not Found")),"")</f>
        <v/>
      </c>
      <c r="E38" s="2" t="str">
        <f t="array" ref="E38">IF(NOT(ISBLANK($A38)), (_xlfn.XLOOKUP($A38,Index!$B$2:$B$995,Index!$D$2:$D$995,"Not Found")),"")</f>
        <v/>
      </c>
      <c r="F38" s="1" t="str">
        <f t="array" ref="F38">IF(NOT(ISBLANK($A38)), (_xlfn.XLOOKUP($A38,Index!$B$2:$B$995,Index!$E$2:$E$995,"Not Found")),"")</f>
        <v/>
      </c>
      <c r="G38" s="1" t="str">
        <f t="array" ref="G38">IF(NOT(ISBLANK(A38)), ((_xlfn.XLOOKUP(A38,Index!$B$2:$B$995,Index!$F$2:$F$995,"Not Found"))*B38),"")</f>
        <v/>
      </c>
    </row>
    <row r="39">
      <c r="C39" s="1" t="str">
        <f t="array" ref="C39">IF(NOT(ISBLANK($A39)), (_xlfn.XLOOKUP($A39,Index!$B$2:$B$995,Index!$C$2:$C$995,"Not Found")),"")</f>
        <v/>
      </c>
      <c r="D39" s="1" t="str">
        <f t="array" ref="D39">IF(NOT(ISBLANK(A39)), (_xlfn.XLOOKUP($A39,Index!$B$2:B$995,Index!$A$2:$A$995,"Not Found")),"")</f>
        <v/>
      </c>
      <c r="E39" s="2" t="str">
        <f t="array" ref="E39">IF(NOT(ISBLANK($A39)), (_xlfn.XLOOKUP($A39,Index!$B$2:$B$995,Index!$D$2:$D$995,"Not Found")),"")</f>
        <v/>
      </c>
      <c r="F39" s="1" t="str">
        <f t="array" ref="F39">IF(NOT(ISBLANK($A39)), (_xlfn.XLOOKUP($A39,Index!$B$2:$B$995,Index!$E$2:$E$995,"Not Found")),"")</f>
        <v/>
      </c>
      <c r="G39" s="1" t="str">
        <f t="array" ref="G39">IF(NOT(ISBLANK(A39)), ((_xlfn.XLOOKUP(A39,Index!$B$2:$B$995,Index!$F$2:$F$995,"Not Found"))*B39),"")</f>
        <v/>
      </c>
    </row>
    <row r="40">
      <c r="C40" s="1" t="str">
        <f t="array" ref="C40">IF(NOT(ISBLANK($A40)), (_xlfn.XLOOKUP($A40,Index!$B$2:$B$995,Index!$C$2:$C$995,"Not Found")),"")</f>
        <v/>
      </c>
      <c r="D40" s="1" t="str">
        <f t="array" ref="D40">IF(NOT(ISBLANK(A40)), (_xlfn.XLOOKUP($A40,Index!$B$2:B$995,Index!$A$2:$A$995,"Not Found")),"")</f>
        <v/>
      </c>
      <c r="E40" s="2" t="str">
        <f t="array" ref="E40">IF(NOT(ISBLANK($A40)), (_xlfn.XLOOKUP($A40,Index!$B$2:$B$995,Index!$D$2:$D$995,"Not Found")),"")</f>
        <v/>
      </c>
      <c r="F40" s="1" t="str">
        <f t="array" ref="F40">IF(NOT(ISBLANK($A40)), (_xlfn.XLOOKUP($A40,Index!$B$2:$B$995,Index!$E$2:$E$995,"Not Found")),"")</f>
        <v/>
      </c>
      <c r="G40" s="1" t="str">
        <f t="array" ref="G40">IF(NOT(ISBLANK(A40)), ((_xlfn.XLOOKUP(A40,Index!$B$2:$B$995,Index!$F$2:$F$995,"Not Found"))*B40),"")</f>
        <v/>
      </c>
    </row>
    <row r="41">
      <c r="C41" s="1" t="str">
        <f t="array" ref="C41">IF(NOT(ISBLANK($A41)), (_xlfn.XLOOKUP($A41,Index!$B$2:$B$995,Index!$C$2:$C$995,"Not Found")),"")</f>
        <v/>
      </c>
      <c r="D41" s="1" t="str">
        <f t="array" ref="D41">IF(NOT(ISBLANK(A41)), (_xlfn.XLOOKUP($A41,Index!$B$2:B$995,Index!$A$2:$A$995,"Not Found")),"")</f>
        <v/>
      </c>
      <c r="E41" s="2" t="str">
        <f t="array" ref="E41">IF(NOT(ISBLANK($A41)), (_xlfn.XLOOKUP($A41,Index!$B$2:$B$995,Index!$D$2:$D$995,"Not Found")),"")</f>
        <v/>
      </c>
      <c r="F41" s="1" t="str">
        <f t="array" ref="F41">IF(NOT(ISBLANK($A41)), (_xlfn.XLOOKUP($A41,Index!$B$2:$B$995,Index!$E$2:$E$995,"Not Found")),"")</f>
        <v/>
      </c>
      <c r="G41" s="1" t="str">
        <f t="array" ref="G41">IF(NOT(ISBLANK(A41)), ((_xlfn.XLOOKUP(A41,Index!$B$2:$B$995,Index!$F$2:$F$995,"Not Found"))*B41),"")</f>
        <v/>
      </c>
    </row>
    <row r="42">
      <c r="C42" s="1" t="str">
        <f t="array" ref="C42">IF(NOT(ISBLANK($A42)), (_xlfn.XLOOKUP($A42,Index!$B$2:$B$995,Index!$C$2:$C$995,"Not Found")),"")</f>
        <v/>
      </c>
      <c r="D42" s="1" t="str">
        <f t="array" ref="D42">IF(NOT(ISBLANK(A42)), (_xlfn.XLOOKUP($A42,Index!$B$2:B$995,Index!$A$2:$A$995,"Not Found")),"")</f>
        <v/>
      </c>
      <c r="E42" s="2" t="str">
        <f t="array" ref="E42">IF(NOT(ISBLANK($A42)), (_xlfn.XLOOKUP($A42,Index!$B$2:$B$995,Index!$D$2:$D$995,"Not Found")),"")</f>
        <v/>
      </c>
      <c r="F42" s="1" t="str">
        <f t="array" ref="F42">IF(NOT(ISBLANK($A42)), (_xlfn.XLOOKUP($A42,Index!$B$2:$B$995,Index!$E$2:$E$995,"Not Found")),"")</f>
        <v/>
      </c>
      <c r="G42" s="1" t="str">
        <f t="array" ref="G42">IF(NOT(ISBLANK(A42)), ((_xlfn.XLOOKUP(A42,Index!$B$2:$B$995,Index!$F$2:$F$995,"Not Found"))*B42),"")</f>
        <v/>
      </c>
    </row>
    <row r="43">
      <c r="C43" s="1" t="str">
        <f t="array" ref="C43">IF(NOT(ISBLANK($A43)), (_xlfn.XLOOKUP($A43,Index!$B$2:$B$995,Index!$C$2:$C$995,"Not Found")),"")</f>
        <v/>
      </c>
      <c r="D43" s="1" t="str">
        <f t="array" ref="D43">IF(NOT(ISBLANK(A43)), (_xlfn.XLOOKUP($A43,Index!$B$2:B$995,Index!$A$2:$A$995,"Not Found")),"")</f>
        <v/>
      </c>
      <c r="E43" s="2" t="str">
        <f t="array" ref="E43">IF(NOT(ISBLANK($A43)), (_xlfn.XLOOKUP($A43,Index!$B$2:$B$995,Index!$D$2:$D$995,"Not Found")),"")</f>
        <v/>
      </c>
      <c r="F43" s="1" t="str">
        <f t="array" ref="F43">IF(NOT(ISBLANK($A43)), (_xlfn.XLOOKUP($A43,Index!$B$2:$B$995,Index!$E$2:$E$995,"Not Found")),"")</f>
        <v/>
      </c>
      <c r="G43" s="1" t="str">
        <f t="array" ref="G43">IF(NOT(ISBLANK(A43)), ((_xlfn.XLOOKUP(A43,Index!$B$2:$B$995,Index!$F$2:$F$995,"Not Found"))*B43),"")</f>
        <v/>
      </c>
    </row>
    <row r="44">
      <c r="C44" s="1" t="str">
        <f t="array" ref="C44">IF(NOT(ISBLANK($A44)), (_xlfn.XLOOKUP($A44,Index!$B$2:$B$995,Index!$C$2:$C$995,"Not Found")),"")</f>
        <v/>
      </c>
      <c r="D44" s="1" t="str">
        <f t="array" ref="D44">IF(NOT(ISBLANK(A44)), (_xlfn.XLOOKUP($A44,Index!$B$2:B$995,Index!$A$2:$A$995,"Not Found")),"")</f>
        <v/>
      </c>
      <c r="E44" s="2" t="str">
        <f t="array" ref="E44">IF(NOT(ISBLANK($A44)), (_xlfn.XLOOKUP($A44,Index!$B$2:$B$995,Index!$D$2:$D$995,"Not Found")),"")</f>
        <v/>
      </c>
      <c r="F44" s="1" t="str">
        <f t="array" ref="F44">IF(NOT(ISBLANK($A44)), (_xlfn.XLOOKUP($A44,Index!$B$2:$B$995,Index!$E$2:$E$995,"Not Found")),"")</f>
        <v/>
      </c>
      <c r="G44" s="1" t="str">
        <f t="array" ref="G44">IF(NOT(ISBLANK(A44)), ((_xlfn.XLOOKUP(A44,Index!$B$2:$B$995,Index!$F$2:$F$995,"Not Found"))*B44),"")</f>
        <v/>
      </c>
    </row>
    <row r="45">
      <c r="C45" s="1" t="str">
        <f t="array" ref="C45">IF(NOT(ISBLANK($A45)), (_xlfn.XLOOKUP($A45,Index!$B$2:$B$995,Index!$C$2:$C$995,"Not Found")),"")</f>
        <v/>
      </c>
      <c r="D45" s="1" t="str">
        <f t="array" ref="D45">IF(NOT(ISBLANK(A45)), (_xlfn.XLOOKUP($A45,Index!$B$2:B$995,Index!$A$2:$A$995,"Not Found")),"")</f>
        <v/>
      </c>
      <c r="E45" s="2" t="str">
        <f t="array" ref="E45">IF(NOT(ISBLANK($A45)), (_xlfn.XLOOKUP($A45,Index!$B$2:$B$995,Index!$D$2:$D$995,"Not Found")),"")</f>
        <v/>
      </c>
      <c r="F45" s="1" t="str">
        <f t="array" ref="F45">IF(NOT(ISBLANK($A45)), (_xlfn.XLOOKUP($A45,Index!$B$2:$B$995,Index!$E$2:$E$995,"Not Found")),"")</f>
        <v/>
      </c>
      <c r="G45" s="1" t="str">
        <f t="array" ref="G45">IF(NOT(ISBLANK(A45)), ((_xlfn.XLOOKUP(A45,Index!$B$2:$B$995,Index!$F$2:$F$995,"Not Found"))*B45),"")</f>
        <v/>
      </c>
    </row>
    <row r="46">
      <c r="C46" s="1" t="str">
        <f t="array" ref="C46">IF(NOT(ISBLANK($A46)), (_xlfn.XLOOKUP($A46,Index!$B$2:$B$995,Index!$C$2:$C$995,"Not Found")),"")</f>
        <v/>
      </c>
      <c r="D46" s="1" t="str">
        <f t="array" ref="D46">IF(NOT(ISBLANK(A46)), (_xlfn.XLOOKUP($A46,Index!$B$2:B$995,Index!$A$2:$A$995,"Not Found")),"")</f>
        <v/>
      </c>
      <c r="E46" s="2" t="str">
        <f t="array" ref="E46">IF(NOT(ISBLANK($A46)), (_xlfn.XLOOKUP($A46,Index!$B$2:$B$995,Index!$D$2:$D$995,"Not Found")),"")</f>
        <v/>
      </c>
      <c r="F46" s="1" t="str">
        <f t="array" ref="F46">IF(NOT(ISBLANK($A46)), (_xlfn.XLOOKUP($A46,Index!$B$2:$B$995,Index!$E$2:$E$995,"Not Found")),"")</f>
        <v/>
      </c>
      <c r="G46" s="1" t="str">
        <f t="array" ref="G46">IF(NOT(ISBLANK(A46)), ((_xlfn.XLOOKUP(A46,Index!$B$2:$B$995,Index!$F$2:$F$995,"Not Found"))*B46),"")</f>
        <v/>
      </c>
    </row>
    <row r="47">
      <c r="C47" s="1" t="str">
        <f t="array" ref="C47">IF(NOT(ISBLANK($A47)), (_xlfn.XLOOKUP($A47,Index!$B$2:$B$995,Index!$C$2:$C$995,"Not Found")),"")</f>
        <v/>
      </c>
      <c r="D47" s="1" t="str">
        <f t="array" ref="D47">IF(NOT(ISBLANK(A47)), (_xlfn.XLOOKUP($A47,Index!$B$2:B$995,Index!$A$2:$A$995,"Not Found")),"")</f>
        <v/>
      </c>
      <c r="E47" s="2" t="str">
        <f t="array" ref="E47">IF(NOT(ISBLANK($A47)), (_xlfn.XLOOKUP($A47,Index!$B$2:$B$995,Index!$D$2:$D$995,"Not Found")),"")</f>
        <v/>
      </c>
      <c r="F47" s="1" t="str">
        <f t="array" ref="F47">IF(NOT(ISBLANK($A47)), (_xlfn.XLOOKUP($A47,Index!$B$2:$B$995,Index!$E$2:$E$995,"Not Found")),"")</f>
        <v/>
      </c>
      <c r="G47" s="1" t="str">
        <f t="array" ref="G47">IF(NOT(ISBLANK(A47)), ((_xlfn.XLOOKUP(A47,Index!$B$2:$B$995,Index!$F$2:$F$995,"Not Found"))*B47),"")</f>
        <v/>
      </c>
    </row>
    <row r="48">
      <c r="C48" s="1" t="str">
        <f t="array" ref="C48">IF(NOT(ISBLANK($A48)), (_xlfn.XLOOKUP($A48,Index!$B$2:$B$995,Index!$C$2:$C$995,"Not Found")),"")</f>
        <v/>
      </c>
      <c r="D48" s="1" t="str">
        <f t="array" ref="D48">IF(NOT(ISBLANK(A48)), (_xlfn.XLOOKUP($A48,Index!$B$2:B$995,Index!$A$2:$A$995,"Not Found")),"")</f>
        <v/>
      </c>
      <c r="E48" s="2" t="str">
        <f t="array" ref="E48">IF(NOT(ISBLANK($A48)), (_xlfn.XLOOKUP($A48,Index!$B$2:$B$995,Index!$D$2:$D$995,"Not Found")),"")</f>
        <v/>
      </c>
      <c r="F48" s="1" t="str">
        <f t="array" ref="F48">IF(NOT(ISBLANK($A48)), (_xlfn.XLOOKUP($A48,Index!$B$2:$B$995,Index!$E$2:$E$995,"Not Found")),"")</f>
        <v/>
      </c>
      <c r="G48" s="1" t="str">
        <f t="array" ref="G48">IF(NOT(ISBLANK(A48)), ((_xlfn.XLOOKUP(A48,Index!$B$2:$B$995,Index!$F$2:$F$995,"Not Found"))*B48),"")</f>
        <v/>
      </c>
    </row>
    <row r="49">
      <c r="C49" s="1" t="str">
        <f t="array" ref="C49">IF(NOT(ISBLANK($A49)), (_xlfn.XLOOKUP($A49,Index!$B$2:$B$995,Index!$C$2:$C$995,"Not Found")),"")</f>
        <v/>
      </c>
      <c r="D49" s="1" t="str">
        <f t="array" ref="D49">IF(NOT(ISBLANK(A49)), (_xlfn.XLOOKUP($A49,Index!$B$2:B$995,Index!$A$2:$A$995,"Not Found")),"")</f>
        <v/>
      </c>
      <c r="E49" s="2" t="str">
        <f t="array" ref="E49">IF(NOT(ISBLANK($A49)), (_xlfn.XLOOKUP($A49,Index!$B$2:$B$995,Index!$D$2:$D$995,"Not Found")),"")</f>
        <v/>
      </c>
      <c r="F49" s="1" t="str">
        <f t="array" ref="F49">IF(NOT(ISBLANK($A49)), (_xlfn.XLOOKUP($A49,Index!$B$2:$B$995,Index!$E$2:$E$995,"Not Found")),"")</f>
        <v/>
      </c>
      <c r="G49" s="1" t="str">
        <f t="array" ref="G49">IF(NOT(ISBLANK(A49)), ((_xlfn.XLOOKUP(A49,Index!$B$2:$B$995,Index!$F$2:$F$995,"Not Found"))*B49),"")</f>
        <v/>
      </c>
    </row>
    <row r="50">
      <c r="C50" s="1" t="str">
        <f t="array" ref="C50">IF(NOT(ISBLANK($A50)), (_xlfn.XLOOKUP($A50,Index!$B$2:$B$995,Index!$C$2:$C$995,"Not Found")),"")</f>
        <v/>
      </c>
      <c r="D50" s="1" t="str">
        <f t="array" ref="D50">IF(NOT(ISBLANK(A50)), (_xlfn.XLOOKUP($A50,Index!$B$2:B$995,Index!$A$2:$A$995,"Not Found")),"")</f>
        <v/>
      </c>
      <c r="E50" s="2" t="str">
        <f t="array" ref="E50">IF(NOT(ISBLANK($A50)), (_xlfn.XLOOKUP($A50,Index!$B$2:$B$995,Index!$D$2:$D$995,"Not Found")),"")</f>
        <v/>
      </c>
      <c r="F50" s="1" t="str">
        <f t="array" ref="F50">IF(NOT(ISBLANK($A50)), (_xlfn.XLOOKUP($A50,Index!$B$2:$B$995,Index!$E$2:$E$995,"Not Found")),"")</f>
        <v/>
      </c>
      <c r="G50" s="1" t="str">
        <f t="array" ref="G50">IF(NOT(ISBLANK(A50)), ((_xlfn.XLOOKUP(A50,Index!$B$2:$B$995,Index!$F$2:$F$995,"Not Found"))*B50),"")</f>
        <v/>
      </c>
    </row>
    <row r="51">
      <c r="C51" s="1" t="str">
        <f t="array" ref="C51">IF(NOT(ISBLANK($A51)), (_xlfn.XLOOKUP($A51,Index!$B$2:$B$995,Index!$C$2:$C$995,"Not Found")),"")</f>
        <v/>
      </c>
      <c r="D51" s="1" t="str">
        <f t="array" ref="D51">IF(NOT(ISBLANK(A51)), (_xlfn.XLOOKUP($A51,Index!$B$2:B$995,Index!$A$2:$A$995,"Not Found")),"")</f>
        <v/>
      </c>
      <c r="E51" s="2" t="str">
        <f t="array" ref="E51">IF(NOT(ISBLANK($A51)), (_xlfn.XLOOKUP($A51,Index!$B$2:$B$995,Index!$D$2:$D$995,"Not Found")),"")</f>
        <v/>
      </c>
      <c r="F51" s="1" t="str">
        <f t="array" ref="F51">IF(NOT(ISBLANK($A51)), (_xlfn.XLOOKUP($A51,Index!$B$2:$B$995,Index!$E$2:$E$995,"Not Found")),"")</f>
        <v/>
      </c>
      <c r="G51" s="1" t="str">
        <f t="array" ref="G51">IF(NOT(ISBLANK(A51)), ((_xlfn.XLOOKUP(A51,Index!$B$2:$B$995,Index!$F$2:$F$995,"Not Found"))*B51),"")</f>
        <v/>
      </c>
    </row>
    <row r="52">
      <c r="C52" s="1" t="str">
        <f t="array" ref="C52">IF(NOT(ISBLANK($A52)), (_xlfn.XLOOKUP($A52,Index!$B$2:$B$995,Index!$C$2:$C$995,"Not Found")),"")</f>
        <v/>
      </c>
      <c r="D52" s="1" t="str">
        <f t="array" ref="D52">IF(NOT(ISBLANK(A52)), (_xlfn.XLOOKUP($A52,Index!$B$2:B$995,Index!$A$2:$A$995,"Not Found")),"")</f>
        <v/>
      </c>
      <c r="E52" s="2" t="str">
        <f t="array" ref="E52">IF(NOT(ISBLANK($A52)), (_xlfn.XLOOKUP($A52,Index!$B$2:$B$995,Index!$D$2:$D$995,"Not Found")),"")</f>
        <v/>
      </c>
      <c r="F52" s="1" t="str">
        <f t="array" ref="F52">IF(NOT(ISBLANK($A52)), (_xlfn.XLOOKUP($A52,Index!$B$2:$B$995,Index!$E$2:$E$995,"Not Found")),"")</f>
        <v/>
      </c>
      <c r="G52" s="1" t="str">
        <f t="array" ref="G52">IF(NOT(ISBLANK(A52)), ((_xlfn.XLOOKUP(A52,Index!$B$2:$B$995,Index!$F$2:$F$995,"Not Found"))*B52),"")</f>
        <v/>
      </c>
    </row>
    <row r="53">
      <c r="C53" s="1" t="str">
        <f t="array" ref="C53">IF(NOT(ISBLANK($A53)), (_xlfn.XLOOKUP($A53,Index!$B$2:$B$995,Index!$C$2:$C$995,"Not Found")),"")</f>
        <v/>
      </c>
      <c r="D53" s="1" t="str">
        <f t="array" ref="D53">IF(NOT(ISBLANK(A53)), (_xlfn.XLOOKUP($A53,Index!$B$2:B$995,Index!$A$2:$A$995,"Not Found")),"")</f>
        <v/>
      </c>
      <c r="E53" s="2" t="str">
        <f t="array" ref="E53">IF(NOT(ISBLANK($A53)), (_xlfn.XLOOKUP($A53,Index!$B$2:$B$995,Index!$D$2:$D$995,"Not Found")),"")</f>
        <v/>
      </c>
      <c r="F53" s="1" t="str">
        <f t="array" ref="F53">IF(NOT(ISBLANK($A53)), (_xlfn.XLOOKUP($A53,Index!$B$2:$B$995,Index!$E$2:$E$995,"Not Found")),"")</f>
        <v/>
      </c>
      <c r="G53" s="1" t="str">
        <f t="array" ref="G53">IF(NOT(ISBLANK(A53)), ((_xlfn.XLOOKUP(A53,Index!$B$2:$B$995,Index!$F$2:$F$995,"Not Found"))*B53),"")</f>
        <v/>
      </c>
    </row>
    <row r="54">
      <c r="C54" s="1" t="str">
        <f t="array" ref="C54">IF(NOT(ISBLANK($A54)), (_xlfn.XLOOKUP($A54,Index!$B$2:$B$995,Index!$C$2:$C$995,"Not Found")),"")</f>
        <v/>
      </c>
      <c r="D54" s="1" t="str">
        <f t="array" ref="D54">IF(NOT(ISBLANK(A54)), (_xlfn.XLOOKUP($A54,Index!$B$2:B$995,Index!$A$2:$A$995,"Not Found")),"")</f>
        <v/>
      </c>
      <c r="E54" s="2" t="str">
        <f t="array" ref="E54">IF(NOT(ISBLANK($A54)), (_xlfn.XLOOKUP($A54,Index!$B$2:$B$995,Index!$D$2:$D$995,"Not Found")),"")</f>
        <v/>
      </c>
      <c r="F54" s="1" t="str">
        <f t="array" ref="F54">IF(NOT(ISBLANK($A54)), (_xlfn.XLOOKUP($A54,Index!$B$2:$B$995,Index!$E$2:$E$995,"Not Found")),"")</f>
        <v/>
      </c>
      <c r="G54" s="1" t="str">
        <f t="array" ref="G54">IF(NOT(ISBLANK(A54)), ((_xlfn.XLOOKUP(A54,Index!$B$2:$B$995,Index!$F$2:$F$995,"Not Found"))*B54),"")</f>
        <v/>
      </c>
    </row>
    <row r="55">
      <c r="C55" s="1" t="str">
        <f t="array" ref="C55">IF(NOT(ISBLANK($A55)), (_xlfn.XLOOKUP($A55,Index!$B$2:$B$995,Index!$C$2:$C$995,"Not Found")),"")</f>
        <v/>
      </c>
      <c r="D55" s="1" t="str">
        <f t="array" ref="D55">IF(NOT(ISBLANK(A55)), (_xlfn.XLOOKUP($A55,Index!$B$2:B$995,Index!$A$2:$A$995,"Not Found")),"")</f>
        <v/>
      </c>
      <c r="E55" s="2" t="str">
        <f t="array" ref="E55">IF(NOT(ISBLANK($A55)), (_xlfn.XLOOKUP($A55,Index!$B$2:$B$995,Index!$D$2:$D$995,"Not Found")),"")</f>
        <v/>
      </c>
      <c r="F55" s="1" t="str">
        <f t="array" ref="F55">IF(NOT(ISBLANK($A55)), (_xlfn.XLOOKUP($A55,Index!$B$2:$B$995,Index!$E$2:$E$995,"Not Found")),"")</f>
        <v/>
      </c>
      <c r="G55" s="1" t="str">
        <f t="array" ref="G55">IF(NOT(ISBLANK(A55)), ((_xlfn.XLOOKUP(A55,Index!$B$2:$B$995,Index!$F$2:$F$995,"Not Found"))*B55),"")</f>
        <v/>
      </c>
    </row>
    <row r="56">
      <c r="C56" s="1" t="str">
        <f t="array" ref="C56">IF(NOT(ISBLANK($A56)), (_xlfn.XLOOKUP($A56,Index!$B$2:$B$995,Index!$C$2:$C$995,"Not Found")),"")</f>
        <v/>
      </c>
      <c r="D56" s="1" t="str">
        <f t="array" ref="D56">IF(NOT(ISBLANK(A56)), (_xlfn.XLOOKUP($A56,Index!$B$2:B$995,Index!$A$2:$A$995,"Not Found")),"")</f>
        <v/>
      </c>
      <c r="E56" s="2" t="str">
        <f t="array" ref="E56">IF(NOT(ISBLANK($A56)), (_xlfn.XLOOKUP($A56,Index!$B$2:$B$995,Index!$D$2:$D$995,"Not Found")),"")</f>
        <v/>
      </c>
      <c r="F56" s="1" t="str">
        <f t="array" ref="F56">IF(NOT(ISBLANK($A56)), (_xlfn.XLOOKUP($A56,Index!$B$2:$B$995,Index!$E$2:$E$995,"Not Found")),"")</f>
        <v/>
      </c>
      <c r="G56" s="1" t="str">
        <f t="array" ref="G56">IF(NOT(ISBLANK(A56)), ((_xlfn.XLOOKUP(A56,Index!$B$2:$B$995,Index!$F$2:$F$995,"Not Found"))*B56),"")</f>
        <v/>
      </c>
    </row>
    <row r="57">
      <c r="C57" s="1" t="str">
        <f t="array" ref="C57">IF(NOT(ISBLANK($A57)), (_xlfn.XLOOKUP($A57,Index!$B$2:$B$995,Index!$C$2:$C$995,"Not Found")),"")</f>
        <v/>
      </c>
      <c r="D57" s="1" t="str">
        <f t="array" ref="D57">IF(NOT(ISBLANK(A57)), (_xlfn.XLOOKUP($A57,Index!$B$2:B$995,Index!$A$2:$A$995,"Not Found")),"")</f>
        <v/>
      </c>
      <c r="E57" s="2" t="str">
        <f t="array" ref="E57">IF(NOT(ISBLANK($A57)), (_xlfn.XLOOKUP($A57,Index!$B$2:$B$995,Index!$D$2:$D$995,"Not Found")),"")</f>
        <v/>
      </c>
      <c r="F57" s="1" t="str">
        <f t="array" ref="F57">IF(NOT(ISBLANK($A57)), (_xlfn.XLOOKUP($A57,Index!$B$2:$B$995,Index!$E$2:$E$995,"Not Found")),"")</f>
        <v/>
      </c>
      <c r="G57" s="1" t="str">
        <f t="array" ref="G57">IF(NOT(ISBLANK(A57)), ((_xlfn.XLOOKUP(A57,Index!$B$2:$B$995,Index!$F$2:$F$995,"Not Found"))*B57),"")</f>
        <v/>
      </c>
    </row>
    <row r="58">
      <c r="C58" s="1" t="str">
        <f t="array" ref="C58">IF(NOT(ISBLANK($A58)), (_xlfn.XLOOKUP($A58,Index!$B$2:$B$995,Index!$C$2:$C$995,"Not Found")),"")</f>
        <v/>
      </c>
      <c r="D58" s="1" t="str">
        <f t="array" ref="D58">IF(NOT(ISBLANK(A58)), (_xlfn.XLOOKUP($A58,Index!$B$2:B$995,Index!$A$2:$A$995,"Not Found")),"")</f>
        <v/>
      </c>
      <c r="E58" s="2" t="str">
        <f t="array" ref="E58">IF(NOT(ISBLANK($A58)), (_xlfn.XLOOKUP($A58,Index!$B$2:$B$995,Index!$D$2:$D$995,"Not Found")),"")</f>
        <v/>
      </c>
      <c r="F58" s="1" t="str">
        <f t="array" ref="F58">IF(NOT(ISBLANK($A58)), (_xlfn.XLOOKUP($A58,Index!$B$2:$B$995,Index!$E$2:$E$995,"Not Found")),"")</f>
        <v/>
      </c>
      <c r="G58" s="1" t="str">
        <f t="array" ref="G58">IF(NOT(ISBLANK(A58)), ((_xlfn.XLOOKUP(A58,Index!$B$2:$B$995,Index!$F$2:$F$995,"Not Found"))*B58),"")</f>
        <v/>
      </c>
    </row>
    <row r="59">
      <c r="C59" s="1" t="str">
        <f t="array" ref="C59">IF(NOT(ISBLANK($A59)), (_xlfn.XLOOKUP($A59,Index!$B$2:$B$995,Index!$C$2:$C$995,"Not Found")),"")</f>
        <v/>
      </c>
      <c r="D59" s="1" t="str">
        <f t="array" ref="D59">IF(NOT(ISBLANK(A59)), (_xlfn.XLOOKUP($A59,Index!$B$2:B$995,Index!$A$2:$A$995,"Not Found")),"")</f>
        <v/>
      </c>
      <c r="E59" s="2" t="str">
        <f t="array" ref="E59">IF(NOT(ISBLANK($A59)), (_xlfn.XLOOKUP($A59,Index!$B$2:$B$995,Index!$D$2:$D$995,"Not Found")),"")</f>
        <v/>
      </c>
      <c r="F59" s="1" t="str">
        <f t="array" ref="F59">IF(NOT(ISBLANK($A59)), (_xlfn.XLOOKUP($A59,Index!$B$2:$B$995,Index!$E$2:$E$995,"Not Found")),"")</f>
        <v/>
      </c>
      <c r="G59" s="1" t="str">
        <f t="array" ref="G59">IF(NOT(ISBLANK(A59)), ((_xlfn.XLOOKUP(A59,Index!$B$2:$B$995,Index!$F$2:$F$995,"Not Found"))*B59),"")</f>
        <v/>
      </c>
    </row>
    <row r="60">
      <c r="C60" s="1" t="str">
        <f t="array" ref="C60">IF(NOT(ISBLANK($A60)), (_xlfn.XLOOKUP($A60,Index!$B$2:$B$995,Index!$C$2:$C$995,"Not Found")),"")</f>
        <v/>
      </c>
      <c r="D60" s="1" t="str">
        <f t="array" ref="D60">IF(NOT(ISBLANK(A60)), (_xlfn.XLOOKUP($A60,Index!$B$2:B$995,Index!$A$2:$A$995,"Not Found")),"")</f>
        <v/>
      </c>
      <c r="E60" s="2" t="str">
        <f t="array" ref="E60">IF(NOT(ISBLANK($A60)), (_xlfn.XLOOKUP($A60,Index!$B$2:$B$995,Index!$D$2:$D$995,"Not Found")),"")</f>
        <v/>
      </c>
      <c r="F60" s="1" t="str">
        <f t="array" ref="F60">IF(NOT(ISBLANK($A60)), (_xlfn.XLOOKUP($A60,Index!$B$2:$B$995,Index!$E$2:$E$995,"Not Found")),"")</f>
        <v/>
      </c>
      <c r="G60" s="1" t="str">
        <f t="array" ref="G60">IF(NOT(ISBLANK(A60)), ((_xlfn.XLOOKUP(A60,Index!$B$2:$B$995,Index!$F$2:$F$995,"Not Found"))*B60),"")</f>
        <v/>
      </c>
    </row>
    <row r="61">
      <c r="C61" s="1" t="str">
        <f t="array" ref="C61">IF(NOT(ISBLANK($A61)), (_xlfn.XLOOKUP($A61,Index!$B$2:$B$995,Index!$C$2:$C$995,"Not Found")),"")</f>
        <v/>
      </c>
      <c r="D61" s="1" t="str">
        <f t="array" ref="D61">IF(NOT(ISBLANK(A61)), (_xlfn.XLOOKUP($A61,Index!$B$2:B$995,Index!$A$2:$A$995,"Not Found")),"")</f>
        <v/>
      </c>
      <c r="E61" s="2" t="str">
        <f t="array" ref="E61">IF(NOT(ISBLANK($A61)), (_xlfn.XLOOKUP($A61,Index!$B$2:$B$995,Index!$D$2:$D$995,"Not Found")),"")</f>
        <v/>
      </c>
      <c r="F61" s="1" t="str">
        <f t="array" ref="F61">IF(NOT(ISBLANK($A61)), (_xlfn.XLOOKUP($A61,Index!$B$2:$B$995,Index!$E$2:$E$995,"Not Found")),"")</f>
        <v/>
      </c>
      <c r="G61" s="1" t="str">
        <f t="array" ref="G61">IF(NOT(ISBLANK(A61)), ((_xlfn.XLOOKUP(A61,Index!$B$2:$B$995,Index!$F$2:$F$995,"Not Found"))*B61),"")</f>
        <v/>
      </c>
    </row>
    <row r="62">
      <c r="C62" s="1" t="str">
        <f t="array" ref="C62">IF(NOT(ISBLANK($A62)), (_xlfn.XLOOKUP($A62,Index!$B$2:$B$995,Index!$C$2:$C$995,"Not Found")),"")</f>
        <v/>
      </c>
      <c r="D62" s="1" t="str">
        <f t="array" ref="D62">IF(NOT(ISBLANK(A62)), (_xlfn.XLOOKUP($A62,Index!$B$2:B$995,Index!$A$2:$A$995,"Not Found")),"")</f>
        <v/>
      </c>
      <c r="E62" s="2" t="str">
        <f t="array" ref="E62">IF(NOT(ISBLANK($A62)), (_xlfn.XLOOKUP($A62,Index!$B$2:$B$995,Index!$D$2:$D$995,"Not Found")),"")</f>
        <v/>
      </c>
      <c r="F62" s="1" t="str">
        <f t="array" ref="F62">IF(NOT(ISBLANK($A62)), (_xlfn.XLOOKUP($A62,Index!$B$2:$B$995,Index!$E$2:$E$995,"Not Found")),"")</f>
        <v/>
      </c>
      <c r="G62" s="1" t="str">
        <f t="array" ref="G62">IF(NOT(ISBLANK(A62)), ((_xlfn.XLOOKUP(A62,Index!$B$2:$B$995,Index!$F$2:$F$995,"Not Found"))*B62),"")</f>
        <v/>
      </c>
    </row>
    <row r="63">
      <c r="C63" s="1" t="str">
        <f t="array" ref="C63">IF(NOT(ISBLANK($A63)), (_xlfn.XLOOKUP($A63,Index!$B$2:$B$995,Index!$C$2:$C$995,"Not Found")),"")</f>
        <v/>
      </c>
      <c r="D63" s="1" t="str">
        <f t="array" ref="D63">IF(NOT(ISBLANK(A63)), (_xlfn.XLOOKUP($A63,Index!$B$2:B$995,Index!$A$2:$A$995,"Not Found")),"")</f>
        <v/>
      </c>
      <c r="E63" s="2" t="str">
        <f t="array" ref="E63">IF(NOT(ISBLANK($A63)), (_xlfn.XLOOKUP($A63,Index!$B$2:$B$995,Index!$D$2:$D$995,"Not Found")),"")</f>
        <v/>
      </c>
      <c r="F63" s="1" t="str">
        <f t="array" ref="F63">IF(NOT(ISBLANK($A63)), (_xlfn.XLOOKUP($A63,Index!$B$2:$B$995,Index!$E$2:$E$995,"Not Found")),"")</f>
        <v/>
      </c>
      <c r="G63" s="1" t="str">
        <f t="array" ref="G63">IF(NOT(ISBLANK(A63)), ((_xlfn.XLOOKUP(A63,Index!$B$2:$B$995,Index!$F$2:$F$995,"Not Found"))*B63),"")</f>
        <v/>
      </c>
    </row>
    <row r="64">
      <c r="C64" s="1" t="str">
        <f t="array" ref="C64">IF(NOT(ISBLANK($A64)), (_xlfn.XLOOKUP($A64,Index!$B$2:$B$995,Index!$C$2:$C$995,"Not Found")),"")</f>
        <v/>
      </c>
      <c r="D64" s="1" t="str">
        <f t="array" ref="D64">IF(NOT(ISBLANK(A64)), (_xlfn.XLOOKUP($A64,Index!$B$2:B$995,Index!$A$2:$A$995,"Not Found")),"")</f>
        <v/>
      </c>
      <c r="E64" s="2" t="str">
        <f t="array" ref="E64">IF(NOT(ISBLANK($A64)), (_xlfn.XLOOKUP($A64,Index!$B$2:$B$995,Index!$D$2:$D$995,"Not Found")),"")</f>
        <v/>
      </c>
      <c r="F64" s="1" t="str">
        <f t="array" ref="F64">IF(NOT(ISBLANK($A64)), (_xlfn.XLOOKUP($A64,Index!$B$2:$B$995,Index!$E$2:$E$995,"Not Found")),"")</f>
        <v/>
      </c>
      <c r="G64" s="1" t="str">
        <f t="array" ref="G64">IF(NOT(ISBLANK(A64)), ((_xlfn.XLOOKUP(A64,Index!$B$2:$B$995,Index!$F$2:$F$995,"Not Found"))*B64),"")</f>
        <v/>
      </c>
    </row>
    <row r="65">
      <c r="C65" s="1" t="str">
        <f t="array" ref="C65">IF(NOT(ISBLANK($A65)), (_xlfn.XLOOKUP($A65,Index!$B$2:$B$995,Index!$C$2:$C$995,"Not Found")),"")</f>
        <v/>
      </c>
      <c r="D65" s="1" t="str">
        <f t="array" ref="D65">IF(NOT(ISBLANK(A65)), (_xlfn.XLOOKUP($A65,Index!$B$2:B$995,Index!$A$2:$A$995,"Not Found")),"")</f>
        <v/>
      </c>
      <c r="E65" s="2" t="str">
        <f t="array" ref="E65">IF(NOT(ISBLANK($A65)), (_xlfn.XLOOKUP($A65,Index!$B$2:$B$995,Index!$D$2:$D$995,"Not Found")),"")</f>
        <v/>
      </c>
      <c r="F65" s="1" t="str">
        <f t="array" ref="F65">IF(NOT(ISBLANK($A65)), (_xlfn.XLOOKUP($A65,Index!$B$2:$B$995,Index!$E$2:$E$995,"Not Found")),"")</f>
        <v/>
      </c>
      <c r="G65" s="1" t="str">
        <f t="array" ref="G65">IF(NOT(ISBLANK(A65)), ((_xlfn.XLOOKUP(A65,Index!$B$2:$B$995,Index!$F$2:$F$995,"Not Found"))*B65),"")</f>
        <v/>
      </c>
    </row>
    <row r="66">
      <c r="C66" s="1" t="str">
        <f t="array" ref="C66">IF(NOT(ISBLANK($A66)), (_xlfn.XLOOKUP($A66,Index!$B$2:$B$995,Index!$C$2:$C$995,"Not Found")),"")</f>
        <v/>
      </c>
      <c r="D66" s="1" t="str">
        <f t="array" ref="D66">IF(NOT(ISBLANK(A66)), (_xlfn.XLOOKUP($A66,Index!$B$2:B$995,Index!$A$2:$A$995,"Not Found")),"")</f>
        <v/>
      </c>
      <c r="E66" s="2" t="str">
        <f t="array" ref="E66">IF(NOT(ISBLANK($A66)), (_xlfn.XLOOKUP($A66,Index!$B$2:$B$995,Index!$D$2:$D$995,"Not Found")),"")</f>
        <v/>
      </c>
      <c r="F66" s="1" t="str">
        <f t="array" ref="F66">IF(NOT(ISBLANK($A66)), (_xlfn.XLOOKUP($A66,Index!$B$2:$B$995,Index!$E$2:$E$995,"Not Found")),"")</f>
        <v/>
      </c>
      <c r="G66" s="1" t="str">
        <f t="array" ref="G66">IF(NOT(ISBLANK(A66)), ((_xlfn.XLOOKUP(A66,Index!$B$2:$B$995,Index!$F$2:$F$995,"Not Found"))*B66),"")</f>
        <v/>
      </c>
    </row>
    <row r="67">
      <c r="C67" s="1" t="str">
        <f t="array" ref="C67">IF(NOT(ISBLANK($A67)), (_xlfn.XLOOKUP($A67,Index!$B$2:$B$995,Index!$C$2:$C$995,"Not Found")),"")</f>
        <v/>
      </c>
      <c r="D67" s="1" t="str">
        <f t="array" ref="D67">IF(NOT(ISBLANK(A67)), (_xlfn.XLOOKUP($A67,Index!$B$2:B$995,Index!$A$2:$A$995,"Not Found")),"")</f>
        <v/>
      </c>
      <c r="E67" s="2" t="str">
        <f t="array" ref="E67">IF(NOT(ISBLANK($A67)), (_xlfn.XLOOKUP($A67,Index!$B$2:$B$995,Index!$D$2:$D$995,"Not Found")),"")</f>
        <v/>
      </c>
      <c r="F67" s="1" t="str">
        <f t="array" ref="F67">IF(NOT(ISBLANK($A67)), (_xlfn.XLOOKUP($A67,Index!$B$2:$B$995,Index!$E$2:$E$995,"Not Found")),"")</f>
        <v/>
      </c>
      <c r="G67" s="1" t="str">
        <f t="array" ref="G67">IF(NOT(ISBLANK(A67)), ((_xlfn.XLOOKUP(A67,Index!$B$2:$B$995,Index!$F$2:$F$995,"Not Found"))*B67),"")</f>
        <v/>
      </c>
    </row>
    <row r="68">
      <c r="C68" s="1" t="str">
        <f t="array" ref="C68">IF(NOT(ISBLANK($A68)), (_xlfn.XLOOKUP($A68,Index!$B$2:$B$995,Index!$C$2:$C$995,"Not Found")),"")</f>
        <v/>
      </c>
      <c r="D68" s="1" t="str">
        <f t="array" ref="D68">IF(NOT(ISBLANK(A68)), (_xlfn.XLOOKUP($A68,Index!$B$2:B$995,Index!$A$2:$A$995,"Not Found")),"")</f>
        <v/>
      </c>
      <c r="E68" s="2" t="str">
        <f t="array" ref="E68">IF(NOT(ISBLANK($A68)), (_xlfn.XLOOKUP($A68,Index!$B$2:$B$995,Index!$D$2:$D$995,"Not Found")),"")</f>
        <v/>
      </c>
      <c r="F68" s="1" t="str">
        <f t="array" ref="F68">IF(NOT(ISBLANK($A68)), (_xlfn.XLOOKUP($A68,Index!$B$2:$B$995,Index!$E$2:$E$995,"Not Found")),"")</f>
        <v/>
      </c>
      <c r="G68" s="1" t="str">
        <f t="array" ref="G68">IF(NOT(ISBLANK(A68)), ((_xlfn.XLOOKUP(A68,Index!$B$2:$B$995,Index!$F$2:$F$995,"Not Found"))*B68),"")</f>
        <v/>
      </c>
    </row>
    <row r="69">
      <c r="C69" s="1" t="str">
        <f t="array" ref="C69">IF(NOT(ISBLANK($A69)), (_xlfn.XLOOKUP($A69,Index!$B$2:$B$995,Index!$C$2:$C$995,"Not Found")),"")</f>
        <v/>
      </c>
      <c r="D69" s="1" t="str">
        <f t="array" ref="D69">IF(NOT(ISBLANK(A69)), (_xlfn.XLOOKUP($A69,Index!$B$2:B$995,Index!$A$2:$A$995,"Not Found")),"")</f>
        <v/>
      </c>
      <c r="E69" s="2" t="str">
        <f t="array" ref="E69">IF(NOT(ISBLANK($A69)), (_xlfn.XLOOKUP($A69,Index!$B$2:$B$995,Index!$D$2:$D$995,"Not Found")),"")</f>
        <v/>
      </c>
      <c r="F69" s="1" t="str">
        <f t="array" ref="F69">IF(NOT(ISBLANK($A69)), (_xlfn.XLOOKUP($A69,Index!$B$2:$B$995,Index!$E$2:$E$995,"Not Found")),"")</f>
        <v/>
      </c>
      <c r="G69" s="1" t="str">
        <f t="array" ref="G69">IF(NOT(ISBLANK(A69)), ((_xlfn.XLOOKUP(A69,Index!$B$2:$B$995,Index!$F$2:$F$995,"Not Found"))*B69),"")</f>
        <v/>
      </c>
    </row>
    <row r="70">
      <c r="C70" s="1" t="str">
        <f t="array" ref="C70">IF(NOT(ISBLANK($A70)), (_xlfn.XLOOKUP($A70,Index!$B$2:$B$995,Index!$C$2:$C$995,"Not Found")),"")</f>
        <v/>
      </c>
      <c r="D70" s="1" t="str">
        <f t="array" ref="D70">IF(NOT(ISBLANK(A70)), (_xlfn.XLOOKUP($A70,Index!$B$2:B$995,Index!$A$2:$A$995,"Not Found")),"")</f>
        <v/>
      </c>
      <c r="E70" s="2" t="str">
        <f t="array" ref="E70">IF(NOT(ISBLANK($A70)), (_xlfn.XLOOKUP($A70,Index!$B$2:$B$995,Index!$D$2:$D$995,"Not Found")),"")</f>
        <v/>
      </c>
      <c r="F70" s="1" t="str">
        <f t="array" ref="F70">IF(NOT(ISBLANK($A70)), (_xlfn.XLOOKUP($A70,Index!$B$2:$B$995,Index!$E$2:$E$995,"Not Found")),"")</f>
        <v/>
      </c>
      <c r="G70" s="1" t="str">
        <f t="array" ref="G70">IF(NOT(ISBLANK(A70)), ((_xlfn.XLOOKUP(A70,Index!$B$2:$B$995,Index!$F$2:$F$995,"Not Found"))*B70),"")</f>
        <v/>
      </c>
    </row>
    <row r="71">
      <c r="C71" s="1" t="str">
        <f t="array" ref="C71">IF(NOT(ISBLANK($A71)), (_xlfn.XLOOKUP($A71,Index!$B$2:$B$995,Index!$C$2:$C$995,"Not Found")),"")</f>
        <v/>
      </c>
      <c r="D71" s="1" t="str">
        <f t="array" ref="D71">IF(NOT(ISBLANK(A71)), (_xlfn.XLOOKUP($A71,Index!$B$2:B$995,Index!$A$2:$A$995,"Not Found")),"")</f>
        <v/>
      </c>
      <c r="E71" s="2" t="str">
        <f t="array" ref="E71">IF(NOT(ISBLANK($A71)), (_xlfn.XLOOKUP($A71,Index!$B$2:$B$995,Index!$D$2:$D$995,"Not Found")),"")</f>
        <v/>
      </c>
      <c r="F71" s="1" t="str">
        <f t="array" ref="F71">IF(NOT(ISBLANK($A71)), (_xlfn.XLOOKUP($A71,Index!$B$2:$B$995,Index!$E$2:$E$995,"Not Found")),"")</f>
        <v/>
      </c>
      <c r="G71" s="1" t="str">
        <f t="array" ref="G71">IF(NOT(ISBLANK(A71)), ((_xlfn.XLOOKUP(A71,Index!$B$2:$B$995,Index!$F$2:$F$995,"Not Found"))*B71),"")</f>
        <v/>
      </c>
    </row>
    <row r="72">
      <c r="C72" s="1" t="str">
        <f t="array" ref="C72">IF(NOT(ISBLANK($A72)), (_xlfn.XLOOKUP($A72,Index!$B$2:$B$995,Index!$C$2:$C$995,"Not Found")),"")</f>
        <v/>
      </c>
      <c r="D72" s="1" t="str">
        <f t="array" ref="D72">IF(NOT(ISBLANK(A72)), (_xlfn.XLOOKUP($A72,Index!$B$2:B$995,Index!$A$2:$A$995,"Not Found")),"")</f>
        <v/>
      </c>
      <c r="E72" s="2" t="str">
        <f t="array" ref="E72">IF(NOT(ISBLANK($A72)), (_xlfn.XLOOKUP($A72,Index!$B$2:$B$995,Index!$D$2:$D$995,"Not Found")),"")</f>
        <v/>
      </c>
      <c r="F72" s="1" t="str">
        <f t="array" ref="F72">IF(NOT(ISBLANK($A72)), (_xlfn.XLOOKUP($A72,Index!$B$2:$B$995,Index!$E$2:$E$995,"Not Found")),"")</f>
        <v/>
      </c>
      <c r="G72" s="1" t="str">
        <f t="array" ref="G72">IF(NOT(ISBLANK(A72)), ((_xlfn.XLOOKUP(A72,Index!$B$2:$B$995,Index!$F$2:$F$995,"Not Found"))*B72),"")</f>
        <v/>
      </c>
    </row>
    <row r="73">
      <c r="C73" s="1" t="str">
        <f t="array" ref="C73">IF(NOT(ISBLANK($A73)), (_xlfn.XLOOKUP($A73,Index!$B$2:$B$995,Index!$C$2:$C$995,"Not Found")),"")</f>
        <v/>
      </c>
      <c r="D73" s="1" t="str">
        <f t="array" ref="D73">IF(NOT(ISBLANK(A73)), (_xlfn.XLOOKUP($A73,Index!$B$2:B$995,Index!$A$2:$A$995,"Not Found")),"")</f>
        <v/>
      </c>
      <c r="E73" s="2" t="str">
        <f t="array" ref="E73">IF(NOT(ISBLANK($A73)), (_xlfn.XLOOKUP($A73,Index!$B$2:$B$995,Index!$D$2:$D$995,"Not Found")),"")</f>
        <v/>
      </c>
      <c r="F73" s="1" t="str">
        <f t="array" ref="F73">IF(NOT(ISBLANK($A73)), (_xlfn.XLOOKUP($A73,Index!$B$2:$B$995,Index!$E$2:$E$995,"Not Found")),"")</f>
        <v/>
      </c>
      <c r="G73" s="1" t="str">
        <f t="array" ref="G73">IF(NOT(ISBLANK(A73)), ((_xlfn.XLOOKUP(A73,Index!$B$2:$B$995,Index!$F$2:$F$995,"Not Found"))*B73),"")</f>
        <v/>
      </c>
    </row>
    <row r="74">
      <c r="C74" s="1" t="str">
        <f t="array" ref="C74">IF(NOT(ISBLANK($A74)), (_xlfn.XLOOKUP($A74,Index!$B$2:$B$995,Index!$C$2:$C$995,"Not Found")),"")</f>
        <v/>
      </c>
      <c r="D74" s="1" t="str">
        <f t="array" ref="D74">IF(NOT(ISBLANK(A74)), (_xlfn.XLOOKUP($A74,Index!$B$2:B$995,Index!$A$2:$A$995,"Not Found")),"")</f>
        <v/>
      </c>
      <c r="E74" s="2" t="str">
        <f t="array" ref="E74">IF(NOT(ISBLANK($A74)), (_xlfn.XLOOKUP($A74,Index!$B$2:$B$995,Index!$D$2:$D$995,"Not Found")),"")</f>
        <v/>
      </c>
      <c r="F74" s="1" t="str">
        <f t="array" ref="F74">IF(NOT(ISBLANK($A74)), (_xlfn.XLOOKUP($A74,Index!$B$2:$B$995,Index!$E$2:$E$995,"Not Found")),"")</f>
        <v/>
      </c>
      <c r="G74" s="1" t="str">
        <f t="array" ref="G74">IF(NOT(ISBLANK(A74)), ((_xlfn.XLOOKUP(A74,Index!$B$2:$B$995,Index!$F$2:$F$995,"Not Found"))*B74),"")</f>
        <v/>
      </c>
    </row>
    <row r="75">
      <c r="C75" s="1" t="str">
        <f t="array" ref="C75">IF(NOT(ISBLANK($A75)), (_xlfn.XLOOKUP($A75,Index!$B$2:$B$995,Index!$C$2:$C$995,"Not Found")),"")</f>
        <v/>
      </c>
      <c r="D75" s="1" t="str">
        <f t="array" ref="D75">IF(NOT(ISBLANK(A75)), (_xlfn.XLOOKUP($A75,Index!$B$2:B$995,Index!$A$2:$A$995,"Not Found")),"")</f>
        <v/>
      </c>
      <c r="E75" s="2" t="str">
        <f t="array" ref="E75">IF(NOT(ISBLANK($A75)), (_xlfn.XLOOKUP($A75,Index!$B$2:$B$995,Index!$D$2:$D$995,"Not Found")),"")</f>
        <v/>
      </c>
      <c r="F75" s="1" t="str">
        <f t="array" ref="F75">IF(NOT(ISBLANK($A75)), (_xlfn.XLOOKUP($A75,Index!$B$2:$B$995,Index!$E$2:$E$995,"Not Found")),"")</f>
        <v/>
      </c>
      <c r="G75" s="1" t="str">
        <f t="array" ref="G75">IF(NOT(ISBLANK(A75)), ((_xlfn.XLOOKUP(A75,Index!$B$2:$B$995,Index!$F$2:$F$995,"Not Found"))*B75),"")</f>
        <v/>
      </c>
    </row>
    <row r="76">
      <c r="C76" s="1" t="str">
        <f t="array" ref="C76">IF(NOT(ISBLANK($A76)), (_xlfn.XLOOKUP($A76,Index!$B$2:$B$995,Index!$C$2:$C$995,"Not Found")),"")</f>
        <v/>
      </c>
      <c r="D76" s="1" t="str">
        <f t="array" ref="D76">IF(NOT(ISBLANK(A76)), (_xlfn.XLOOKUP($A76,Index!$B$2:B$995,Index!$A$2:$A$995,"Not Found")),"")</f>
        <v/>
      </c>
      <c r="E76" s="2" t="str">
        <f t="array" ref="E76">IF(NOT(ISBLANK($A76)), (_xlfn.XLOOKUP($A76,Index!$B$2:$B$995,Index!$D$2:$D$995,"Not Found")),"")</f>
        <v/>
      </c>
      <c r="F76" s="1" t="str">
        <f t="array" ref="F76">IF(NOT(ISBLANK($A76)), (_xlfn.XLOOKUP($A76,Index!$B$2:$B$995,Index!$E$2:$E$995,"Not Found")),"")</f>
        <v/>
      </c>
      <c r="G76" s="1" t="str">
        <f t="array" ref="G76">IF(NOT(ISBLANK(A76)), ((_xlfn.XLOOKUP(A76,Index!$B$2:$B$995,Index!$F$2:$F$995,"Not Found"))*B76),"")</f>
        <v/>
      </c>
    </row>
    <row r="77">
      <c r="C77" s="1" t="str">
        <f t="array" ref="C77">IF(NOT(ISBLANK($A77)), (_xlfn.XLOOKUP($A77,Index!$B$2:$B$995,Index!$C$2:$C$995,"Not Found")),"")</f>
        <v/>
      </c>
      <c r="D77" s="1" t="str">
        <f t="array" ref="D77">IF(NOT(ISBLANK(A77)), (_xlfn.XLOOKUP($A77,Index!$B$2:B$995,Index!$A$2:$A$995,"Not Found")),"")</f>
        <v/>
      </c>
      <c r="E77" s="2" t="str">
        <f t="array" ref="E77">IF(NOT(ISBLANK($A77)), (_xlfn.XLOOKUP($A77,Index!$B$2:$B$995,Index!$D$2:$D$995,"Not Found")),"")</f>
        <v/>
      </c>
      <c r="F77" s="1" t="str">
        <f t="array" ref="F77">IF(NOT(ISBLANK($A77)), (_xlfn.XLOOKUP($A77,Index!$B$2:$B$995,Index!$E$2:$E$995,"Not Found")),"")</f>
        <v/>
      </c>
      <c r="G77" s="1" t="str">
        <f t="array" ref="G77">IF(NOT(ISBLANK(A77)), ((_xlfn.XLOOKUP(A77,Index!$B$2:$B$995,Index!$F$2:$F$995,"Not Found"))*B77),"")</f>
        <v/>
      </c>
    </row>
    <row r="78">
      <c r="E78" s="7"/>
    </row>
    <row r="79">
      <c r="E79" s="7"/>
    </row>
    <row r="80">
      <c r="E80" s="7"/>
    </row>
    <row r="81">
      <c r="E81" s="7"/>
    </row>
    <row r="82">
      <c r="E82" s="7"/>
    </row>
    <row r="83">
      <c r="E83" s="7"/>
    </row>
    <row r="84">
      <c r="E84" s="7"/>
    </row>
    <row r="85">
      <c r="E85" s="7"/>
    </row>
    <row r="86">
      <c r="E86" s="7"/>
    </row>
    <row r="87">
      <c r="E87" s="7"/>
    </row>
    <row r="88">
      <c r="E88" s="7"/>
    </row>
    <row r="89">
      <c r="E89" s="7"/>
    </row>
    <row r="90">
      <c r="E90" s="7"/>
    </row>
    <row r="91">
      <c r="E91" s="7"/>
    </row>
    <row r="92">
      <c r="E92" s="7"/>
    </row>
    <row r="93">
      <c r="E93" s="7"/>
    </row>
    <row r="94">
      <c r="E94" s="7"/>
    </row>
    <row r="95">
      <c r="E95" s="7"/>
    </row>
    <row r="96">
      <c r="E96" s="7"/>
    </row>
    <row r="97">
      <c r="E97" s="7"/>
    </row>
    <row r="98">
      <c r="E98" s="7"/>
    </row>
    <row r="99">
      <c r="E99" s="7"/>
    </row>
    <row r="100">
      <c r="E100" s="7"/>
    </row>
    <row r="101">
      <c r="E101" s="7"/>
    </row>
    <row r="102">
      <c r="E102" s="7"/>
    </row>
    <row r="103">
      <c r="E103" s="7"/>
    </row>
    <row r="104">
      <c r="E104" s="7"/>
    </row>
    <row r="105">
      <c r="E105" s="7"/>
    </row>
    <row r="106">
      <c r="E106" s="7"/>
    </row>
    <row r="107">
      <c r="E107" s="7"/>
    </row>
    <row r="108">
      <c r="E108" s="7"/>
    </row>
    <row r="109">
      <c r="E109" s="7"/>
    </row>
    <row r="110">
      <c r="E110" s="7"/>
    </row>
    <row r="111">
      <c r="E111" s="7"/>
    </row>
    <row r="112">
      <c r="E112" s="7"/>
    </row>
    <row r="113">
      <c r="E113" s="7"/>
    </row>
    <row r="114">
      <c r="E114" s="7"/>
    </row>
    <row r="115">
      <c r="E115" s="7"/>
    </row>
    <row r="116">
      <c r="E116" s="7"/>
    </row>
    <row r="117">
      <c r="E117" s="7"/>
    </row>
    <row r="118">
      <c r="E118" s="7"/>
    </row>
    <row r="119">
      <c r="E119" s="7"/>
    </row>
    <row r="120">
      <c r="E120" s="7"/>
    </row>
    <row r="121">
      <c r="E121" s="7"/>
    </row>
    <row r="122">
      <c r="E122" s="7"/>
    </row>
    <row r="123">
      <c r="E123" s="7"/>
    </row>
    <row r="124">
      <c r="E124" s="7"/>
    </row>
    <row r="125">
      <c r="E125" s="7"/>
    </row>
    <row r="126">
      <c r="E126" s="7"/>
    </row>
    <row r="127">
      <c r="E127" s="7"/>
    </row>
    <row r="128">
      <c r="E128" s="7"/>
    </row>
    <row r="129">
      <c r="E129" s="7"/>
    </row>
    <row r="130">
      <c r="E130" s="7"/>
    </row>
    <row r="131">
      <c r="E131" s="7"/>
    </row>
    <row r="132">
      <c r="E132" s="7"/>
    </row>
    <row r="133">
      <c r="E133" s="7"/>
    </row>
    <row r="134">
      <c r="E134" s="7"/>
    </row>
    <row r="135">
      <c r="E135" s="7"/>
    </row>
    <row r="136">
      <c r="E136" s="7"/>
    </row>
    <row r="137">
      <c r="E137" s="7"/>
    </row>
    <row r="138">
      <c r="E138" s="7"/>
    </row>
    <row r="139">
      <c r="E139" s="7"/>
    </row>
    <row r="140">
      <c r="E140" s="7"/>
    </row>
    <row r="141">
      <c r="E141" s="7"/>
    </row>
    <row r="142">
      <c r="E142" s="7"/>
    </row>
    <row r="143">
      <c r="E143" s="7"/>
    </row>
    <row r="144">
      <c r="E144" s="7"/>
    </row>
    <row r="145">
      <c r="E145" s="7"/>
    </row>
    <row r="146">
      <c r="E146" s="7"/>
    </row>
    <row r="147">
      <c r="E147" s="7"/>
    </row>
    <row r="148">
      <c r="E148" s="7"/>
    </row>
    <row r="149">
      <c r="E149" s="7"/>
    </row>
    <row r="150">
      <c r="E150" s="7"/>
    </row>
    <row r="151">
      <c r="E151" s="7"/>
    </row>
    <row r="152">
      <c r="E152" s="7"/>
    </row>
    <row r="153">
      <c r="E153" s="7"/>
    </row>
    <row r="154">
      <c r="E154" s="7"/>
    </row>
    <row r="155">
      <c r="E155" s="7"/>
    </row>
    <row r="156">
      <c r="E156" s="7"/>
    </row>
    <row r="157">
      <c r="E157" s="7"/>
    </row>
    <row r="158">
      <c r="E158" s="7"/>
    </row>
    <row r="159">
      <c r="E159" s="7"/>
    </row>
    <row r="160">
      <c r="E160" s="7"/>
    </row>
    <row r="161">
      <c r="E161" s="7"/>
    </row>
    <row r="162">
      <c r="E162" s="7"/>
    </row>
    <row r="163">
      <c r="E163" s="7"/>
    </row>
    <row r="164">
      <c r="E164" s="7"/>
    </row>
    <row r="165">
      <c r="E165" s="7"/>
    </row>
    <row r="166">
      <c r="E166" s="7"/>
    </row>
    <row r="167">
      <c r="E167" s="7"/>
    </row>
    <row r="168">
      <c r="E168" s="7"/>
    </row>
    <row r="169">
      <c r="E169" s="7"/>
    </row>
    <row r="170">
      <c r="E170" s="7"/>
    </row>
    <row r="171">
      <c r="E171" s="7"/>
    </row>
    <row r="172">
      <c r="E172" s="7"/>
    </row>
    <row r="173">
      <c r="E173" s="7"/>
    </row>
    <row r="174">
      <c r="E174" s="7"/>
    </row>
    <row r="175">
      <c r="E175" s="7"/>
    </row>
    <row r="176">
      <c r="E176" s="7"/>
    </row>
    <row r="177">
      <c r="E177" s="7"/>
    </row>
    <row r="178">
      <c r="E178" s="7"/>
    </row>
    <row r="179">
      <c r="E179" s="7"/>
    </row>
    <row r="180">
      <c r="E180" s="7"/>
    </row>
    <row r="181">
      <c r="E181" s="7"/>
    </row>
    <row r="182">
      <c r="E182" s="7"/>
    </row>
    <row r="183">
      <c r="E183" s="7"/>
    </row>
    <row r="184">
      <c r="E184" s="7"/>
    </row>
    <row r="185">
      <c r="E185" s="7"/>
    </row>
    <row r="186">
      <c r="E186" s="7"/>
    </row>
    <row r="187">
      <c r="E187" s="7"/>
    </row>
    <row r="188">
      <c r="E188" s="7"/>
    </row>
    <row r="189">
      <c r="E189" s="7"/>
    </row>
    <row r="190">
      <c r="E190" s="7"/>
    </row>
    <row r="191">
      <c r="E191" s="7"/>
    </row>
    <row r="192">
      <c r="E192" s="7"/>
    </row>
    <row r="193">
      <c r="E193" s="7"/>
    </row>
    <row r="194">
      <c r="E194" s="7"/>
    </row>
    <row r="195">
      <c r="E195" s="7"/>
    </row>
    <row r="196">
      <c r="E196" s="7"/>
    </row>
    <row r="197">
      <c r="E197" s="7"/>
    </row>
    <row r="198">
      <c r="E198" s="7"/>
    </row>
    <row r="199">
      <c r="E199" s="7"/>
    </row>
    <row r="200">
      <c r="E200" s="7"/>
    </row>
    <row r="201">
      <c r="E201" s="7"/>
    </row>
    <row r="202">
      <c r="E202" s="7"/>
    </row>
    <row r="203">
      <c r="E203" s="7"/>
    </row>
    <row r="204">
      <c r="E204" s="7"/>
    </row>
    <row r="205">
      <c r="E205" s="7"/>
    </row>
    <row r="206">
      <c r="E206" s="7"/>
    </row>
    <row r="207">
      <c r="E207" s="7"/>
    </row>
    <row r="208">
      <c r="E208" s="7"/>
    </row>
    <row r="209">
      <c r="E209" s="7"/>
    </row>
    <row r="210">
      <c r="E210" s="7"/>
    </row>
    <row r="211">
      <c r="E211" s="7"/>
    </row>
    <row r="212">
      <c r="E212" s="7"/>
    </row>
    <row r="213">
      <c r="E213" s="7"/>
    </row>
    <row r="214">
      <c r="E214" s="7"/>
    </row>
    <row r="215">
      <c r="E215" s="7"/>
    </row>
    <row r="216">
      <c r="E216" s="7"/>
    </row>
    <row r="217">
      <c r="E217" s="7"/>
    </row>
    <row r="218">
      <c r="E218" s="7"/>
    </row>
    <row r="219">
      <c r="E219" s="7"/>
    </row>
    <row r="220">
      <c r="E220" s="7"/>
    </row>
    <row r="221">
      <c r="E221" s="7"/>
    </row>
    <row r="222">
      <c r="E222" s="7"/>
    </row>
    <row r="223">
      <c r="E223" s="7"/>
    </row>
    <row r="224">
      <c r="E224" s="7"/>
    </row>
    <row r="225">
      <c r="E225" s="7"/>
    </row>
    <row r="226">
      <c r="E226" s="7"/>
    </row>
    <row r="227">
      <c r="E227" s="7"/>
    </row>
    <row r="228">
      <c r="E228" s="7"/>
    </row>
    <row r="229">
      <c r="E229" s="7"/>
    </row>
    <row r="230">
      <c r="E230" s="7"/>
    </row>
    <row r="231">
      <c r="E231" s="7"/>
    </row>
    <row r="232">
      <c r="E232" s="7"/>
    </row>
    <row r="233">
      <c r="E233" s="7"/>
    </row>
    <row r="234">
      <c r="E234" s="7"/>
    </row>
    <row r="235">
      <c r="E235" s="7"/>
    </row>
    <row r="236">
      <c r="E236" s="7"/>
    </row>
    <row r="237">
      <c r="E237" s="7"/>
    </row>
    <row r="238">
      <c r="E238" s="7"/>
    </row>
    <row r="239">
      <c r="E239" s="7"/>
    </row>
    <row r="240">
      <c r="E240" s="7"/>
    </row>
    <row r="241">
      <c r="E241" s="7"/>
    </row>
    <row r="242">
      <c r="E242" s="7"/>
    </row>
    <row r="243">
      <c r="E243" s="7"/>
    </row>
    <row r="244">
      <c r="E244" s="7"/>
    </row>
    <row r="245">
      <c r="E245" s="7"/>
    </row>
    <row r="246">
      <c r="E246" s="7"/>
    </row>
    <row r="247">
      <c r="E247" s="7"/>
    </row>
    <row r="248">
      <c r="E248" s="7"/>
    </row>
    <row r="249">
      <c r="E249" s="7"/>
    </row>
    <row r="250">
      <c r="E250" s="7"/>
    </row>
    <row r="251">
      <c r="E251" s="7"/>
    </row>
    <row r="252">
      <c r="E252" s="7"/>
    </row>
    <row r="253">
      <c r="E253" s="7"/>
    </row>
    <row r="254">
      <c r="E254" s="7"/>
    </row>
    <row r="255">
      <c r="E255" s="7"/>
    </row>
    <row r="256">
      <c r="E256" s="7"/>
    </row>
    <row r="257">
      <c r="E257" s="7"/>
    </row>
    <row r="258">
      <c r="E258" s="7"/>
    </row>
    <row r="259">
      <c r="E259" s="7"/>
    </row>
    <row r="260">
      <c r="E260" s="7"/>
    </row>
    <row r="261">
      <c r="E261" s="7"/>
    </row>
    <row r="262">
      <c r="E262" s="7"/>
    </row>
    <row r="263">
      <c r="E263" s="7"/>
    </row>
    <row r="264">
      <c r="E264" s="7"/>
    </row>
    <row r="265">
      <c r="E265" s="7"/>
    </row>
    <row r="266">
      <c r="E266" s="7"/>
    </row>
    <row r="267">
      <c r="E267" s="7"/>
    </row>
    <row r="268">
      <c r="E268" s="7"/>
    </row>
    <row r="269">
      <c r="E269" s="7"/>
    </row>
    <row r="270">
      <c r="E270" s="7"/>
    </row>
    <row r="271">
      <c r="E271" s="7"/>
    </row>
    <row r="272">
      <c r="E272" s="7"/>
    </row>
    <row r="273">
      <c r="E273" s="7"/>
    </row>
    <row r="274">
      <c r="E274" s="7"/>
    </row>
    <row r="275">
      <c r="E275" s="7"/>
    </row>
    <row r="276">
      <c r="E276" s="7"/>
    </row>
    <row r="277">
      <c r="E277" s="7"/>
    </row>
    <row r="278">
      <c r="E278" s="7"/>
    </row>
    <row r="279">
      <c r="E279" s="7"/>
    </row>
    <row r="280">
      <c r="E280" s="7"/>
    </row>
    <row r="281">
      <c r="E281" s="7"/>
    </row>
    <row r="282">
      <c r="E282" s="7"/>
    </row>
    <row r="283">
      <c r="E283" s="7"/>
    </row>
    <row r="284">
      <c r="E284" s="7"/>
    </row>
    <row r="285">
      <c r="E285" s="7"/>
    </row>
    <row r="286">
      <c r="E286" s="7"/>
    </row>
    <row r="287">
      <c r="E287" s="7"/>
    </row>
    <row r="288">
      <c r="E288" s="7"/>
    </row>
    <row r="289">
      <c r="E289" s="7"/>
    </row>
    <row r="290">
      <c r="E290" s="7"/>
    </row>
    <row r="291">
      <c r="E291" s="7"/>
    </row>
    <row r="292">
      <c r="E292" s="7"/>
    </row>
    <row r="293">
      <c r="E293" s="7"/>
    </row>
    <row r="294">
      <c r="E294" s="7"/>
    </row>
    <row r="295">
      <c r="E295" s="7"/>
    </row>
    <row r="296">
      <c r="E296" s="7"/>
    </row>
    <row r="297">
      <c r="E297" s="7"/>
    </row>
    <row r="298">
      <c r="E298" s="7"/>
    </row>
    <row r="299">
      <c r="E299" s="7"/>
    </row>
    <row r="300">
      <c r="E300" s="7"/>
    </row>
    <row r="301">
      <c r="E301" s="7"/>
    </row>
    <row r="302">
      <c r="E302" s="7"/>
    </row>
    <row r="303">
      <c r="E303" s="7"/>
    </row>
    <row r="304">
      <c r="E304" s="7"/>
    </row>
    <row r="305">
      <c r="E305" s="7"/>
    </row>
    <row r="306">
      <c r="E306" s="7"/>
    </row>
    <row r="307">
      <c r="E307" s="7"/>
    </row>
    <row r="308">
      <c r="E308" s="7"/>
    </row>
    <row r="309">
      <c r="E309" s="7"/>
    </row>
    <row r="310">
      <c r="E310" s="7"/>
    </row>
    <row r="311">
      <c r="E311" s="7"/>
    </row>
    <row r="312">
      <c r="E312" s="7"/>
    </row>
    <row r="313">
      <c r="E313" s="7"/>
    </row>
    <row r="314">
      <c r="E314" s="7"/>
    </row>
    <row r="315">
      <c r="E315" s="7"/>
    </row>
    <row r="316">
      <c r="E316" s="7"/>
    </row>
    <row r="317">
      <c r="E317" s="7"/>
    </row>
    <row r="318">
      <c r="E318" s="7"/>
    </row>
    <row r="319">
      <c r="E319" s="7"/>
    </row>
    <row r="320">
      <c r="E320" s="7"/>
    </row>
    <row r="321">
      <c r="E321" s="7"/>
    </row>
    <row r="322">
      <c r="E322" s="7"/>
    </row>
    <row r="323">
      <c r="E323" s="7"/>
    </row>
    <row r="324">
      <c r="E324" s="7"/>
    </row>
    <row r="325">
      <c r="E325" s="7"/>
    </row>
    <row r="326">
      <c r="E326" s="7"/>
    </row>
    <row r="327">
      <c r="E327" s="7"/>
    </row>
    <row r="328">
      <c r="E328" s="7"/>
    </row>
    <row r="329">
      <c r="E329" s="7"/>
    </row>
    <row r="330">
      <c r="E330" s="7"/>
    </row>
    <row r="331">
      <c r="E331" s="7"/>
    </row>
    <row r="332">
      <c r="E332" s="7"/>
    </row>
    <row r="333">
      <c r="E333" s="7"/>
    </row>
    <row r="334">
      <c r="E334" s="7"/>
    </row>
    <row r="335">
      <c r="E335" s="7"/>
    </row>
    <row r="336">
      <c r="E336" s="7"/>
    </row>
    <row r="337">
      <c r="E337" s="7"/>
    </row>
    <row r="338">
      <c r="E338" s="7"/>
    </row>
    <row r="339">
      <c r="E339" s="7"/>
    </row>
    <row r="340">
      <c r="E340" s="7"/>
    </row>
    <row r="341">
      <c r="E341" s="7"/>
    </row>
    <row r="342">
      <c r="E342" s="7"/>
    </row>
    <row r="343">
      <c r="E343" s="7"/>
    </row>
    <row r="344">
      <c r="E344" s="7"/>
    </row>
    <row r="345">
      <c r="E345" s="7"/>
    </row>
    <row r="346">
      <c r="E346" s="7"/>
    </row>
    <row r="347">
      <c r="E347" s="7"/>
    </row>
    <row r="348">
      <c r="E348" s="7"/>
    </row>
    <row r="349">
      <c r="E349" s="7"/>
    </row>
    <row r="350">
      <c r="E350" s="7"/>
    </row>
    <row r="351">
      <c r="E351" s="7"/>
    </row>
    <row r="352">
      <c r="E352" s="7"/>
    </row>
    <row r="353">
      <c r="E353" s="7"/>
    </row>
    <row r="354">
      <c r="E354" s="7"/>
    </row>
    <row r="355">
      <c r="E355" s="7"/>
    </row>
    <row r="356">
      <c r="E356" s="7"/>
    </row>
    <row r="357">
      <c r="E357" s="7"/>
    </row>
    <row r="358">
      <c r="E358" s="7"/>
    </row>
    <row r="359">
      <c r="E359" s="7"/>
    </row>
    <row r="360">
      <c r="E360" s="7"/>
    </row>
    <row r="361">
      <c r="E361" s="7"/>
    </row>
    <row r="362">
      <c r="E362" s="7"/>
    </row>
    <row r="363">
      <c r="E363" s="7"/>
    </row>
    <row r="364">
      <c r="E364" s="7"/>
    </row>
    <row r="365">
      <c r="E365" s="7"/>
    </row>
    <row r="366">
      <c r="E366" s="7"/>
    </row>
    <row r="367">
      <c r="E367" s="7"/>
    </row>
    <row r="368">
      <c r="E368" s="7"/>
    </row>
    <row r="369">
      <c r="E369" s="7"/>
    </row>
    <row r="370">
      <c r="E370" s="7"/>
    </row>
    <row r="371">
      <c r="E371" s="7"/>
    </row>
    <row r="372">
      <c r="E372" s="7"/>
    </row>
    <row r="373">
      <c r="E373" s="7"/>
    </row>
    <row r="374">
      <c r="E374" s="7"/>
    </row>
    <row r="375">
      <c r="E375" s="7"/>
    </row>
    <row r="376">
      <c r="E376" s="7"/>
    </row>
    <row r="377">
      <c r="E377" s="7"/>
    </row>
    <row r="378">
      <c r="E378" s="7"/>
    </row>
    <row r="379">
      <c r="E379" s="7"/>
    </row>
    <row r="380">
      <c r="E380" s="7"/>
    </row>
    <row r="381">
      <c r="E381" s="7"/>
    </row>
    <row r="382">
      <c r="E382" s="7"/>
    </row>
    <row r="383">
      <c r="E383" s="7"/>
    </row>
    <row r="384">
      <c r="E384" s="7"/>
    </row>
    <row r="385">
      <c r="E385" s="7"/>
    </row>
    <row r="386">
      <c r="E386" s="7"/>
    </row>
    <row r="387">
      <c r="E387" s="7"/>
    </row>
    <row r="388">
      <c r="E388" s="7"/>
    </row>
    <row r="389">
      <c r="E389" s="7"/>
    </row>
    <row r="390">
      <c r="E390" s="7"/>
    </row>
    <row r="391">
      <c r="E391" s="7"/>
    </row>
    <row r="392">
      <c r="E392" s="7"/>
    </row>
    <row r="393">
      <c r="E393" s="7"/>
    </row>
    <row r="394">
      <c r="E394" s="7"/>
    </row>
    <row r="395">
      <c r="E395" s="7"/>
    </row>
    <row r="396">
      <c r="E396" s="7"/>
    </row>
    <row r="397">
      <c r="E397" s="7"/>
    </row>
    <row r="398">
      <c r="E398" s="7"/>
    </row>
    <row r="399">
      <c r="E399" s="7"/>
    </row>
    <row r="400">
      <c r="E400" s="7"/>
    </row>
    <row r="401">
      <c r="E401" s="7"/>
    </row>
    <row r="402">
      <c r="E402" s="7"/>
    </row>
    <row r="403">
      <c r="E403" s="7"/>
    </row>
    <row r="404">
      <c r="E404" s="7"/>
    </row>
    <row r="405">
      <c r="E405" s="7"/>
    </row>
    <row r="406">
      <c r="E406" s="7"/>
    </row>
    <row r="407">
      <c r="E407" s="7"/>
    </row>
    <row r="408">
      <c r="E408" s="7"/>
    </row>
    <row r="409">
      <c r="E409" s="7"/>
    </row>
    <row r="410">
      <c r="E410" s="7"/>
    </row>
    <row r="411">
      <c r="E411" s="7"/>
    </row>
    <row r="412">
      <c r="E412" s="7"/>
    </row>
    <row r="413">
      <c r="E413" s="7"/>
    </row>
    <row r="414">
      <c r="E414" s="7"/>
    </row>
    <row r="415">
      <c r="E415" s="7"/>
    </row>
    <row r="416">
      <c r="E416" s="7"/>
    </row>
    <row r="417">
      <c r="E417" s="7"/>
    </row>
    <row r="418">
      <c r="E418" s="7"/>
    </row>
    <row r="419">
      <c r="E419" s="7"/>
    </row>
    <row r="420">
      <c r="E420" s="7"/>
    </row>
    <row r="421">
      <c r="E421" s="7"/>
    </row>
    <row r="422">
      <c r="E422" s="7"/>
    </row>
    <row r="423">
      <c r="E423" s="7"/>
    </row>
    <row r="424">
      <c r="E424" s="7"/>
    </row>
    <row r="425">
      <c r="E425" s="7"/>
    </row>
    <row r="426">
      <c r="E426" s="7"/>
    </row>
    <row r="427">
      <c r="E427" s="7"/>
    </row>
    <row r="428">
      <c r="E428" s="7"/>
    </row>
    <row r="429">
      <c r="E429" s="7"/>
    </row>
    <row r="430">
      <c r="E430" s="7"/>
    </row>
    <row r="431">
      <c r="E431" s="7"/>
    </row>
    <row r="432">
      <c r="E432" s="7"/>
    </row>
    <row r="433">
      <c r="E433" s="7"/>
    </row>
    <row r="434">
      <c r="E434" s="7"/>
    </row>
    <row r="435">
      <c r="E435" s="7"/>
    </row>
    <row r="436">
      <c r="E436" s="7"/>
    </row>
    <row r="437">
      <c r="E437" s="7"/>
    </row>
    <row r="438">
      <c r="E438" s="7"/>
    </row>
    <row r="439">
      <c r="E439" s="7"/>
    </row>
    <row r="440">
      <c r="E440" s="7"/>
    </row>
    <row r="441">
      <c r="E441" s="7"/>
    </row>
    <row r="442">
      <c r="E442" s="7"/>
    </row>
    <row r="443">
      <c r="E443" s="7"/>
    </row>
    <row r="444">
      <c r="E444" s="7"/>
    </row>
    <row r="445">
      <c r="E445" s="7"/>
    </row>
    <row r="446">
      <c r="E446" s="7"/>
    </row>
    <row r="447">
      <c r="E447" s="7"/>
    </row>
    <row r="448">
      <c r="E448" s="7"/>
    </row>
    <row r="449">
      <c r="E449" s="7"/>
    </row>
    <row r="450">
      <c r="E450" s="7"/>
    </row>
    <row r="451">
      <c r="E451" s="7"/>
    </row>
    <row r="452">
      <c r="E452" s="7"/>
    </row>
    <row r="453">
      <c r="E453" s="7"/>
    </row>
    <row r="454">
      <c r="E454" s="7"/>
    </row>
    <row r="455">
      <c r="E455" s="7"/>
    </row>
    <row r="456">
      <c r="E456" s="7"/>
    </row>
    <row r="457">
      <c r="E457" s="7"/>
    </row>
    <row r="458">
      <c r="E458" s="7"/>
    </row>
    <row r="459">
      <c r="E459" s="7"/>
    </row>
    <row r="460">
      <c r="E460" s="7"/>
    </row>
    <row r="461">
      <c r="E461" s="7"/>
    </row>
    <row r="462">
      <c r="E462" s="7"/>
    </row>
    <row r="463">
      <c r="E463" s="7"/>
    </row>
    <row r="464">
      <c r="E464" s="7"/>
    </row>
    <row r="465">
      <c r="E465" s="7"/>
    </row>
    <row r="466">
      <c r="E466" s="7"/>
    </row>
    <row r="467">
      <c r="E467" s="7"/>
    </row>
    <row r="468">
      <c r="E468" s="7"/>
    </row>
    <row r="469">
      <c r="E469" s="7"/>
    </row>
    <row r="470">
      <c r="E470" s="7"/>
    </row>
    <row r="471">
      <c r="E471" s="7"/>
    </row>
    <row r="472">
      <c r="E472" s="7"/>
    </row>
    <row r="473">
      <c r="E473" s="7"/>
    </row>
    <row r="474">
      <c r="E474" s="7"/>
    </row>
    <row r="475">
      <c r="E475" s="7"/>
    </row>
    <row r="476">
      <c r="E476" s="7"/>
    </row>
    <row r="477">
      <c r="E477" s="7"/>
    </row>
    <row r="478">
      <c r="E478" s="7"/>
    </row>
    <row r="479">
      <c r="E479" s="7"/>
    </row>
    <row r="480">
      <c r="E480" s="7"/>
    </row>
    <row r="481">
      <c r="E481" s="7"/>
    </row>
    <row r="482">
      <c r="E482" s="7"/>
    </row>
    <row r="483">
      <c r="E483" s="7"/>
    </row>
    <row r="484">
      <c r="E484" s="7"/>
    </row>
    <row r="485">
      <c r="E485" s="7"/>
    </row>
    <row r="486">
      <c r="E486" s="7"/>
    </row>
    <row r="487">
      <c r="E487" s="7"/>
    </row>
    <row r="488">
      <c r="E488" s="7"/>
    </row>
    <row r="489">
      <c r="E489" s="7"/>
    </row>
    <row r="490">
      <c r="E490" s="7"/>
    </row>
    <row r="491">
      <c r="E491" s="7"/>
    </row>
    <row r="492">
      <c r="E492" s="7"/>
    </row>
    <row r="493">
      <c r="E493" s="7"/>
    </row>
    <row r="494">
      <c r="E494" s="7"/>
    </row>
    <row r="495">
      <c r="E495" s="7"/>
    </row>
    <row r="496">
      <c r="E496" s="7"/>
    </row>
    <row r="497">
      <c r="E497" s="7"/>
    </row>
    <row r="498">
      <c r="E498" s="7"/>
    </row>
    <row r="499">
      <c r="E499" s="7"/>
    </row>
    <row r="500">
      <c r="E500" s="7"/>
    </row>
    <row r="501">
      <c r="E501" s="7"/>
    </row>
    <row r="502">
      <c r="E502" s="7"/>
    </row>
    <row r="503">
      <c r="E503" s="7"/>
    </row>
    <row r="504">
      <c r="E504" s="7"/>
    </row>
    <row r="505">
      <c r="E505" s="7"/>
    </row>
    <row r="506">
      <c r="E506" s="7"/>
    </row>
    <row r="507">
      <c r="E507" s="7"/>
    </row>
    <row r="508">
      <c r="E508" s="7"/>
    </row>
    <row r="509">
      <c r="E509" s="7"/>
    </row>
    <row r="510">
      <c r="E510" s="7"/>
    </row>
    <row r="511">
      <c r="E511" s="7"/>
    </row>
    <row r="512">
      <c r="E512" s="7"/>
    </row>
    <row r="513">
      <c r="E513" s="7"/>
    </row>
    <row r="514">
      <c r="E514" s="7"/>
    </row>
    <row r="515">
      <c r="E515" s="7"/>
    </row>
    <row r="516">
      <c r="E516" s="7"/>
    </row>
    <row r="517">
      <c r="E517" s="7"/>
    </row>
    <row r="518">
      <c r="E518" s="7"/>
    </row>
    <row r="519">
      <c r="E519" s="7"/>
    </row>
    <row r="520">
      <c r="E520" s="7"/>
    </row>
    <row r="521">
      <c r="E521" s="7"/>
    </row>
    <row r="522">
      <c r="E522" s="7"/>
    </row>
    <row r="523">
      <c r="E523" s="7"/>
    </row>
    <row r="524">
      <c r="E524" s="7"/>
    </row>
    <row r="525">
      <c r="E525" s="7"/>
    </row>
    <row r="526">
      <c r="E526" s="7"/>
    </row>
    <row r="527">
      <c r="E527" s="7"/>
    </row>
    <row r="528">
      <c r="E528" s="7"/>
    </row>
    <row r="529">
      <c r="E529" s="7"/>
    </row>
    <row r="530">
      <c r="E530" s="7"/>
    </row>
    <row r="531">
      <c r="E531" s="7"/>
    </row>
    <row r="532">
      <c r="E532" s="7"/>
    </row>
    <row r="533">
      <c r="E533" s="7"/>
    </row>
    <row r="534">
      <c r="E534" s="7"/>
    </row>
    <row r="535">
      <c r="E535" s="7"/>
    </row>
    <row r="536">
      <c r="E536" s="7"/>
    </row>
    <row r="537">
      <c r="E537" s="7"/>
    </row>
    <row r="538">
      <c r="E538" s="7"/>
    </row>
    <row r="539">
      <c r="E539" s="7"/>
    </row>
    <row r="540">
      <c r="E540" s="7"/>
    </row>
    <row r="541">
      <c r="E541" s="7"/>
    </row>
    <row r="542">
      <c r="E542" s="7"/>
    </row>
    <row r="543">
      <c r="E543" s="7"/>
    </row>
    <row r="544">
      <c r="E544" s="7"/>
    </row>
    <row r="545">
      <c r="E545" s="7"/>
    </row>
    <row r="546">
      <c r="E546" s="7"/>
    </row>
    <row r="547">
      <c r="E547" s="7"/>
    </row>
    <row r="548">
      <c r="E548" s="7"/>
    </row>
    <row r="549">
      <c r="E549" s="7"/>
    </row>
    <row r="550">
      <c r="E550" s="7"/>
    </row>
    <row r="551">
      <c r="E551" s="7"/>
    </row>
    <row r="552">
      <c r="E552" s="7"/>
    </row>
    <row r="553">
      <c r="E553" s="7"/>
    </row>
    <row r="554">
      <c r="E554" s="7"/>
    </row>
    <row r="555">
      <c r="E555" s="7"/>
    </row>
    <row r="556">
      <c r="E556" s="7"/>
    </row>
    <row r="557">
      <c r="E557" s="7"/>
    </row>
    <row r="558">
      <c r="E558" s="7"/>
    </row>
    <row r="559">
      <c r="E559" s="7"/>
    </row>
    <row r="560">
      <c r="E560" s="7"/>
    </row>
    <row r="561">
      <c r="E561" s="7"/>
    </row>
    <row r="562">
      <c r="E562" s="7"/>
    </row>
    <row r="563">
      <c r="E563" s="7"/>
    </row>
    <row r="564">
      <c r="E564" s="7"/>
    </row>
    <row r="565">
      <c r="E565" s="7"/>
    </row>
    <row r="566">
      <c r="E566" s="7"/>
    </row>
    <row r="567">
      <c r="E567" s="7"/>
    </row>
    <row r="568">
      <c r="E568" s="7"/>
    </row>
    <row r="569">
      <c r="E569" s="7"/>
    </row>
    <row r="570">
      <c r="E570" s="7"/>
    </row>
    <row r="571">
      <c r="E571" s="7"/>
    </row>
    <row r="572">
      <c r="E572" s="7"/>
    </row>
    <row r="573">
      <c r="E573" s="7"/>
    </row>
    <row r="574">
      <c r="E574" s="7"/>
    </row>
    <row r="575">
      <c r="E575" s="7"/>
    </row>
    <row r="576">
      <c r="E576" s="7"/>
    </row>
    <row r="577">
      <c r="E577" s="7"/>
    </row>
    <row r="578">
      <c r="E578" s="7"/>
    </row>
    <row r="579">
      <c r="E579" s="7"/>
    </row>
    <row r="580">
      <c r="E580" s="7"/>
    </row>
    <row r="581">
      <c r="E581" s="7"/>
    </row>
    <row r="582">
      <c r="E582" s="7"/>
    </row>
    <row r="583">
      <c r="E583" s="7"/>
    </row>
    <row r="584">
      <c r="E584" s="7"/>
    </row>
    <row r="585">
      <c r="E585" s="7"/>
    </row>
    <row r="586">
      <c r="E586" s="7"/>
    </row>
    <row r="587">
      <c r="E587" s="7"/>
    </row>
    <row r="588">
      <c r="E588" s="7"/>
    </row>
    <row r="589">
      <c r="E589" s="7"/>
    </row>
    <row r="590">
      <c r="E590" s="7"/>
    </row>
    <row r="591">
      <c r="E591" s="7"/>
    </row>
    <row r="592">
      <c r="E592" s="7"/>
    </row>
    <row r="593">
      <c r="E593" s="7"/>
    </row>
    <row r="594">
      <c r="E594" s="7"/>
    </row>
    <row r="595">
      <c r="E595" s="7"/>
    </row>
    <row r="596">
      <c r="E596" s="7"/>
    </row>
    <row r="597">
      <c r="E597" s="7"/>
    </row>
    <row r="598">
      <c r="E598" s="7"/>
    </row>
    <row r="599">
      <c r="E599" s="7"/>
    </row>
    <row r="600">
      <c r="E600" s="7"/>
    </row>
    <row r="601">
      <c r="E601" s="7"/>
    </row>
    <row r="602">
      <c r="E602" s="7"/>
    </row>
    <row r="603">
      <c r="E603" s="7"/>
    </row>
    <row r="604">
      <c r="E604" s="7"/>
    </row>
    <row r="605">
      <c r="E605" s="7"/>
    </row>
    <row r="606">
      <c r="E606" s="7"/>
    </row>
    <row r="607">
      <c r="E607" s="7"/>
    </row>
    <row r="608">
      <c r="E608" s="7"/>
    </row>
    <row r="609">
      <c r="E609" s="7"/>
    </row>
    <row r="610">
      <c r="E610" s="7"/>
    </row>
    <row r="611">
      <c r="E611" s="7"/>
    </row>
    <row r="612">
      <c r="E612" s="7"/>
    </row>
    <row r="613">
      <c r="E613" s="7"/>
    </row>
    <row r="614">
      <c r="E614" s="7"/>
    </row>
    <row r="615">
      <c r="E615" s="7"/>
    </row>
    <row r="616">
      <c r="E616" s="7"/>
    </row>
    <row r="617">
      <c r="E617" s="7"/>
    </row>
    <row r="618">
      <c r="E618" s="7"/>
    </row>
    <row r="619">
      <c r="E619" s="7"/>
    </row>
    <row r="620">
      <c r="E620" s="7"/>
    </row>
    <row r="621">
      <c r="E621" s="7"/>
    </row>
    <row r="622">
      <c r="E622" s="7"/>
    </row>
    <row r="623">
      <c r="E623" s="7"/>
    </row>
    <row r="624">
      <c r="E624" s="7"/>
    </row>
    <row r="625">
      <c r="E625" s="7"/>
    </row>
    <row r="626">
      <c r="E626" s="7"/>
    </row>
    <row r="627">
      <c r="E627" s="7"/>
    </row>
    <row r="628">
      <c r="E628" s="7"/>
    </row>
    <row r="629">
      <c r="E629" s="7"/>
    </row>
    <row r="630">
      <c r="E630" s="7"/>
    </row>
    <row r="631">
      <c r="E631" s="7"/>
    </row>
    <row r="632">
      <c r="E632" s="7"/>
    </row>
    <row r="633">
      <c r="E633" s="7"/>
    </row>
    <row r="634">
      <c r="E634" s="7"/>
    </row>
    <row r="635">
      <c r="E635" s="7"/>
    </row>
    <row r="636">
      <c r="E636" s="7"/>
    </row>
    <row r="637">
      <c r="E637" s="7"/>
    </row>
    <row r="638">
      <c r="E638" s="7"/>
    </row>
    <row r="639">
      <c r="E639" s="7"/>
    </row>
    <row r="640">
      <c r="E640" s="7"/>
    </row>
    <row r="641">
      <c r="E641" s="7"/>
    </row>
    <row r="642">
      <c r="E642" s="7"/>
    </row>
    <row r="643">
      <c r="E643" s="7"/>
    </row>
    <row r="644">
      <c r="E644" s="7"/>
    </row>
    <row r="645">
      <c r="E645" s="7"/>
    </row>
    <row r="646">
      <c r="E646" s="7"/>
    </row>
    <row r="647">
      <c r="E647" s="7"/>
    </row>
    <row r="648">
      <c r="E648" s="7"/>
    </row>
    <row r="649">
      <c r="E649" s="7"/>
    </row>
    <row r="650">
      <c r="E650" s="7"/>
    </row>
    <row r="651">
      <c r="E651" s="7"/>
    </row>
    <row r="652">
      <c r="E652" s="7"/>
    </row>
    <row r="653">
      <c r="E653" s="7"/>
    </row>
    <row r="654">
      <c r="E654" s="7"/>
    </row>
    <row r="655">
      <c r="E655" s="7"/>
    </row>
    <row r="656">
      <c r="E656" s="7"/>
    </row>
    <row r="657">
      <c r="E657" s="7"/>
    </row>
    <row r="658">
      <c r="E658" s="7"/>
    </row>
    <row r="659">
      <c r="E659" s="7"/>
    </row>
    <row r="660">
      <c r="E660" s="7"/>
    </row>
    <row r="661">
      <c r="E661" s="7"/>
    </row>
    <row r="662">
      <c r="E662" s="7"/>
    </row>
    <row r="663">
      <c r="E663" s="7"/>
    </row>
    <row r="664">
      <c r="E664" s="7"/>
    </row>
    <row r="665">
      <c r="E665" s="7"/>
    </row>
    <row r="666">
      <c r="E666" s="7"/>
    </row>
    <row r="667">
      <c r="E667" s="7"/>
    </row>
    <row r="668">
      <c r="E668" s="7"/>
    </row>
    <row r="669">
      <c r="E669" s="7"/>
    </row>
    <row r="670">
      <c r="E670" s="7"/>
    </row>
    <row r="671">
      <c r="E671" s="7"/>
    </row>
    <row r="672">
      <c r="E672" s="7"/>
    </row>
    <row r="673">
      <c r="E673" s="7"/>
    </row>
    <row r="674">
      <c r="E674" s="7"/>
    </row>
    <row r="675">
      <c r="E675" s="7"/>
    </row>
    <row r="676">
      <c r="E676" s="7"/>
    </row>
    <row r="677">
      <c r="E677" s="7"/>
    </row>
    <row r="678">
      <c r="E678" s="7"/>
    </row>
    <row r="679">
      <c r="E679" s="7"/>
    </row>
    <row r="680">
      <c r="E680" s="7"/>
    </row>
    <row r="681">
      <c r="E681" s="7"/>
    </row>
    <row r="682">
      <c r="E682" s="7"/>
    </row>
    <row r="683">
      <c r="E683" s="7"/>
    </row>
    <row r="684">
      <c r="E684" s="7"/>
    </row>
    <row r="685">
      <c r="E685" s="7"/>
    </row>
    <row r="686">
      <c r="E686" s="7"/>
    </row>
    <row r="687">
      <c r="E687" s="7"/>
    </row>
    <row r="688">
      <c r="E688" s="7"/>
    </row>
    <row r="689">
      <c r="E689" s="7"/>
    </row>
    <row r="690">
      <c r="E690" s="7"/>
    </row>
    <row r="691">
      <c r="E691" s="7"/>
    </row>
    <row r="692">
      <c r="E692" s="7"/>
    </row>
    <row r="693">
      <c r="E693" s="7"/>
    </row>
    <row r="694">
      <c r="E694" s="7"/>
    </row>
    <row r="695">
      <c r="E695" s="7"/>
    </row>
    <row r="696">
      <c r="E696" s="7"/>
    </row>
    <row r="697">
      <c r="E697" s="7"/>
    </row>
    <row r="698">
      <c r="E698" s="7"/>
    </row>
    <row r="699">
      <c r="E699" s="7"/>
    </row>
    <row r="700">
      <c r="E700" s="7"/>
    </row>
    <row r="701">
      <c r="E701" s="7"/>
    </row>
    <row r="702">
      <c r="E702" s="7"/>
    </row>
    <row r="703">
      <c r="E703" s="7"/>
    </row>
    <row r="704">
      <c r="E704" s="7"/>
    </row>
    <row r="705">
      <c r="E705" s="7"/>
    </row>
    <row r="706">
      <c r="E706" s="7"/>
    </row>
    <row r="707">
      <c r="E707" s="7"/>
    </row>
    <row r="708">
      <c r="E708" s="7"/>
    </row>
    <row r="709">
      <c r="E709" s="7"/>
    </row>
    <row r="710">
      <c r="E710" s="7"/>
    </row>
    <row r="711">
      <c r="E711" s="7"/>
    </row>
    <row r="712">
      <c r="E712" s="7"/>
    </row>
    <row r="713">
      <c r="E713" s="7"/>
    </row>
    <row r="714">
      <c r="E714" s="7"/>
    </row>
    <row r="715">
      <c r="E715" s="7"/>
    </row>
    <row r="716">
      <c r="E716" s="7"/>
    </row>
    <row r="717">
      <c r="E717" s="7"/>
    </row>
    <row r="718">
      <c r="E718" s="7"/>
    </row>
    <row r="719">
      <c r="E719" s="7"/>
    </row>
    <row r="720">
      <c r="E720" s="7"/>
    </row>
    <row r="721">
      <c r="E721" s="7"/>
    </row>
    <row r="722">
      <c r="E722" s="7"/>
    </row>
    <row r="723">
      <c r="E723" s="7"/>
    </row>
    <row r="724">
      <c r="E724" s="7"/>
    </row>
    <row r="725">
      <c r="E725" s="7"/>
    </row>
    <row r="726">
      <c r="E726" s="7"/>
    </row>
    <row r="727">
      <c r="E727" s="7"/>
    </row>
    <row r="728">
      <c r="E728" s="7"/>
    </row>
    <row r="729">
      <c r="E729" s="7"/>
    </row>
    <row r="730">
      <c r="E730" s="7"/>
    </row>
    <row r="731">
      <c r="E731" s="7"/>
    </row>
    <row r="732">
      <c r="E732" s="7"/>
    </row>
    <row r="733">
      <c r="E733" s="7"/>
    </row>
    <row r="734">
      <c r="E734" s="7"/>
    </row>
    <row r="735">
      <c r="E735" s="7"/>
    </row>
    <row r="736">
      <c r="E736" s="7"/>
    </row>
    <row r="737">
      <c r="E737" s="7"/>
    </row>
    <row r="738">
      <c r="E738" s="7"/>
    </row>
    <row r="739">
      <c r="E739" s="7"/>
    </row>
    <row r="740">
      <c r="E740" s="7"/>
    </row>
    <row r="741">
      <c r="E741" s="7"/>
    </row>
    <row r="742">
      <c r="E742" s="7"/>
    </row>
    <row r="743">
      <c r="E743" s="7"/>
    </row>
    <row r="744">
      <c r="E744" s="7"/>
    </row>
    <row r="745">
      <c r="E745" s="7"/>
    </row>
    <row r="746">
      <c r="E746" s="7"/>
    </row>
    <row r="747">
      <c r="E747" s="7"/>
    </row>
    <row r="748">
      <c r="E748" s="7"/>
    </row>
    <row r="749">
      <c r="E749" s="7"/>
    </row>
    <row r="750">
      <c r="E750" s="7"/>
    </row>
    <row r="751">
      <c r="E751" s="7"/>
    </row>
    <row r="752">
      <c r="E752" s="7"/>
    </row>
    <row r="753">
      <c r="E753" s="7"/>
    </row>
    <row r="754">
      <c r="E754" s="7"/>
    </row>
    <row r="755">
      <c r="E755" s="7"/>
    </row>
    <row r="756">
      <c r="E756" s="7"/>
    </row>
    <row r="757">
      <c r="E757" s="7"/>
    </row>
    <row r="758">
      <c r="E758" s="7"/>
    </row>
    <row r="759">
      <c r="E759" s="7"/>
    </row>
    <row r="760">
      <c r="E760" s="7"/>
    </row>
    <row r="761">
      <c r="E761" s="7"/>
    </row>
    <row r="762">
      <c r="E762" s="7"/>
    </row>
    <row r="763">
      <c r="E763" s="7"/>
    </row>
    <row r="764">
      <c r="E764" s="7"/>
    </row>
    <row r="765">
      <c r="E765" s="7"/>
    </row>
    <row r="766">
      <c r="E766" s="7"/>
    </row>
    <row r="767">
      <c r="E767" s="7"/>
    </row>
    <row r="768">
      <c r="E768" s="7"/>
    </row>
    <row r="769">
      <c r="E769" s="7"/>
    </row>
    <row r="770">
      <c r="E770" s="7"/>
    </row>
    <row r="771">
      <c r="E771" s="7"/>
    </row>
    <row r="772">
      <c r="E772" s="7"/>
    </row>
    <row r="773">
      <c r="E773" s="7"/>
    </row>
    <row r="774">
      <c r="E774" s="7"/>
    </row>
    <row r="775">
      <c r="E775" s="7"/>
    </row>
    <row r="776">
      <c r="E776" s="7"/>
    </row>
    <row r="777">
      <c r="E777" s="7"/>
    </row>
    <row r="778">
      <c r="E778" s="7"/>
    </row>
    <row r="779">
      <c r="E779" s="7"/>
    </row>
    <row r="780">
      <c r="E780" s="7"/>
    </row>
    <row r="781">
      <c r="E781" s="7"/>
    </row>
    <row r="782">
      <c r="E782" s="7"/>
    </row>
    <row r="783">
      <c r="E783" s="7"/>
    </row>
    <row r="784">
      <c r="E784" s="7"/>
    </row>
    <row r="785">
      <c r="E785" s="7"/>
    </row>
    <row r="786">
      <c r="E786" s="7"/>
    </row>
    <row r="787">
      <c r="E787" s="7"/>
    </row>
    <row r="788">
      <c r="E788" s="7"/>
    </row>
    <row r="789">
      <c r="E789" s="7"/>
    </row>
    <row r="790">
      <c r="E790" s="7"/>
    </row>
    <row r="791">
      <c r="E791" s="7"/>
    </row>
    <row r="792">
      <c r="E792" s="7"/>
    </row>
    <row r="793">
      <c r="E793" s="7"/>
    </row>
    <row r="794">
      <c r="E794" s="7"/>
    </row>
    <row r="795">
      <c r="E795" s="7"/>
    </row>
    <row r="796">
      <c r="E796" s="7"/>
    </row>
    <row r="797">
      <c r="E797" s="7"/>
    </row>
    <row r="798">
      <c r="E798" s="7"/>
    </row>
    <row r="799">
      <c r="E799" s="7"/>
    </row>
    <row r="800">
      <c r="E800" s="7"/>
    </row>
    <row r="801">
      <c r="E801" s="7"/>
    </row>
    <row r="802">
      <c r="E802" s="7"/>
    </row>
    <row r="803">
      <c r="E803" s="7"/>
    </row>
    <row r="804">
      <c r="E804" s="7"/>
    </row>
    <row r="805">
      <c r="E805" s="7"/>
    </row>
    <row r="806">
      <c r="E806" s="7"/>
    </row>
    <row r="807">
      <c r="E807" s="7"/>
    </row>
    <row r="808">
      <c r="E808" s="7"/>
    </row>
    <row r="809">
      <c r="E809" s="7"/>
    </row>
    <row r="810">
      <c r="E810" s="7"/>
    </row>
    <row r="811">
      <c r="E811" s="7"/>
    </row>
    <row r="812">
      <c r="E812" s="7"/>
    </row>
    <row r="813">
      <c r="E813" s="7"/>
    </row>
    <row r="814">
      <c r="E814" s="7"/>
    </row>
    <row r="815">
      <c r="E815" s="7"/>
    </row>
    <row r="816">
      <c r="E816" s="7"/>
    </row>
    <row r="817">
      <c r="E817" s="7"/>
    </row>
    <row r="818">
      <c r="E818" s="7"/>
    </row>
    <row r="819">
      <c r="E819" s="7"/>
    </row>
    <row r="820">
      <c r="E820" s="7"/>
    </row>
    <row r="821">
      <c r="E821" s="7"/>
    </row>
    <row r="822">
      <c r="E822" s="7"/>
    </row>
    <row r="823">
      <c r="E823" s="7"/>
    </row>
    <row r="824">
      <c r="E824" s="7"/>
    </row>
    <row r="825">
      <c r="E825" s="7"/>
    </row>
    <row r="826">
      <c r="E826" s="7"/>
    </row>
    <row r="827">
      <c r="E827" s="7"/>
    </row>
    <row r="828">
      <c r="E828" s="7"/>
    </row>
    <row r="829">
      <c r="E829" s="7"/>
    </row>
    <row r="830">
      <c r="E830" s="7"/>
    </row>
    <row r="831">
      <c r="E831" s="7"/>
    </row>
    <row r="832">
      <c r="E832" s="7"/>
    </row>
    <row r="833">
      <c r="E833" s="7"/>
    </row>
    <row r="834">
      <c r="E834" s="7"/>
    </row>
    <row r="835">
      <c r="E835" s="7"/>
    </row>
    <row r="836">
      <c r="E836" s="7"/>
    </row>
    <row r="837">
      <c r="E837" s="7"/>
    </row>
    <row r="838">
      <c r="E838" s="7"/>
    </row>
    <row r="839">
      <c r="E839" s="7"/>
    </row>
    <row r="840">
      <c r="E840" s="7"/>
    </row>
    <row r="841">
      <c r="E841" s="7"/>
    </row>
    <row r="842">
      <c r="E842" s="7"/>
    </row>
    <row r="843">
      <c r="E843" s="7"/>
    </row>
    <row r="844">
      <c r="E844" s="7"/>
    </row>
    <row r="845">
      <c r="E845" s="7"/>
    </row>
    <row r="846">
      <c r="E846" s="7"/>
    </row>
    <row r="847">
      <c r="E847" s="7"/>
    </row>
    <row r="848">
      <c r="E848" s="7"/>
    </row>
    <row r="849">
      <c r="E849" s="7"/>
    </row>
    <row r="850">
      <c r="E850" s="7"/>
    </row>
    <row r="851">
      <c r="E851" s="7"/>
    </row>
    <row r="852">
      <c r="E852" s="7"/>
    </row>
    <row r="853">
      <c r="E853" s="7"/>
    </row>
    <row r="854">
      <c r="E854" s="7"/>
    </row>
    <row r="855">
      <c r="E855" s="7"/>
    </row>
    <row r="856">
      <c r="E856" s="7"/>
    </row>
    <row r="857">
      <c r="E857" s="7"/>
    </row>
    <row r="858">
      <c r="E858" s="7"/>
    </row>
    <row r="859">
      <c r="E859" s="7"/>
    </row>
    <row r="860">
      <c r="E860" s="7"/>
    </row>
    <row r="861">
      <c r="E861" s="7"/>
    </row>
    <row r="862">
      <c r="E862" s="7"/>
    </row>
    <row r="863">
      <c r="E863" s="7"/>
    </row>
    <row r="864">
      <c r="E864" s="7"/>
    </row>
    <row r="865">
      <c r="E865" s="7"/>
    </row>
    <row r="866">
      <c r="E866" s="7"/>
    </row>
    <row r="867">
      <c r="E867" s="7"/>
    </row>
    <row r="868">
      <c r="E868" s="7"/>
    </row>
    <row r="869">
      <c r="E869" s="7"/>
    </row>
    <row r="870">
      <c r="E870" s="7"/>
    </row>
    <row r="871">
      <c r="E871" s="7"/>
    </row>
    <row r="872">
      <c r="E872" s="7"/>
    </row>
    <row r="873">
      <c r="E873" s="7"/>
    </row>
    <row r="874">
      <c r="E874" s="7"/>
    </row>
    <row r="875">
      <c r="E875" s="7"/>
    </row>
    <row r="876">
      <c r="E876" s="7"/>
    </row>
    <row r="877">
      <c r="E877" s="7"/>
    </row>
    <row r="878">
      <c r="E878" s="7"/>
    </row>
    <row r="879">
      <c r="E879" s="7"/>
    </row>
    <row r="880">
      <c r="E880" s="7"/>
    </row>
    <row r="881">
      <c r="E881" s="7"/>
    </row>
    <row r="882">
      <c r="E882" s="7"/>
    </row>
    <row r="883">
      <c r="E883" s="7"/>
    </row>
    <row r="884">
      <c r="E884" s="7"/>
    </row>
    <row r="885">
      <c r="E885" s="7"/>
    </row>
    <row r="886">
      <c r="E886" s="7"/>
    </row>
    <row r="887">
      <c r="E887" s="7"/>
    </row>
    <row r="888">
      <c r="E888" s="7"/>
    </row>
    <row r="889">
      <c r="E889" s="7"/>
    </row>
    <row r="890">
      <c r="E890" s="7"/>
    </row>
    <row r="891">
      <c r="E891" s="7"/>
    </row>
    <row r="892">
      <c r="E892" s="7"/>
    </row>
    <row r="893">
      <c r="E893" s="7"/>
    </row>
    <row r="894">
      <c r="E894" s="7"/>
    </row>
    <row r="895">
      <c r="E895" s="7"/>
    </row>
    <row r="896">
      <c r="E896" s="7"/>
    </row>
    <row r="897">
      <c r="E897" s="7"/>
    </row>
    <row r="898">
      <c r="E898" s="7"/>
    </row>
    <row r="899">
      <c r="E899" s="7"/>
    </row>
    <row r="900">
      <c r="E900" s="7"/>
    </row>
    <row r="901">
      <c r="E901" s="7"/>
    </row>
    <row r="902">
      <c r="E902" s="7"/>
    </row>
    <row r="903">
      <c r="E903" s="7"/>
    </row>
    <row r="904">
      <c r="E904" s="7"/>
    </row>
    <row r="905">
      <c r="E905" s="7"/>
    </row>
    <row r="906">
      <c r="E906" s="7"/>
    </row>
    <row r="907">
      <c r="E907" s="7"/>
    </row>
    <row r="908">
      <c r="E908" s="7"/>
    </row>
    <row r="909">
      <c r="E909" s="7"/>
    </row>
    <row r="910">
      <c r="E910" s="7"/>
    </row>
    <row r="911">
      <c r="E911" s="7"/>
    </row>
    <row r="912">
      <c r="E912" s="7"/>
    </row>
    <row r="913">
      <c r="E913" s="7"/>
    </row>
    <row r="914">
      <c r="E914" s="7"/>
    </row>
    <row r="915">
      <c r="E915" s="7"/>
    </row>
    <row r="916">
      <c r="E916" s="7"/>
    </row>
    <row r="917">
      <c r="E917" s="7"/>
    </row>
    <row r="918">
      <c r="E918" s="7"/>
    </row>
    <row r="919">
      <c r="E919" s="7"/>
    </row>
    <row r="920">
      <c r="E920" s="7"/>
    </row>
    <row r="921">
      <c r="E921" s="7"/>
    </row>
    <row r="922">
      <c r="E922" s="7"/>
    </row>
    <row r="923">
      <c r="E923" s="7"/>
    </row>
    <row r="924">
      <c r="E924" s="7"/>
    </row>
    <row r="925">
      <c r="E925" s="7"/>
    </row>
    <row r="926">
      <c r="E926" s="7"/>
    </row>
    <row r="927">
      <c r="E927" s="7"/>
    </row>
    <row r="928">
      <c r="E928" s="7"/>
    </row>
    <row r="929">
      <c r="E929" s="7"/>
    </row>
    <row r="930">
      <c r="E930" s="7"/>
    </row>
    <row r="931">
      <c r="E931" s="7"/>
    </row>
    <row r="932">
      <c r="E932" s="7"/>
    </row>
    <row r="933">
      <c r="E933" s="7"/>
    </row>
    <row r="934">
      <c r="E934" s="7"/>
    </row>
    <row r="935">
      <c r="E935" s="7"/>
    </row>
    <row r="936">
      <c r="E936" s="7"/>
    </row>
    <row r="937">
      <c r="E937" s="7"/>
    </row>
    <row r="938">
      <c r="E938" s="7"/>
    </row>
    <row r="939">
      <c r="E939" s="7"/>
    </row>
    <row r="940">
      <c r="E940" s="7"/>
    </row>
    <row r="941">
      <c r="E941" s="7"/>
    </row>
    <row r="942">
      <c r="E942" s="7"/>
    </row>
    <row r="943">
      <c r="E943" s="7"/>
    </row>
    <row r="944">
      <c r="E944" s="7"/>
    </row>
    <row r="945">
      <c r="E945" s="7"/>
    </row>
    <row r="946">
      <c r="E946" s="7"/>
    </row>
    <row r="947">
      <c r="E947" s="7"/>
    </row>
    <row r="948">
      <c r="E948" s="7"/>
    </row>
    <row r="949">
      <c r="E949" s="7"/>
    </row>
    <row r="950">
      <c r="E950" s="7"/>
    </row>
    <row r="951">
      <c r="E951" s="7"/>
    </row>
    <row r="952">
      <c r="E952" s="7"/>
    </row>
    <row r="953">
      <c r="E953" s="7"/>
    </row>
    <row r="954">
      <c r="E954" s="7"/>
    </row>
    <row r="955">
      <c r="E955" s="7"/>
    </row>
    <row r="956">
      <c r="E956" s="7"/>
    </row>
    <row r="957">
      <c r="E957" s="7"/>
    </row>
    <row r="958">
      <c r="E958" s="7"/>
    </row>
    <row r="959">
      <c r="E959" s="7"/>
    </row>
    <row r="960">
      <c r="E960" s="7"/>
    </row>
    <row r="961">
      <c r="E961" s="7"/>
    </row>
    <row r="962">
      <c r="E962" s="7"/>
    </row>
    <row r="963">
      <c r="E963" s="7"/>
    </row>
    <row r="964">
      <c r="E964" s="7"/>
    </row>
    <row r="965">
      <c r="E965" s="7"/>
    </row>
    <row r="966">
      <c r="E966" s="7"/>
    </row>
    <row r="967">
      <c r="E967" s="7"/>
    </row>
    <row r="968">
      <c r="E968" s="7"/>
    </row>
    <row r="969">
      <c r="E969" s="7"/>
    </row>
    <row r="970">
      <c r="E970" s="7"/>
    </row>
    <row r="971">
      <c r="E971" s="7"/>
    </row>
    <row r="972">
      <c r="E972" s="7"/>
    </row>
    <row r="973">
      <c r="E973" s="7"/>
    </row>
    <row r="974">
      <c r="E974" s="7"/>
    </row>
    <row r="975">
      <c r="E975" s="7"/>
    </row>
    <row r="976">
      <c r="E976" s="7"/>
    </row>
    <row r="977">
      <c r="E977" s="7"/>
    </row>
    <row r="978">
      <c r="E978" s="7"/>
    </row>
    <row r="979">
      <c r="E979" s="7"/>
    </row>
    <row r="980">
      <c r="E980" s="7"/>
    </row>
    <row r="981">
      <c r="E981" s="7"/>
    </row>
    <row r="982">
      <c r="E982" s="7"/>
    </row>
    <row r="983">
      <c r="E983" s="7"/>
    </row>
    <row r="984">
      <c r="E984" s="7"/>
    </row>
    <row r="985">
      <c r="E985" s="7"/>
    </row>
    <row r="986">
      <c r="E986" s="7"/>
    </row>
    <row r="987">
      <c r="E987" s="7"/>
    </row>
    <row r="988">
      <c r="E988" s="7"/>
    </row>
    <row r="989">
      <c r="E989" s="7"/>
    </row>
    <row r="990">
      <c r="E990" s="7"/>
    </row>
    <row r="991">
      <c r="E991" s="7"/>
    </row>
    <row r="992">
      <c r="E992" s="7"/>
    </row>
    <row r="993">
      <c r="E993" s="7"/>
    </row>
    <row r="994">
      <c r="E994" s="7"/>
    </row>
    <row r="995">
      <c r="E995" s="7"/>
    </row>
    <row r="996">
      <c r="E996" s="7"/>
    </row>
    <row r="997">
      <c r="E997" s="7"/>
    </row>
    <row r="998">
      <c r="E998" s="7"/>
    </row>
    <row r="999">
      <c r="E999" s="7"/>
    </row>
    <row r="1000">
      <c r="E1000" s="7"/>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0</v>
      </c>
      <c r="B1" s="1" t="s">
        <v>2</v>
      </c>
      <c r="C1" s="1" t="s">
        <v>3</v>
      </c>
      <c r="D1" s="1" t="s">
        <v>1</v>
      </c>
      <c r="E1" s="2" t="s">
        <v>4</v>
      </c>
      <c r="F1" s="1" t="s">
        <v>6</v>
      </c>
      <c r="G1" s="1" t="s">
        <v>7</v>
      </c>
      <c r="I1" s="1" t="s">
        <v>9</v>
      </c>
      <c r="K1" s="1" t="s">
        <v>3</v>
      </c>
      <c r="L1" s="1" t="s">
        <v>11</v>
      </c>
      <c r="M1" s="1" t="s">
        <v>13</v>
      </c>
      <c r="N1" s="1" t="s">
        <v>14</v>
      </c>
      <c r="O1" s="1" t="s">
        <v>15</v>
      </c>
      <c r="P1" s="1" t="s">
        <v>16</v>
      </c>
      <c r="Q1" s="1" t="s">
        <v>17</v>
      </c>
    </row>
    <row r="2">
      <c r="A2" s="1" t="s">
        <v>18</v>
      </c>
      <c r="B2" s="1">
        <v>24.0</v>
      </c>
      <c r="C2" s="1" t="str">
        <f t="array" ref="C2">IF(NOT(ISBLANK($A2)), (_xlfn.XLOOKUP($A2,Index!$B$2:$B$995,Index!$C$2:$C$995,"Not Found")),"")</f>
        <v>Energy</v>
      </c>
      <c r="D2" s="1" t="str">
        <f t="array" ref="D2">IF(NOT(ISBLANK(A2)), (_xlfn.XLOOKUP($A2,Index!$B$2:B$995,Index!$A$2:$A$995,"Not Found")),"")</f>
        <v>base1-97</v>
      </c>
      <c r="E2" s="2" t="str">
        <f t="array" ref="E2">IF(NOT(ISBLANK($A2)), (_xlfn.XLOOKUP($A2,Index!$B$2:$B$995,Index!$D$2:$D$995,"Not Found")),"")</f>
        <v/>
      </c>
      <c r="F2" s="1" t="str">
        <f t="array" ref="F2">IF(NOT(ISBLANK($A2)), (_xlfn.XLOOKUP($A2,Index!$B$2:$B$995,Index!$E$2:$E$995,"Not Found")),"")</f>
        <v/>
      </c>
      <c r="G2" s="1">
        <f t="array" ref="G2">IF(NOT(ISBLANK(A2)), ((_xlfn.XLOOKUP(A2,Index!$B$2:$B$995,Index!$F$2:$F$995,"Not Found"))*B2),"")</f>
        <v>0</v>
      </c>
      <c r="I2" s="6">
        <f>SUM(B2:B38)</f>
        <v>60</v>
      </c>
      <c r="K2" s="1" t="s">
        <v>172</v>
      </c>
      <c r="L2" s="6">
        <f t="shared" ref="L2:L6" si="1">IF(NOT(ISBLANK(K2)), SUM(M2:P2), "")</f>
        <v>16</v>
      </c>
      <c r="M2" s="1">
        <f t="shared" ref="M2:M5" si="2">IF(NOT(ISBLANK($K2)), SUMIFS($B$2:$B$32, $E$2:$E$32, "B", $C$2:$C$32,$K2), "")</f>
        <v>10</v>
      </c>
      <c r="N2" s="1">
        <f t="shared" ref="N2:N5" si="3">IF(NOT(ISBLANK($K2)),SUMIFS($B$2:$B$32,$E$2:$E$32, "1", $C$2:$C$32,$K2,$F$2:$F$32,"N"), "")</f>
        <v>6</v>
      </c>
      <c r="O2" s="1">
        <f t="shared" ref="O2:O5" si="4">IF(NOT(ISBLANK($K2)),SUMIFS($B$2:$B$32,$E$2:$E$32, "1", $C$2:$C$32,$K2,$F$2:$F$32,"Y"), "")</f>
        <v>0</v>
      </c>
      <c r="P2" s="1">
        <f t="shared" ref="P2:P5" si="5">IF(NOT(ISBLANK($K2)),SUMIFS($B$2:$B$32,$E$2:$E$32, "2", $C$2:$C$32,$K2), "")</f>
        <v>0</v>
      </c>
      <c r="Q2" s="1">
        <f t="shared" ref="Q2:Q5" si="6">IF(NOT(ISBLANK($K2)),SUMIFS($B$2:$B$32,$E$2:$E$32, "B", $C$2:$C$32,$K2,$F$2:$F$32,"N"), "")</f>
        <v>4</v>
      </c>
    </row>
    <row r="3">
      <c r="A3" s="1" t="s">
        <v>552</v>
      </c>
      <c r="B3" s="1">
        <v>3.0</v>
      </c>
      <c r="C3" s="1" t="str">
        <f t="array" ref="C3">IF(NOT(ISBLANK($A3)), (_xlfn.XLOOKUP($A3,Index!$B$2:$B$995,Index!$C$2:$C$995,"Not Found")),"")</f>
        <v>R</v>
      </c>
      <c r="D3" s="1" t="str">
        <f t="array" ref="D3">IF(NOT(ISBLANK(A3)), (_xlfn.XLOOKUP($A3,Index!$B$2:B$995,Index!$A$2:$A$995,"Not Found")),"")</f>
        <v>base3-39</v>
      </c>
      <c r="E3" s="2" t="str">
        <f t="array" ref="E3">IF(NOT(ISBLANK($A3)), (_xlfn.XLOOKUP($A3,Index!$B$2:$B$995,Index!$D$2:$D$995,"Not Found")),"")</f>
        <v>b</v>
      </c>
      <c r="F3" s="1" t="str">
        <f t="array" ref="F3">IF(NOT(ISBLANK($A3)), (_xlfn.XLOOKUP($A3,Index!$B$2:$B$995,Index!$E$2:$E$995,"Not Found")),"")</f>
        <v>n</v>
      </c>
      <c r="G3" s="1">
        <f t="array" ref="G3">IF(NOT(ISBLANK(A3)), ((_xlfn.XLOOKUP(A3,Index!$B$2:$B$995,Index!$F$2:$F$995,"Not Found"))*B3),"")</f>
        <v>3</v>
      </c>
      <c r="K3" s="1" t="s">
        <v>26</v>
      </c>
      <c r="L3" s="6">
        <f t="shared" si="1"/>
        <v>5</v>
      </c>
      <c r="M3" s="1">
        <f t="shared" si="2"/>
        <v>5</v>
      </c>
      <c r="N3" s="1">
        <f t="shared" si="3"/>
        <v>0</v>
      </c>
      <c r="O3" s="1">
        <f t="shared" si="4"/>
        <v>0</v>
      </c>
      <c r="P3" s="1">
        <f t="shared" si="5"/>
        <v>0</v>
      </c>
      <c r="Q3" s="1">
        <f t="shared" si="6"/>
        <v>2</v>
      </c>
    </row>
    <row r="4">
      <c r="A4" s="1" t="s">
        <v>554</v>
      </c>
      <c r="B4" s="1">
        <v>1.0</v>
      </c>
      <c r="C4" s="1" t="str">
        <f t="array" ref="C4">IF(NOT(ISBLANK($A4)), (_xlfn.XLOOKUP($A4,Index!$B$2:$B$995,Index!$C$2:$C$995,"Not Found")),"")</f>
        <v>R</v>
      </c>
      <c r="D4" s="1" t="str">
        <f t="array" ref="D4">IF(NOT(ISBLANK(A4)), (_xlfn.XLOOKUP($A4,Index!$B$2:B$995,Index!$A$2:$A$995,"Not Found")),"")</f>
        <v>base3-12</v>
      </c>
      <c r="E4" s="2" t="str">
        <f t="array" ref="E4">IF(NOT(ISBLANK($A4)), (_xlfn.XLOOKUP($A4,Index!$B$2:$B$995,Index!$D$2:$D$995,"Not Found")),"")</f>
        <v>b</v>
      </c>
      <c r="F4" s="1" t="str">
        <f t="array" ref="F4">IF(NOT(ISBLANK($A4)), (_xlfn.XLOOKUP($A4,Index!$B$2:$B$995,Index!$E$2:$E$995,"Not Found")),"")</f>
        <v>n</v>
      </c>
      <c r="G4" s="1">
        <f t="array" ref="G4">IF(NOT(ISBLANK(A4)), ((_xlfn.XLOOKUP(A4,Index!$B$2:$B$995,Index!$F$2:$F$995,"Not Found"))*B4),"")</f>
        <v>0.5</v>
      </c>
      <c r="L4" s="6" t="str">
        <f t="shared" si="1"/>
        <v/>
      </c>
      <c r="M4" s="1" t="str">
        <f t="shared" si="2"/>
        <v/>
      </c>
      <c r="N4" s="1" t="str">
        <f t="shared" si="3"/>
        <v/>
      </c>
      <c r="O4" s="1" t="str">
        <f t="shared" si="4"/>
        <v/>
      </c>
      <c r="P4" s="1" t="str">
        <f t="shared" si="5"/>
        <v/>
      </c>
      <c r="Q4" s="1" t="str">
        <f t="shared" si="6"/>
        <v/>
      </c>
    </row>
    <row r="5">
      <c r="A5" s="1" t="s">
        <v>90</v>
      </c>
      <c r="B5" s="1">
        <v>3.0</v>
      </c>
      <c r="C5" s="1" t="str">
        <f t="array" ref="C5">IF(NOT(ISBLANK($A5)), (_xlfn.XLOOKUP($A5,Index!$B$2:$B$995,Index!$C$2:$C$995,"Not Found")),"")</f>
        <v>C</v>
      </c>
      <c r="D5" s="1" t="str">
        <f t="array" ref="D5">IF(NOT(ISBLANK(A5)), (_xlfn.XLOOKUP($A5,Index!$B$2:B$995,Index!$A$2:$A$995,"Not Found")),"")</f>
        <v>base2-51</v>
      </c>
      <c r="E5" s="2" t="str">
        <f t="array" ref="E5">IF(NOT(ISBLANK($A5)), (_xlfn.XLOOKUP($A5,Index!$B$2:$B$995,Index!$D$2:$D$995,"Not Found")),"")</f>
        <v>b</v>
      </c>
      <c r="F5" s="1" t="str">
        <f t="array" ref="F5">IF(NOT(ISBLANK($A5)), (_xlfn.XLOOKUP($A5,Index!$B$2:$B$995,Index!$E$2:$E$995,"Not Found")),"")</f>
        <v>y</v>
      </c>
      <c r="G5" s="1">
        <f t="array" ref="G5">IF(NOT(ISBLANK(A5)), ((_xlfn.XLOOKUP(A5,Index!$B$2:$B$995,Index!$F$2:$F$995,"Not Found"))*B5),"")</f>
        <v>0</v>
      </c>
      <c r="L5" s="6" t="str">
        <f t="shared" si="1"/>
        <v/>
      </c>
      <c r="M5" s="1" t="str">
        <f t="shared" si="2"/>
        <v/>
      </c>
      <c r="N5" s="1" t="str">
        <f t="shared" si="3"/>
        <v/>
      </c>
      <c r="O5" s="1" t="str">
        <f t="shared" si="4"/>
        <v/>
      </c>
      <c r="P5" s="1" t="str">
        <f t="shared" si="5"/>
        <v/>
      </c>
      <c r="Q5" s="1" t="str">
        <f t="shared" si="6"/>
        <v/>
      </c>
    </row>
    <row r="6">
      <c r="A6" s="1" t="s">
        <v>544</v>
      </c>
      <c r="B6" s="1">
        <v>2.0</v>
      </c>
      <c r="C6" s="1" t="str">
        <f t="array" ref="C6">IF(NOT(ISBLANK($A6)), (_xlfn.XLOOKUP($A6,Index!$B$2:$B$995,Index!$C$2:$C$995,"Not Found")),"")</f>
        <v>R</v>
      </c>
      <c r="D6" s="1" t="str">
        <f t="array" ref="D6">IF(NOT(ISBLANK(A6)), (_xlfn.XLOOKUP($A6,Index!$B$2:B$995,Index!$A$2:$A$995,"Not Found")),"")</f>
        <v>base2-3</v>
      </c>
      <c r="E6" s="2">
        <f t="array" ref="E6">IF(NOT(ISBLANK($A6)), (_xlfn.XLOOKUP($A6,Index!$B$2:$B$995,Index!$D$2:$D$995,"Not Found")),"")</f>
        <v>1</v>
      </c>
      <c r="F6" s="1" t="str">
        <f t="array" ref="F6">IF(NOT(ISBLANK($A6)), (_xlfn.XLOOKUP($A6,Index!$B$2:$B$995,Index!$E$2:$E$995,"Not Found")),"")</f>
        <v>n</v>
      </c>
      <c r="G6" s="1">
        <f t="array" ref="G6">IF(NOT(ISBLANK(A6)), ((_xlfn.XLOOKUP(A6,Index!$B$2:$B$995,Index!$F$2:$F$995,"Not Found"))*B6),"")</f>
        <v>4</v>
      </c>
      <c r="L6" s="6"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112</v>
      </c>
      <c r="B7" s="1">
        <v>1.0</v>
      </c>
      <c r="C7" s="1" t="str">
        <f t="array" ref="C7">IF(NOT(ISBLANK($A7)), (_xlfn.XLOOKUP($A7,Index!$B$2:$B$995,Index!$C$2:$C$995,"Not Found")),"")</f>
        <v>C</v>
      </c>
      <c r="D7" s="1" t="str">
        <f t="array" ref="D7">IF(NOT(ISBLANK(A7)), (_xlfn.XLOOKUP($A7,Index!$B$2:B$995,Index!$A$2:$A$995,"Not Found")),"")</f>
        <v>base2-5</v>
      </c>
      <c r="E7" s="2" t="str">
        <f t="array" ref="E7">IF(NOT(ISBLANK($A7)), (_xlfn.XLOOKUP($A7,Index!$B$2:$B$995,Index!$D$2:$D$995,"Not Found")),"")</f>
        <v>b</v>
      </c>
      <c r="F7" s="1" t="str">
        <f t="array" ref="F7">IF(NOT(ISBLANK($A7)), (_xlfn.XLOOKUP($A7,Index!$B$2:$B$995,Index!$E$2:$E$995,"Not Found")),"")</f>
        <v>n</v>
      </c>
      <c r="G7" s="1">
        <f t="array" ref="G7">IF(NOT(ISBLANK(A7)), ((_xlfn.XLOOKUP(A7,Index!$B$2:$B$995,Index!$F$2:$F$995,"Not Found"))*B7),"")</f>
        <v>1.5</v>
      </c>
      <c r="K7" s="1" t="s">
        <v>724</v>
      </c>
      <c r="L7" s="6">
        <f t="shared" ref="L7:Q7" si="7">SUM(L2:L6)</f>
        <v>21</v>
      </c>
      <c r="M7" s="6">
        <f t="shared" si="7"/>
        <v>15</v>
      </c>
      <c r="N7" s="6">
        <f t="shared" si="7"/>
        <v>6</v>
      </c>
      <c r="O7" s="6">
        <f t="shared" si="7"/>
        <v>0</v>
      </c>
      <c r="P7" s="6">
        <f t="shared" si="7"/>
        <v>0</v>
      </c>
      <c r="Q7" s="6">
        <f t="shared" si="7"/>
        <v>6</v>
      </c>
    </row>
    <row r="8">
      <c r="A8" s="1" t="s">
        <v>548</v>
      </c>
      <c r="B8" s="1">
        <v>3.0</v>
      </c>
      <c r="C8" s="1" t="str">
        <f t="array" ref="C8">IF(NOT(ISBLANK($A8)), (_xlfn.XLOOKUP($A8,Index!$B$2:$B$995,Index!$C$2:$C$995,"Not Found")),"")</f>
        <v>R</v>
      </c>
      <c r="D8" s="1" t="str">
        <f t="array" ref="D8">IF(NOT(ISBLANK(A8)), (_xlfn.XLOOKUP($A8,Index!$B$2:B$995,Index!$A$2:$A$995,"Not Found")),"")</f>
        <v>base1-28</v>
      </c>
      <c r="E8" s="2" t="str">
        <f t="array" ref="E8">IF(NOT(ISBLANK($A8)), (_xlfn.XLOOKUP($A8,Index!$B$2:$B$995,Index!$D$2:$D$995,"Not Found")),"")</f>
        <v>b</v>
      </c>
      <c r="F8" s="1" t="str">
        <f t="array" ref="F8">IF(NOT(ISBLANK($A8)), (_xlfn.XLOOKUP($A8,Index!$B$2:$B$995,Index!$E$2:$E$995,"Not Found")),"")</f>
        <v>y</v>
      </c>
      <c r="G8" s="1">
        <f t="array" ref="G8">IF(NOT(ISBLANK(A8)), ((_xlfn.XLOOKUP(A8,Index!$B$2:$B$995,Index!$F$2:$F$995,"Not Found"))*B8),"")</f>
        <v>0</v>
      </c>
    </row>
    <row r="9">
      <c r="A9" s="1" t="s">
        <v>532</v>
      </c>
      <c r="B9" s="1">
        <v>2.0</v>
      </c>
      <c r="C9" s="1" t="str">
        <f t="array" ref="C9">IF(NOT(ISBLANK($A9)), (_xlfn.XLOOKUP($A9,Index!$B$2:$B$995,Index!$C$2:$C$995,"Not Found")),"")</f>
        <v>R</v>
      </c>
      <c r="D9" s="1" t="str">
        <f t="array" ref="D9">IF(NOT(ISBLANK(A9)), (_xlfn.XLOOKUP($A9,Index!$B$2:B$995,Index!$A$2:$A$995,"Not Found")),"")</f>
        <v>base1-23</v>
      </c>
      <c r="E9" s="2">
        <f t="array" ref="E9">IF(NOT(ISBLANK($A9)), (_xlfn.XLOOKUP($A9,Index!$B$2:$B$995,Index!$D$2:$D$995,"Not Found")),"")</f>
        <v>1</v>
      </c>
      <c r="F9" s="1" t="str">
        <f t="array" ref="F9">IF(NOT(ISBLANK($A9)), (_xlfn.XLOOKUP($A9,Index!$B$2:$B$995,Index!$E$2:$E$995,"Not Found")),"")</f>
        <v>n</v>
      </c>
      <c r="G9" s="1">
        <f t="array" ref="G9">IF(NOT(ISBLANK(A9)), ((_xlfn.XLOOKUP(A9,Index!$B$2:$B$995,Index!$F$2:$F$995,"Not Found"))*B9),"")</f>
        <v>4</v>
      </c>
      <c r="M9" s="1" t="s">
        <v>725</v>
      </c>
      <c r="N9" s="1" t="s">
        <v>726</v>
      </c>
      <c r="O9" s="1" t="s">
        <v>727</v>
      </c>
    </row>
    <row r="10">
      <c r="A10" s="1" t="s">
        <v>568</v>
      </c>
      <c r="B10" s="1">
        <v>3.0</v>
      </c>
      <c r="C10" s="1" t="str">
        <f t="array" ref="C10">IF(NOT(ISBLANK($A10)), (_xlfn.XLOOKUP($A10,Index!$B$2:$B$995,Index!$C$2:$C$995,"Not Found")),"")</f>
        <v>R</v>
      </c>
      <c r="D10" s="1" t="str">
        <f t="array" ref="D10">IF(NOT(ISBLANK(A10)), (_xlfn.XLOOKUP($A10,Index!$B$2:B$995,Index!$A$2:$A$995,"Not Found")),"")</f>
        <v>base1-68</v>
      </c>
      <c r="E10" s="2" t="str">
        <f t="array" ref="E10">IF(NOT(ISBLANK($A10)), (_xlfn.XLOOKUP($A10,Index!$B$2:$B$995,Index!$D$2:$D$995,"Not Found")),"")</f>
        <v>b</v>
      </c>
      <c r="F10" s="1" t="str">
        <f t="array" ref="F10">IF(NOT(ISBLANK($A10)), (_xlfn.XLOOKUP($A10,Index!$B$2:$B$995,Index!$E$2:$E$995,"Not Found")),"")</f>
        <v>y</v>
      </c>
      <c r="G10" s="1">
        <f t="array" ref="G10">IF(NOT(ISBLANK(A10)), ((_xlfn.XLOOKUP(A10,Index!$B$2:$B$995,Index!$F$2:$F$995,"Not Found"))*B10),"")</f>
        <v>0</v>
      </c>
      <c r="K10" s="1" t="s">
        <v>728</v>
      </c>
      <c r="L10" s="6">
        <f>SUM(M10:P10)</f>
        <v>15</v>
      </c>
      <c r="M10" s="6">
        <f>IF(NOT(ISBLANK($K10)), SUMIFS($B$2:$B$32,$E$2:$E$32, "C", $C$2:$C$32,"T"), "")</f>
        <v>8</v>
      </c>
      <c r="N10" s="6">
        <f>IF(NOT(ISBLANK($K10)), SUMIFS($B$2:$B$32,$E$2:$E$32, "U", $C$2:$C$32,"T"), "")</f>
        <v>5</v>
      </c>
      <c r="O10" s="6">
        <f>IF(NOT(ISBLANK($K$2)), SUMIFS($B$2:$B$32,$E$2:$E$32, "R", $C$2:$C$32,"T"), "")</f>
        <v>2</v>
      </c>
    </row>
    <row r="11">
      <c r="A11" s="1" t="s">
        <v>561</v>
      </c>
      <c r="B11" s="1">
        <v>2.0</v>
      </c>
      <c r="C11" s="1" t="str">
        <f t="array" ref="C11">IF(NOT(ISBLANK($A11)), (_xlfn.XLOOKUP($A11,Index!$B$2:$B$995,Index!$C$2:$C$995,"Not Found")),"")</f>
        <v>R</v>
      </c>
      <c r="D11" s="1" t="str">
        <f t="array" ref="D11">IF(NOT(ISBLANK(A11)), (_xlfn.XLOOKUP($A11,Index!$B$2:B$995,Index!$A$2:$A$995,"Not Found")),"")</f>
        <v>base1-12</v>
      </c>
      <c r="E11" s="2">
        <f t="array" ref="E11">IF(NOT(ISBLANK($A11)), (_xlfn.XLOOKUP($A11,Index!$B$2:$B$995,Index!$D$2:$D$995,"Not Found")),"")</f>
        <v>1</v>
      </c>
      <c r="F11" s="1" t="str">
        <f t="array" ref="F11">IF(NOT(ISBLANK($A11)), (_xlfn.XLOOKUP($A11,Index!$B$2:$B$995,Index!$E$2:$E$995,"Not Found")),"")</f>
        <v>n</v>
      </c>
      <c r="G11" s="1">
        <f t="array" ref="G11">IF(NOT(ISBLANK(A11)), ((_xlfn.XLOOKUP(A11,Index!$B$2:$B$995,Index!$F$2:$F$995,"Not Found"))*B11),"")</f>
        <v>4</v>
      </c>
      <c r="K11" s="1" t="s">
        <v>289</v>
      </c>
      <c r="L11" s="1">
        <f>IF(NOT(ISBLANK($K$2)), SUMIFS($B$2:$B$32, $C$2:$C$32,"Energy"), "")</f>
        <v>24</v>
      </c>
    </row>
    <row r="12">
      <c r="A12" s="1" t="s">
        <v>121</v>
      </c>
      <c r="B12" s="1">
        <v>1.0</v>
      </c>
      <c r="C12" s="1" t="str">
        <f t="array" ref="C12">IF(NOT(ISBLANK($A12)), (_xlfn.XLOOKUP($A12,Index!$B$2:$B$995,Index!$C$2:$C$995,"Not Found")),"")</f>
        <v>C</v>
      </c>
      <c r="D12" s="1" t="str">
        <f t="array" ref="D12">IF(NOT(ISBLANK(A12)), (_xlfn.XLOOKUP($A12,Index!$B$2:B$995,Index!$A$2:$A$995,"Not Found")),"")</f>
        <v>base2-38</v>
      </c>
      <c r="E12" s="2" t="str">
        <f t="array" ref="E12">IF(NOT(ISBLANK($A12)), (_xlfn.XLOOKUP($A12,Index!$B$2:$B$995,Index!$D$2:$D$995,"Not Found")),"")</f>
        <v>b</v>
      </c>
      <c r="F12" s="1" t="str">
        <f t="array" ref="F12">IF(NOT(ISBLANK($A12)), (_xlfn.XLOOKUP($A12,Index!$B$2:$B$995,Index!$E$2:$E$995,"Not Found")),"")</f>
        <v>n</v>
      </c>
      <c r="G12" s="1">
        <f t="array" ref="G12">IF(NOT(ISBLANK(A12)), ((_xlfn.XLOOKUP(A12,Index!$B$2:$B$995,Index!$F$2:$F$995,"Not Found"))*B12),"")</f>
        <v>0.5</v>
      </c>
      <c r="K12" s="1" t="s">
        <v>729</v>
      </c>
      <c r="L12" s="6">
        <f>L7</f>
        <v>21</v>
      </c>
    </row>
    <row r="13">
      <c r="A13" s="1" t="s">
        <v>570</v>
      </c>
      <c r="B13" s="1">
        <v>3.0</v>
      </c>
      <c r="C13" s="1" t="str">
        <f t="array" ref="C13">IF(NOT(ISBLANK($A13)), (_xlfn.XLOOKUP($A13,Index!$B$2:$B$995,Index!$C$2:$C$995,"Not Found")),"")</f>
        <v>T</v>
      </c>
      <c r="D13" s="1" t="str">
        <f t="array" ref="D13">IF(NOT(ISBLANK(A13)), (_xlfn.XLOOKUP($A13,Index!$B$2:B$995,Index!$A$2:$A$995,"Not Found")),"")</f>
        <v>base1-91</v>
      </c>
      <c r="E13" s="2" t="str">
        <f t="array" ref="E13">IF(NOT(ISBLANK($A13)), (_xlfn.XLOOKUP($A13,Index!$B$2:$B$995,Index!$D$2:$D$995,"Not Found")),"")</f>
        <v>c</v>
      </c>
      <c r="F13" s="1" t="str">
        <f t="array" ref="F13">IF(NOT(ISBLANK($A13)), (_xlfn.XLOOKUP($A13,Index!$B$2:$B$995,Index!$E$2:$E$995,"Not Found")),"")</f>
        <v/>
      </c>
      <c r="G13" s="1" t="str">
        <f t="array" ref="G13">IF(NOT(ISBLANK(A13)), ((_xlfn.XLOOKUP(A13,Index!$B$2:$B$995,Index!$F$2:$F$995,"Not Found"))*B13),"")</f>
        <v>#VALUE!</v>
      </c>
    </row>
    <row r="14">
      <c r="A14" s="1" t="s">
        <v>638</v>
      </c>
      <c r="B14" s="1">
        <v>2.0</v>
      </c>
      <c r="C14" s="1" t="str">
        <f t="array" ref="C14">IF(NOT(ISBLANK($A14)), (_xlfn.XLOOKUP($A14,Index!$B$2:$B$995,Index!$C$2:$C$995,"Not Found")),"")</f>
        <v>T</v>
      </c>
      <c r="D14" s="1" t="str">
        <f t="array" ref="D14">IF(NOT(ISBLANK(A14)), (_xlfn.XLOOKUP($A14,Index!$B$2:B$995,Index!$A$2:$A$995,"Not Found")),"")</f>
        <v>base1-88</v>
      </c>
      <c r="E14" s="2" t="str">
        <f t="array" ref="E14">IF(NOT(ISBLANK($A14)), (_xlfn.XLOOKUP($A14,Index!$B$2:$B$995,Index!$D$2:$D$995,"Not Found")),"")</f>
        <v>u</v>
      </c>
      <c r="F14" s="1" t="str">
        <f t="array" ref="F14">IF(NOT(ISBLANK($A14)), (_xlfn.XLOOKUP($A14,Index!$B$2:$B$995,Index!$E$2:$E$995,"Not Found")),"")</f>
        <v/>
      </c>
      <c r="G14" s="1" t="str">
        <f t="array" ref="G14">IF(NOT(ISBLANK(A14)), ((_xlfn.XLOOKUP(A14,Index!$B$2:$B$995,Index!$F$2:$F$995,"Not Found"))*B14),"")</f>
        <v>#VALUE!</v>
      </c>
    </row>
    <row r="15">
      <c r="A15" s="1" t="s">
        <v>580</v>
      </c>
      <c r="B15" s="1">
        <v>1.0</v>
      </c>
      <c r="C15" s="1" t="str">
        <f t="array" ref="C15">IF(NOT(ISBLANK($A15)), (_xlfn.XLOOKUP($A15,Index!$B$2:$B$995,Index!$C$2:$C$995,"Not Found")),"")</f>
        <v>T</v>
      </c>
      <c r="D15" s="1" t="str">
        <f t="array" ref="D15">IF(NOT(ISBLANK(A15)), (_xlfn.XLOOKUP($A15,Index!$B$2:B$995,Index!$A$2:$A$995,"Not Found")),"")</f>
        <v>base3-60</v>
      </c>
      <c r="E15" s="2" t="str">
        <f t="array" ref="E15">IF(NOT(ISBLANK($A15)), (_xlfn.XLOOKUP($A15,Index!$B$2:$B$995,Index!$D$2:$D$995,"Not Found")),"")</f>
        <v>c</v>
      </c>
      <c r="F15" s="1" t="str">
        <f t="array" ref="F15">IF(NOT(ISBLANK($A15)), (_xlfn.XLOOKUP($A15,Index!$B$2:$B$995,Index!$E$2:$E$995,"Not Found")),"")</f>
        <v/>
      </c>
      <c r="G15" s="1" t="str">
        <f t="array" ref="G15">IF(NOT(ISBLANK(A15)), ((_xlfn.XLOOKUP(A15,Index!$B$2:$B$995,Index!$F$2:$F$995,"Not Found"))*B15),"")</f>
        <v>#VALUE!</v>
      </c>
      <c r="K15" s="1" t="s">
        <v>730</v>
      </c>
    </row>
    <row r="16">
      <c r="A16" s="1" t="s">
        <v>614</v>
      </c>
      <c r="B16" s="1">
        <v>1.0</v>
      </c>
      <c r="C16" s="1" t="str">
        <f t="array" ref="C16">IF(NOT(ISBLANK($A16)), (_xlfn.XLOOKUP($A16,Index!$B$2:$B$995,Index!$C$2:$C$995,"Not Found")),"")</f>
        <v>T</v>
      </c>
      <c r="D16" s="1" t="str">
        <f t="array" ref="D16">IF(NOT(ISBLANK(A16)), (_xlfn.XLOOKUP($A16,Index!$B$2:B$995,Index!$A$2:$A$995,"Not Found")),"")</f>
        <v>base1-78</v>
      </c>
      <c r="E16" s="2" t="str">
        <f t="array" ref="E16">IF(NOT(ISBLANK($A16)), (_xlfn.XLOOKUP($A16,Index!$B$2:$B$995,Index!$D$2:$D$995,"Not Found")),"")</f>
        <v>r</v>
      </c>
      <c r="F16" s="1" t="str">
        <f t="array" ref="F16">IF(NOT(ISBLANK($A16)), (_xlfn.XLOOKUP($A16,Index!$B$2:$B$995,Index!$E$2:$E$995,"Not Found")),"")</f>
        <v/>
      </c>
      <c r="G16" s="1" t="str">
        <f t="array" ref="G16">IF(NOT(ISBLANK(A16)), ((_xlfn.XLOOKUP(A16,Index!$B$2:$B$995,Index!$F$2:$F$995,"Not Found"))*B16),"")</f>
        <v>#VALUE!</v>
      </c>
      <c r="K16" s="6" t="str">
        <f t="shared" ref="K16:K20" si="8">K2</f>
        <v>R</v>
      </c>
      <c r="L16" s="1">
        <f t="shared" ref="L16:L19" si="9">IF(NOT(ISBLANK($K2)), SUMIFS($G$2:$G$32, $C$2:$C$32,$K2), "")</f>
        <v>15.5</v>
      </c>
    </row>
    <row r="17">
      <c r="A17" s="1" t="s">
        <v>621</v>
      </c>
      <c r="B17" s="1">
        <v>2.0</v>
      </c>
      <c r="C17" s="1" t="str">
        <f t="array" ref="C17">IF(NOT(ISBLANK($A17)), (_xlfn.XLOOKUP($A17,Index!$B$2:$B$995,Index!$C$2:$C$995,"Not Found")),"")</f>
        <v>T</v>
      </c>
      <c r="D17" s="1" t="str">
        <f t="array" ref="D17">IF(NOT(ISBLANK(A17)), (_xlfn.XLOOKUP($A17,Index!$B$2:B$995,Index!$A$2:$A$995,"Not Found")),"")</f>
        <v>base1-81</v>
      </c>
      <c r="E17" s="2" t="str">
        <f t="array" ref="E17">IF(NOT(ISBLANK($A17)), (_xlfn.XLOOKUP($A17,Index!$B$2:$B$995,Index!$D$2:$D$995,"Not Found")),"")</f>
        <v>u</v>
      </c>
      <c r="F17" s="1" t="str">
        <f t="array" ref="F17">IF(NOT(ISBLANK($A17)), (_xlfn.XLOOKUP($A17,Index!$B$2:$B$995,Index!$E$2:$E$995,"Not Found")),"")</f>
        <v/>
      </c>
      <c r="G17" s="1" t="str">
        <f t="array" ref="G17">IF(NOT(ISBLANK(A17)), ((_xlfn.XLOOKUP(A17,Index!$B$2:$B$995,Index!$F$2:$F$995,"Not Found"))*B17),"")</f>
        <v>#VALUE!</v>
      </c>
      <c r="K17" s="6" t="str">
        <f t="shared" si="8"/>
        <v>C</v>
      </c>
      <c r="L17" s="1">
        <f t="shared" si="9"/>
        <v>2</v>
      </c>
    </row>
    <row r="18">
      <c r="A18" s="1" t="s">
        <v>589</v>
      </c>
      <c r="B18" s="1">
        <v>1.0</v>
      </c>
      <c r="C18" s="1" t="str">
        <f t="array" ref="C18">IF(NOT(ISBLANK($A18)), (_xlfn.XLOOKUP($A18,Index!$B$2:$B$995,Index!$C$2:$C$995,"Not Found")),"")</f>
        <v>T</v>
      </c>
      <c r="D18" s="1" t="str">
        <f t="array" ref="D18">IF(NOT(ISBLANK(A18)), (_xlfn.XLOOKUP($A18,Index!$B$2:B$995,Index!$A$2:$A$995,"Not Found")),"")</f>
        <v>base1-94</v>
      </c>
      <c r="E18" s="2" t="str">
        <f t="array" ref="E18">IF(NOT(ISBLANK($A18)), (_xlfn.XLOOKUP($A18,Index!$B$2:$B$995,Index!$D$2:$D$995,"Not Found")),"")</f>
        <v>c</v>
      </c>
      <c r="F18" s="1" t="str">
        <f t="array" ref="F18">IF(NOT(ISBLANK($A18)), (_xlfn.XLOOKUP($A18,Index!$B$2:$B$995,Index!$E$2:$E$995,"Not Found")),"")</f>
        <v/>
      </c>
      <c r="G18" s="1" t="str">
        <f t="array" ref="G18">IF(NOT(ISBLANK(A18)), ((_xlfn.XLOOKUP(A18,Index!$B$2:$B$995,Index!$F$2:$F$995,"Not Found"))*B18),"")</f>
        <v>#VALUE!</v>
      </c>
      <c r="K18" s="6" t="str">
        <f t="shared" si="8"/>
        <v/>
      </c>
      <c r="L18" s="1" t="str">
        <f t="shared" si="9"/>
        <v/>
      </c>
    </row>
    <row r="19">
      <c r="A19" s="1" t="s">
        <v>593</v>
      </c>
      <c r="B19" s="1">
        <v>1.0</v>
      </c>
      <c r="C19" s="1" t="str">
        <f t="array" ref="C19">IF(NOT(ISBLANK($A19)), (_xlfn.XLOOKUP($A19,Index!$B$2:$B$995,Index!$C$2:$C$995,"Not Found")),"")</f>
        <v>T</v>
      </c>
      <c r="D19" s="1" t="str">
        <f t="array" ref="D19">IF(NOT(ISBLANK(A19)), (_xlfn.XLOOKUP($A19,Index!$B$2:B$995,Index!$A$2:$A$995,"Not Found")),"")</f>
        <v>base1-95</v>
      </c>
      <c r="E19" s="2" t="str">
        <f t="array" ref="E19">IF(NOT(ISBLANK($A19)), (_xlfn.XLOOKUP($A19,Index!$B$2:$B$995,Index!$D$2:$D$995,"Not Found")),"")</f>
        <v>c</v>
      </c>
      <c r="F19" s="1" t="str">
        <f t="array" ref="F19">IF(NOT(ISBLANK($A19)), (_xlfn.XLOOKUP($A19,Index!$B$2:$B$995,Index!$E$2:$E$995,"Not Found")),"")</f>
        <v/>
      </c>
      <c r="G19" s="1" t="str">
        <f t="array" ref="G19">IF(NOT(ISBLANK(A19)), ((_xlfn.XLOOKUP(A19,Index!$B$2:$B$995,Index!$F$2:$F$995,"Not Found"))*B19),"")</f>
        <v>#VALUE!</v>
      </c>
      <c r="K19" s="6" t="str">
        <f t="shared" si="8"/>
        <v/>
      </c>
      <c r="L19" s="1" t="str">
        <f t="shared" si="9"/>
        <v/>
      </c>
    </row>
    <row r="20">
      <c r="A20" s="1" t="s">
        <v>582</v>
      </c>
      <c r="B20" s="1">
        <v>2.0</v>
      </c>
      <c r="C20" s="1" t="str">
        <f t="array" ref="C20">IF(NOT(ISBLANK($A20)), (_xlfn.XLOOKUP($A20,Index!$B$2:$B$995,Index!$C$2:$C$995,"Not Found")),"")</f>
        <v>T</v>
      </c>
      <c r="D20" s="1" t="str">
        <f t="array" ref="D20">IF(NOT(ISBLANK(A20)), (_xlfn.XLOOKUP($A20,Index!$B$2:B$995,Index!$A$2:$A$995,"Not Found")),"")</f>
        <v>base1-93</v>
      </c>
      <c r="E20" s="2" t="str">
        <f t="array" ref="E20">IF(NOT(ISBLANK($A20)), (_xlfn.XLOOKUP($A20,Index!$B$2:$B$995,Index!$D$2:$D$995,"Not Found")),"")</f>
        <v>c</v>
      </c>
      <c r="F20" s="1" t="str">
        <f t="array" ref="F20">IF(NOT(ISBLANK($A20)), (_xlfn.XLOOKUP($A20,Index!$B$2:$B$995,Index!$E$2:$E$995,"Not Found")),"")</f>
        <v/>
      </c>
      <c r="G20" s="1" t="str">
        <f t="array" ref="G20">IF(NOT(ISBLANK(A20)), ((_xlfn.XLOOKUP(A20,Index!$B$2:$B$995,Index!$F$2:$F$995,"Not Found"))*B20),"")</f>
        <v>#VALUE!</v>
      </c>
      <c r="K20" s="6" t="str">
        <f t="shared" si="8"/>
        <v/>
      </c>
    </row>
    <row r="21">
      <c r="A21" s="1" t="s">
        <v>612</v>
      </c>
      <c r="B21" s="1">
        <v>1.0</v>
      </c>
      <c r="C21" s="1" t="str">
        <f t="array" ref="C21">IF(NOT(ISBLANK($A21)), (_xlfn.XLOOKUP($A21,Index!$B$2:$B$995,Index!$C$2:$C$995,"Not Found")),"")</f>
        <v>T</v>
      </c>
      <c r="D21" s="1" t="str">
        <f t="array" ref="D21">IF(NOT(ISBLANK(A21)), (_xlfn.XLOOKUP($A21,Index!$B$2:B$995,Index!$A$2:$A$995,"Not Found")),"")</f>
        <v>base1-77</v>
      </c>
      <c r="E21" s="2" t="str">
        <f t="array" ref="E21">IF(NOT(ISBLANK($A21)), (_xlfn.XLOOKUP($A21,Index!$B$2:$B$995,Index!$D$2:$D$995,"Not Found")),"")</f>
        <v>r</v>
      </c>
      <c r="F21" s="1" t="str">
        <f t="array" ref="F21">IF(NOT(ISBLANK($A21)), (_xlfn.XLOOKUP($A21,Index!$B$2:$B$995,Index!$E$2:$E$995,"Not Found")),"")</f>
        <v/>
      </c>
      <c r="G21" s="1" t="str">
        <f t="array" ref="G21">IF(NOT(ISBLANK(A21)), ((_xlfn.XLOOKUP(A21,Index!$B$2:$B$995,Index!$F$2:$F$995,"Not Found"))*B21),"")</f>
        <v>#VALUE!</v>
      </c>
      <c r="K21" s="1" t="s">
        <v>731</v>
      </c>
      <c r="L21" s="6">
        <f>SUM(L15:L19)</f>
        <v>17.5</v>
      </c>
    </row>
    <row r="22">
      <c r="A22" s="1" t="s">
        <v>618</v>
      </c>
      <c r="B22" s="1">
        <v>1.0</v>
      </c>
      <c r="C22" s="1" t="str">
        <f t="array" ref="C22">IF(NOT(ISBLANK($A22)), (_xlfn.XLOOKUP($A22,Index!$B$2:$B$995,Index!$C$2:$C$995,"Not Found")),"")</f>
        <v>T</v>
      </c>
      <c r="D22" s="1" t="str">
        <f t="array" ref="D22">IF(NOT(ISBLANK(A22)), (_xlfn.XLOOKUP($A22,Index!$B$2:B$995,Index!$A$2:$A$995,"Not Found")),"")</f>
        <v>base1-80</v>
      </c>
      <c r="E22" s="2" t="str">
        <f t="array" ref="E22">IF(NOT(ISBLANK($A22)), (_xlfn.XLOOKUP($A22,Index!$B$2:$B$995,Index!$D$2:$D$995,"Not Found")),"")</f>
        <v>u</v>
      </c>
      <c r="F22" s="1" t="str">
        <f t="array" ref="F22">IF(NOT(ISBLANK($A22)), (_xlfn.XLOOKUP($A22,Index!$B$2:$B$995,Index!$E$2:$E$995,"Not Found")),"")</f>
        <v/>
      </c>
      <c r="G22" s="1" t="str">
        <f t="array" ref="G22">IF(NOT(ISBLANK(A22)), ((_xlfn.XLOOKUP(A22,Index!$B$2:$B$995,Index!$F$2:$F$995,"Not Found"))*B22),"")</f>
        <v>#VALUE!</v>
      </c>
    </row>
    <row r="23">
      <c r="C23" s="1" t="str">
        <f t="array" ref="C23">IF(NOT(ISBLANK($A23)), (_xlfn.XLOOKUP($A23,Index!$B$2:$B$995,Index!$C$2:$C$995,"Not Found")),"")</f>
        <v/>
      </c>
      <c r="D23" s="1" t="str">
        <f t="array" ref="D23">IF(NOT(ISBLANK(A23)), (_xlfn.XLOOKUP($A23,Index!$B$2:B$995,Index!$A$2:$A$995,"Not Found")),"")</f>
        <v/>
      </c>
      <c r="E23" s="2" t="str">
        <f t="array" ref="E23">IF(NOT(ISBLANK($A23)), (_xlfn.XLOOKUP($A23,Index!$B$2:$B$995,Index!$D$2:$D$995,"Not Found")),"")</f>
        <v/>
      </c>
      <c r="F23" s="1" t="str">
        <f t="array" ref="F23">IF(NOT(ISBLANK($A23)), (_xlfn.XLOOKUP($A23,Index!$B$2:$B$995,Index!$E$2:$E$995,"Not Found")),"")</f>
        <v/>
      </c>
      <c r="G23" s="1" t="str">
        <f t="array" ref="G23">IF(NOT(ISBLANK(A23)), ((_xlfn.XLOOKUP(A23,Index!$B$2:$B$995,Index!$F$2:$F$995,"Not Found"))*B23),"")</f>
        <v/>
      </c>
    </row>
    <row r="24">
      <c r="C24" s="1" t="str">
        <f t="array" ref="C24">IF(NOT(ISBLANK($A24)), (_xlfn.XLOOKUP($A24,Index!$B$2:$B$995,Index!$C$2:$C$995,"Not Found")),"")</f>
        <v/>
      </c>
      <c r="D24" s="1" t="str">
        <f t="array" ref="D24">IF(NOT(ISBLANK(A24)), (_xlfn.XLOOKUP($A24,Index!$B$2:B$995,Index!$A$2:$A$995,"Not Found")),"")</f>
        <v/>
      </c>
      <c r="E24" s="2" t="str">
        <f t="array" ref="E24">IF(NOT(ISBLANK($A24)), (_xlfn.XLOOKUP($A24,Index!$B$2:$B$995,Index!$D$2:$D$995,"Not Found")),"")</f>
        <v/>
      </c>
      <c r="F24" s="1" t="str">
        <f t="array" ref="F24">IF(NOT(ISBLANK($A24)), (_xlfn.XLOOKUP($A24,Index!$B$2:$B$995,Index!$E$2:$E$995,"Not Found")),"")</f>
        <v/>
      </c>
      <c r="G24" s="1" t="str">
        <f t="array" ref="G24">IF(NOT(ISBLANK(A24)), ((_xlfn.XLOOKUP(A24,Index!$B$2:$B$995,Index!$F$2:$F$995,"Not Found"))*B24),"")</f>
        <v/>
      </c>
      <c r="K24" s="1" t="s">
        <v>732</v>
      </c>
      <c r="L24" s="1" t="s">
        <v>554</v>
      </c>
    </row>
    <row r="25">
      <c r="C25" s="1" t="str">
        <f t="array" ref="C25">IF(NOT(ISBLANK($A25)), (_xlfn.XLOOKUP($A25,Index!$B$2:$B$995,Index!$C$2:$C$995,"Not Found")),"")</f>
        <v/>
      </c>
      <c r="D25" s="1" t="str">
        <f t="array" ref="D25">IF(NOT(ISBLANK(A25)), (_xlfn.XLOOKUP($A25,Index!$B$2:B$995,Index!$A$2:$A$995,"Not Found")),"")</f>
        <v/>
      </c>
      <c r="E25" s="2" t="str">
        <f t="array" ref="E25">IF(NOT(ISBLANK($A25)), (_xlfn.XLOOKUP($A25,Index!$B$2:$B$995,Index!$D$2:$D$995,"Not Found")),"")</f>
        <v/>
      </c>
      <c r="F25" s="1" t="str">
        <f t="array" ref="F25">IF(NOT(ISBLANK($A25)), (_xlfn.XLOOKUP($A25,Index!$B$2:$B$995,Index!$E$2:$E$995,"Not Found")),"")</f>
        <v/>
      </c>
      <c r="G25" s="1" t="str">
        <f t="array" ref="G25">IF(NOT(ISBLANK(A25)), ((_xlfn.XLOOKUP(A25,Index!$B$2:$B$995,Index!$F$2:$F$995,"Not Found"))*B25),"")</f>
        <v/>
      </c>
    </row>
    <row r="26">
      <c r="C26" s="1" t="str">
        <f t="array" ref="C26">IF(NOT(ISBLANK($A26)), (_xlfn.XLOOKUP($A26,Index!$B$2:$B$995,Index!$C$2:$C$995,"Not Found")),"")</f>
        <v/>
      </c>
      <c r="D26" s="1" t="str">
        <f t="array" ref="D26">IF(NOT(ISBLANK(A26)), (_xlfn.XLOOKUP($A26,Index!$B$2:B$995,Index!$A$2:$A$995,"Not Found")),"")</f>
        <v/>
      </c>
      <c r="E26" s="2" t="str">
        <f t="array" ref="E26">IF(NOT(ISBLANK($A26)), (_xlfn.XLOOKUP($A26,Index!$B$2:$B$995,Index!$D$2:$D$995,"Not Found")),"")</f>
        <v/>
      </c>
      <c r="F26" s="1" t="str">
        <f t="array" ref="F26">IF(NOT(ISBLANK($A26)), (_xlfn.XLOOKUP($A26,Index!$B$2:$B$995,Index!$E$2:$E$995,"Not Found")),"")</f>
        <v/>
      </c>
      <c r="G26" s="1" t="str">
        <f t="array" ref="G26">IF(NOT(ISBLANK(A26)), ((_xlfn.XLOOKUP(A26,Index!$B$2:$B$995,Index!$F$2:$F$995,"Not Found"))*B26),"")</f>
        <v/>
      </c>
    </row>
    <row r="27">
      <c r="C27" s="1" t="str">
        <f t="array" ref="C27">IF(NOT(ISBLANK($A27)), (_xlfn.XLOOKUP($A27,Index!$B$2:$B$995,Index!$C$2:$C$995,"Not Found")),"")</f>
        <v/>
      </c>
      <c r="D27" s="1" t="str">
        <f t="array" ref="D27">IF(NOT(ISBLANK(A27)), (_xlfn.XLOOKUP($A27,Index!$B$2:B$995,Index!$A$2:$A$995,"Not Found")),"")</f>
        <v/>
      </c>
      <c r="E27" s="2" t="str">
        <f t="array" ref="E27">IF(NOT(ISBLANK($A27)), (_xlfn.XLOOKUP($A27,Index!$B$2:$B$995,Index!$D$2:$D$995,"Not Found")),"")</f>
        <v/>
      </c>
      <c r="F27" s="1" t="str">
        <f t="array" ref="F27">IF(NOT(ISBLANK($A27)), (_xlfn.XLOOKUP($A27,Index!$B$2:$B$995,Index!$E$2:$E$995,"Not Found")),"")</f>
        <v/>
      </c>
      <c r="G27" s="1" t="str">
        <f t="array" ref="G27">IF(NOT(ISBLANK(A27)), ((_xlfn.XLOOKUP(A27,Index!$B$2:$B$995,Index!$F$2:$F$995,"Not Found"))*B27),"")</f>
        <v/>
      </c>
    </row>
    <row r="28">
      <c r="C28" s="1" t="str">
        <f t="array" ref="C28">IF(NOT(ISBLANK($A28)), (_xlfn.XLOOKUP($A28,Index!$B$2:$B$995,Index!$C$2:$C$995,"Not Found")),"")</f>
        <v/>
      </c>
      <c r="D28" s="1" t="str">
        <f t="array" ref="D28">IF(NOT(ISBLANK(A28)), (_xlfn.XLOOKUP($A28,Index!$B$2:B$995,Index!$A$2:$A$995,"Not Found")),"")</f>
        <v/>
      </c>
      <c r="E28" s="2" t="str">
        <f t="array" ref="E28">IF(NOT(ISBLANK($A28)), (_xlfn.XLOOKUP($A28,Index!$B$2:$B$995,Index!$D$2:$D$995,"Not Found")),"")</f>
        <v/>
      </c>
      <c r="F28" s="1" t="str">
        <f t="array" ref="F28">IF(NOT(ISBLANK($A28)), (_xlfn.XLOOKUP($A28,Index!$B$2:$B$995,Index!$E$2:$E$995,"Not Found")),"")</f>
        <v/>
      </c>
      <c r="G28" s="1" t="str">
        <f t="array" ref="G28">IF(NOT(ISBLANK(A28)), ((_xlfn.XLOOKUP(A28,Index!$B$2:$B$995,Index!$F$2:$F$995,"Not Found"))*B28),"")</f>
        <v/>
      </c>
    </row>
    <row r="29">
      <c r="C29" s="1" t="str">
        <f t="array" ref="C29">IF(NOT(ISBLANK($A29)), (_xlfn.XLOOKUP($A29,Index!$B$2:$B$995,Index!$C$2:$C$995,"Not Found")),"")</f>
        <v/>
      </c>
      <c r="D29" s="1" t="str">
        <f t="array" ref="D29">IF(NOT(ISBLANK(A29)), (_xlfn.XLOOKUP($A29,Index!$B$2:B$995,Index!$A$2:$A$995,"Not Found")),"")</f>
        <v/>
      </c>
      <c r="E29" s="2" t="str">
        <f t="array" ref="E29">IF(NOT(ISBLANK($A29)), (_xlfn.XLOOKUP($A29,Index!$B$2:$B$995,Index!$D$2:$D$995,"Not Found")),"")</f>
        <v/>
      </c>
      <c r="F29" s="1" t="str">
        <f t="array" ref="F29">IF(NOT(ISBLANK($A29)), (_xlfn.XLOOKUP($A29,Index!$B$2:$B$995,Index!$E$2:$E$995,"Not Found")),"")</f>
        <v/>
      </c>
      <c r="G29" s="1" t="str">
        <f t="array" ref="G29">IF(NOT(ISBLANK(A29)), ((_xlfn.XLOOKUP(A29,Index!$B$2:$B$995,Index!$F$2:$F$995,"Not Found"))*B29),"")</f>
        <v/>
      </c>
    </row>
    <row r="30">
      <c r="C30" s="1" t="str">
        <f t="array" ref="C30">IF(NOT(ISBLANK($A30)), (_xlfn.XLOOKUP($A30,Index!$B$2:$B$995,Index!$C$2:$C$995,"Not Found")),"")</f>
        <v/>
      </c>
      <c r="D30" s="1" t="str">
        <f t="array" ref="D30">IF(NOT(ISBLANK(A30)), (_xlfn.XLOOKUP($A30,Index!$B$2:B$995,Index!$A$2:$A$995,"Not Found")),"")</f>
        <v/>
      </c>
      <c r="E30" s="2" t="str">
        <f t="array" ref="E30">IF(NOT(ISBLANK($A30)), (_xlfn.XLOOKUP($A30,Index!$B$2:$B$995,Index!$D$2:$D$995,"Not Found")),"")</f>
        <v/>
      </c>
      <c r="F30" s="1" t="str">
        <f t="array" ref="F30">IF(NOT(ISBLANK($A30)), (_xlfn.XLOOKUP($A30,Index!$B$2:$B$995,Index!$E$2:$E$995,"Not Found")),"")</f>
        <v/>
      </c>
      <c r="G30" s="1" t="str">
        <f t="array" ref="G30">IF(NOT(ISBLANK(A30)), ((_xlfn.XLOOKUP(A30,Index!$B$2:$B$995,Index!$F$2:$F$995,"Not Found"))*B30),"")</f>
        <v/>
      </c>
    </row>
    <row r="31">
      <c r="C31" s="1" t="str">
        <f t="array" ref="C31">IF(NOT(ISBLANK($A31)), (_xlfn.XLOOKUP($A31,Index!$B$2:$B$995,Index!$C$2:$C$995,"Not Found")),"")</f>
        <v/>
      </c>
      <c r="D31" s="1" t="str">
        <f t="array" ref="D31">IF(NOT(ISBLANK(A31)), (_xlfn.XLOOKUP($A31,Index!$B$2:B$995,Index!$A$2:$A$995,"Not Found")),"")</f>
        <v/>
      </c>
      <c r="E31" s="2" t="str">
        <f t="array" ref="E31">IF(NOT(ISBLANK($A31)), (_xlfn.XLOOKUP($A31,Index!$B$2:$B$995,Index!$D$2:$D$995,"Not Found")),"")</f>
        <v/>
      </c>
      <c r="F31" s="1" t="str">
        <f t="array" ref="F31">IF(NOT(ISBLANK($A31)), (_xlfn.XLOOKUP($A31,Index!$B$2:$B$995,Index!$E$2:$E$995,"Not Found")),"")</f>
        <v/>
      </c>
      <c r="G31" s="1" t="str">
        <f t="array" ref="G31">IF(NOT(ISBLANK(A31)), ((_xlfn.XLOOKUP(A31,Index!$B$2:$B$995,Index!$F$2:$F$995,"Not Found"))*B31),"")</f>
        <v/>
      </c>
    </row>
    <row r="32">
      <c r="C32" s="1" t="str">
        <f t="array" ref="C32">IF(NOT(ISBLANK($A32)), (_xlfn.XLOOKUP($A32,Index!$B$2:$B$995,Index!$C$2:$C$995,"Not Found")),"")</f>
        <v/>
      </c>
      <c r="D32" s="1" t="str">
        <f t="array" ref="D32">IF(NOT(ISBLANK(A32)), (_xlfn.XLOOKUP($A32,Index!$B$2:B$995,Index!$A$2:$A$995,"Not Found")),"")</f>
        <v/>
      </c>
      <c r="E32" s="2" t="str">
        <f t="array" ref="E32">IF(NOT(ISBLANK($A32)), (_xlfn.XLOOKUP($A32,Index!$B$2:$B$995,Index!$D$2:$D$995,"Not Found")),"")</f>
        <v/>
      </c>
      <c r="F32" s="1" t="str">
        <f t="array" ref="F32">IF(NOT(ISBLANK($A32)), (_xlfn.XLOOKUP($A32,Index!$B$2:$B$995,Index!$E$2:$E$995,"Not Found")),"")</f>
        <v/>
      </c>
      <c r="G32" s="1" t="str">
        <f t="array" ref="G32">IF(NOT(ISBLANK(A32)), ((_xlfn.XLOOKUP(A32,Index!$B$2:$B$995,Index!$F$2:$F$995,"Not Found"))*B32),"")</f>
        <v/>
      </c>
    </row>
    <row r="33">
      <c r="C33" s="1" t="str">
        <f t="array" ref="C33">IF(NOT(ISBLANK($A33)), (_xlfn.XLOOKUP($A33,Index!$B$2:$B$995,Index!$C$2:$C$995,"Not Found")),"")</f>
        <v/>
      </c>
      <c r="D33" s="1" t="str">
        <f t="array" ref="D33">IF(NOT(ISBLANK(A33)), (_xlfn.XLOOKUP($A33,Index!$B$2:B$995,Index!$A$2:$A$995,"Not Found")),"")</f>
        <v/>
      </c>
      <c r="E33" s="2" t="str">
        <f t="array" ref="E33">IF(NOT(ISBLANK($A33)), (_xlfn.XLOOKUP($A33,Index!$B$2:$B$995,Index!$D$2:$D$995,"Not Found")),"")</f>
        <v/>
      </c>
      <c r="F33" s="1" t="str">
        <f t="array" ref="F33">IF(NOT(ISBLANK($A33)), (_xlfn.XLOOKUP($A33,Index!$B$2:$B$995,Index!$E$2:$E$995,"Not Found")),"")</f>
        <v/>
      </c>
      <c r="G33" s="1" t="str">
        <f t="array" ref="G33">IF(NOT(ISBLANK(A33)), ((_xlfn.XLOOKUP(A33,Index!$B$2:$B$995,Index!$F$2:$F$995,"Not Found"))*B33),"")</f>
        <v/>
      </c>
    </row>
    <row r="34">
      <c r="C34" s="1" t="str">
        <f t="array" ref="C34">IF(NOT(ISBLANK($A34)), (_xlfn.XLOOKUP($A34,Index!$B$2:$B$995,Index!$C$2:$C$995,"Not Found")),"")</f>
        <v/>
      </c>
      <c r="D34" s="1" t="str">
        <f t="array" ref="D34">IF(NOT(ISBLANK(A34)), (_xlfn.XLOOKUP($A34,Index!$B$2:B$995,Index!$A$2:$A$995,"Not Found")),"")</f>
        <v/>
      </c>
      <c r="E34" s="2" t="str">
        <f t="array" ref="E34">IF(NOT(ISBLANK($A34)), (_xlfn.XLOOKUP($A34,Index!$B$2:$B$995,Index!$D$2:$D$995,"Not Found")),"")</f>
        <v/>
      </c>
      <c r="F34" s="1" t="str">
        <f t="array" ref="F34">IF(NOT(ISBLANK($A34)), (_xlfn.XLOOKUP($A34,Index!$B$2:$B$995,Index!$E$2:$E$995,"Not Found")),"")</f>
        <v/>
      </c>
      <c r="G34" s="1" t="str">
        <f t="array" ref="G34">IF(NOT(ISBLANK(A34)), ((_xlfn.XLOOKUP(A34,Index!$B$2:$B$995,Index!$F$2:$F$995,"Not Found"))*B34),"")</f>
        <v/>
      </c>
    </row>
    <row r="35">
      <c r="C35" s="1" t="str">
        <f t="array" ref="C35">IF(NOT(ISBLANK($A35)), (_xlfn.XLOOKUP($A35,Index!$B$2:$B$995,Index!$C$2:$C$995,"Not Found")),"")</f>
        <v/>
      </c>
      <c r="D35" s="1" t="str">
        <f t="array" ref="D35">IF(NOT(ISBLANK(A35)), (_xlfn.XLOOKUP($A35,Index!$B$2:B$995,Index!$A$2:$A$995,"Not Found")),"")</f>
        <v/>
      </c>
      <c r="E35" s="2" t="str">
        <f t="array" ref="E35">IF(NOT(ISBLANK($A35)), (_xlfn.XLOOKUP($A35,Index!$B$2:$B$995,Index!$D$2:$D$995,"Not Found")),"")</f>
        <v/>
      </c>
      <c r="F35" s="1" t="str">
        <f t="array" ref="F35">IF(NOT(ISBLANK($A35)), (_xlfn.XLOOKUP($A35,Index!$B$2:$B$995,Index!$E$2:$E$995,"Not Found")),"")</f>
        <v/>
      </c>
      <c r="G35" s="1" t="str">
        <f t="array" ref="G35">IF(NOT(ISBLANK(A35)), ((_xlfn.XLOOKUP(A35,Index!$B$2:$B$995,Index!$F$2:$F$995,"Not Found"))*B35),"")</f>
        <v/>
      </c>
    </row>
    <row r="36">
      <c r="C36" s="1" t="str">
        <f t="array" ref="C36">IF(NOT(ISBLANK($A36)), (_xlfn.XLOOKUP($A36,Index!$B$2:$B$995,Index!$C$2:$C$995,"Not Found")),"")</f>
        <v/>
      </c>
      <c r="D36" s="1" t="str">
        <f t="array" ref="D36">IF(NOT(ISBLANK(A36)), (_xlfn.XLOOKUP($A36,Index!$B$2:B$995,Index!$A$2:$A$995,"Not Found")),"")</f>
        <v/>
      </c>
      <c r="E36" s="2" t="str">
        <f t="array" ref="E36">IF(NOT(ISBLANK($A36)), (_xlfn.XLOOKUP($A36,Index!$B$2:$B$995,Index!$D$2:$D$995,"Not Found")),"")</f>
        <v/>
      </c>
      <c r="F36" s="1" t="str">
        <f t="array" ref="F36">IF(NOT(ISBLANK($A36)), (_xlfn.XLOOKUP($A36,Index!$B$2:$B$995,Index!$E$2:$E$995,"Not Found")),"")</f>
        <v/>
      </c>
      <c r="G36" s="1" t="str">
        <f t="array" ref="G36">IF(NOT(ISBLANK(A36)), ((_xlfn.XLOOKUP(A36,Index!$B$2:$B$995,Index!$F$2:$F$995,"Not Found"))*B36),"")</f>
        <v/>
      </c>
    </row>
    <row r="37">
      <c r="C37" s="1" t="str">
        <f t="array" ref="C37">IF(NOT(ISBLANK($A37)), (_xlfn.XLOOKUP($A37,Index!$B$2:$B$995,Index!$C$2:$C$995,"Not Found")),"")</f>
        <v/>
      </c>
      <c r="D37" s="1" t="str">
        <f t="array" ref="D37">IF(NOT(ISBLANK(A37)), (_xlfn.XLOOKUP($A37,Index!$B$2:B$995,Index!$A$2:$A$995,"Not Found")),"")</f>
        <v/>
      </c>
      <c r="E37" s="2" t="str">
        <f t="array" ref="E37">IF(NOT(ISBLANK($A37)), (_xlfn.XLOOKUP($A37,Index!$B$2:$B$995,Index!$D$2:$D$995,"Not Found")),"")</f>
        <v/>
      </c>
      <c r="F37" s="1" t="str">
        <f t="array" ref="F37">IF(NOT(ISBLANK($A37)), (_xlfn.XLOOKUP($A37,Index!$B$2:$B$995,Index!$E$2:$E$995,"Not Found")),"")</f>
        <v/>
      </c>
      <c r="G37" s="1" t="str">
        <f t="array" ref="G37">IF(NOT(ISBLANK(A37)), ((_xlfn.XLOOKUP(A37,Index!$B$2:$B$995,Index!$F$2:$F$995,"Not Found"))*B37),"")</f>
        <v/>
      </c>
    </row>
    <row r="38">
      <c r="C38" s="1" t="str">
        <f t="array" ref="C38">IF(NOT(ISBLANK($A38)), (_xlfn.XLOOKUP($A38,Index!$B$2:$B$995,Index!$C$2:$C$995,"Not Found")),"")</f>
        <v/>
      </c>
      <c r="D38" s="1" t="str">
        <f t="array" ref="D38">IF(NOT(ISBLANK(A38)), (_xlfn.XLOOKUP($A38,Index!$B$2:B$995,Index!$A$2:$A$995,"Not Found")),"")</f>
        <v/>
      </c>
      <c r="E38" s="2" t="str">
        <f t="array" ref="E38">IF(NOT(ISBLANK($A38)), (_xlfn.XLOOKUP($A38,Index!$B$2:$B$995,Index!$D$2:$D$995,"Not Found")),"")</f>
        <v/>
      </c>
      <c r="F38" s="1" t="str">
        <f t="array" ref="F38">IF(NOT(ISBLANK($A38)), (_xlfn.XLOOKUP($A38,Index!$B$2:$B$995,Index!$E$2:$E$995,"Not Found")),"")</f>
        <v/>
      </c>
      <c r="G38" s="1" t="str">
        <f t="array" ref="G38">IF(NOT(ISBLANK(A38)), ((_xlfn.XLOOKUP(A38,Index!$B$2:$B$995,Index!$F$2:$F$995,"Not Found"))*B38),"")</f>
        <v/>
      </c>
    </row>
    <row r="39">
      <c r="C39" s="1" t="str">
        <f t="array" ref="C39">IF(NOT(ISBLANK($A39)), (_xlfn.XLOOKUP($A39,Index!$B$2:$B$995,Index!$C$2:$C$995,"Not Found")),"")</f>
        <v/>
      </c>
      <c r="D39" s="1" t="str">
        <f t="array" ref="D39">IF(NOT(ISBLANK(A39)), (_xlfn.XLOOKUP($A39,Index!$B$2:B$995,Index!$A$2:$A$995,"Not Found")),"")</f>
        <v/>
      </c>
      <c r="E39" s="2" t="str">
        <f t="array" ref="E39">IF(NOT(ISBLANK($A39)), (_xlfn.XLOOKUP($A39,Index!$B$2:$B$995,Index!$D$2:$D$995,"Not Found")),"")</f>
        <v/>
      </c>
      <c r="F39" s="1" t="str">
        <f t="array" ref="F39">IF(NOT(ISBLANK($A39)), (_xlfn.XLOOKUP($A39,Index!$B$2:$B$995,Index!$E$2:$E$995,"Not Found")),"")</f>
        <v/>
      </c>
      <c r="G39" s="1" t="str">
        <f t="array" ref="G39">IF(NOT(ISBLANK(A39)), ((_xlfn.XLOOKUP(A39,Index!$B$2:$B$995,Index!$F$2:$F$995,"Not Found"))*B39),"")</f>
        <v/>
      </c>
    </row>
    <row r="40">
      <c r="C40" s="1" t="str">
        <f t="array" ref="C40">IF(NOT(ISBLANK($A40)), (_xlfn.XLOOKUP($A40,Index!$B$2:$B$995,Index!$C$2:$C$995,"Not Found")),"")</f>
        <v/>
      </c>
      <c r="D40" s="1" t="str">
        <f t="array" ref="D40">IF(NOT(ISBLANK(A40)), (_xlfn.XLOOKUP($A40,Index!$B$2:B$995,Index!$A$2:$A$995,"Not Found")),"")</f>
        <v/>
      </c>
      <c r="E40" s="2" t="str">
        <f t="array" ref="E40">IF(NOT(ISBLANK($A40)), (_xlfn.XLOOKUP($A40,Index!$B$2:$B$995,Index!$D$2:$D$995,"Not Found")),"")</f>
        <v/>
      </c>
      <c r="F40" s="1" t="str">
        <f t="array" ref="F40">IF(NOT(ISBLANK($A40)), (_xlfn.XLOOKUP($A40,Index!$B$2:$B$995,Index!$E$2:$E$995,"Not Found")),"")</f>
        <v/>
      </c>
      <c r="G40" s="1" t="str">
        <f t="array" ref="G40">IF(NOT(ISBLANK(A40)), ((_xlfn.XLOOKUP(A40,Index!$B$2:$B$995,Index!$F$2:$F$995,"Not Found"))*B40),"")</f>
        <v/>
      </c>
    </row>
    <row r="41">
      <c r="C41" s="1" t="str">
        <f t="array" ref="C41">IF(NOT(ISBLANK($A41)), (_xlfn.XLOOKUP($A41,Index!$B$2:$B$995,Index!$C$2:$C$995,"Not Found")),"")</f>
        <v/>
      </c>
      <c r="D41" s="1" t="str">
        <f t="array" ref="D41">IF(NOT(ISBLANK(A41)), (_xlfn.XLOOKUP($A41,Index!$B$2:B$995,Index!$A$2:$A$995,"Not Found")),"")</f>
        <v/>
      </c>
      <c r="E41" s="2" t="str">
        <f t="array" ref="E41">IF(NOT(ISBLANK($A41)), (_xlfn.XLOOKUP($A41,Index!$B$2:$B$995,Index!$D$2:$D$995,"Not Found")),"")</f>
        <v/>
      </c>
      <c r="F41" s="1" t="str">
        <f t="array" ref="F41">IF(NOT(ISBLANK($A41)), (_xlfn.XLOOKUP($A41,Index!$B$2:$B$995,Index!$E$2:$E$995,"Not Found")),"")</f>
        <v/>
      </c>
      <c r="G41" s="1" t="str">
        <f t="array" ref="G41">IF(NOT(ISBLANK(A41)), ((_xlfn.XLOOKUP(A41,Index!$B$2:$B$995,Index!$F$2:$F$995,"Not Found"))*B41),"")</f>
        <v/>
      </c>
    </row>
    <row r="42">
      <c r="C42" s="1" t="str">
        <f t="array" ref="C42">IF(NOT(ISBLANK($A42)), (_xlfn.XLOOKUP($A42,Index!$B$2:$B$995,Index!$C$2:$C$995,"Not Found")),"")</f>
        <v/>
      </c>
      <c r="D42" s="1" t="str">
        <f t="array" ref="D42">IF(NOT(ISBLANK(A42)), (_xlfn.XLOOKUP($A42,Index!$B$2:B$995,Index!$A$2:$A$995,"Not Found")),"")</f>
        <v/>
      </c>
      <c r="E42" s="2" t="str">
        <f t="array" ref="E42">IF(NOT(ISBLANK($A42)), (_xlfn.XLOOKUP($A42,Index!$B$2:$B$995,Index!$D$2:$D$995,"Not Found")),"")</f>
        <v/>
      </c>
      <c r="F42" s="1" t="str">
        <f t="array" ref="F42">IF(NOT(ISBLANK($A42)), (_xlfn.XLOOKUP($A42,Index!$B$2:$B$995,Index!$E$2:$E$995,"Not Found")),"")</f>
        <v/>
      </c>
      <c r="G42" s="1" t="str">
        <f t="array" ref="G42">IF(NOT(ISBLANK(A42)), ((_xlfn.XLOOKUP(A42,Index!$B$2:$B$995,Index!$F$2:$F$995,"Not Found"))*B42),"")</f>
        <v/>
      </c>
    </row>
    <row r="43">
      <c r="C43" s="1" t="str">
        <f t="array" ref="C43">IF(NOT(ISBLANK($A43)), (_xlfn.XLOOKUP($A43,Index!$B$2:$B$995,Index!$C$2:$C$995,"Not Found")),"")</f>
        <v/>
      </c>
      <c r="D43" s="1" t="str">
        <f t="array" ref="D43">IF(NOT(ISBLANK(A43)), (_xlfn.XLOOKUP($A43,Index!$B$2:B$995,Index!$A$2:$A$995,"Not Found")),"")</f>
        <v/>
      </c>
      <c r="E43" s="2" t="str">
        <f t="array" ref="E43">IF(NOT(ISBLANK($A43)), (_xlfn.XLOOKUP($A43,Index!$B$2:$B$995,Index!$D$2:$D$995,"Not Found")),"")</f>
        <v/>
      </c>
      <c r="F43" s="1" t="str">
        <f t="array" ref="F43">IF(NOT(ISBLANK($A43)), (_xlfn.XLOOKUP($A43,Index!$B$2:$B$995,Index!$E$2:$E$995,"Not Found")),"")</f>
        <v/>
      </c>
      <c r="G43" s="1" t="str">
        <f t="array" ref="G43">IF(NOT(ISBLANK(A43)), ((_xlfn.XLOOKUP(A43,Index!$B$2:$B$995,Index!$F$2:$F$995,"Not Found"))*B43),"")</f>
        <v/>
      </c>
    </row>
    <row r="44">
      <c r="C44" s="1" t="str">
        <f t="array" ref="C44">IF(NOT(ISBLANK($A44)), (_xlfn.XLOOKUP($A44,Index!$B$2:$B$995,Index!$C$2:$C$995,"Not Found")),"")</f>
        <v/>
      </c>
      <c r="D44" s="1" t="str">
        <f t="array" ref="D44">IF(NOT(ISBLANK(A44)), (_xlfn.XLOOKUP($A44,Index!$B$2:B$995,Index!$A$2:$A$995,"Not Found")),"")</f>
        <v/>
      </c>
      <c r="E44" s="2" t="str">
        <f t="array" ref="E44">IF(NOT(ISBLANK($A44)), (_xlfn.XLOOKUP($A44,Index!$B$2:$B$995,Index!$D$2:$D$995,"Not Found")),"")</f>
        <v/>
      </c>
      <c r="F44" s="1" t="str">
        <f t="array" ref="F44">IF(NOT(ISBLANK($A44)), (_xlfn.XLOOKUP($A44,Index!$B$2:$B$995,Index!$E$2:$E$995,"Not Found")),"")</f>
        <v/>
      </c>
      <c r="G44" s="1" t="str">
        <f t="array" ref="G44">IF(NOT(ISBLANK(A44)), ((_xlfn.XLOOKUP(A44,Index!$B$2:$B$995,Index!$F$2:$F$995,"Not Found"))*B44),"")</f>
        <v/>
      </c>
    </row>
    <row r="45">
      <c r="C45" s="1" t="str">
        <f t="array" ref="C45">IF(NOT(ISBLANK($A45)), (_xlfn.XLOOKUP($A45,Index!$B$2:$B$995,Index!$C$2:$C$995,"Not Found")),"")</f>
        <v/>
      </c>
      <c r="D45" s="1" t="str">
        <f t="array" ref="D45">IF(NOT(ISBLANK(A45)), (_xlfn.XLOOKUP($A45,Index!$B$2:B$995,Index!$A$2:$A$995,"Not Found")),"")</f>
        <v/>
      </c>
      <c r="E45" s="2" t="str">
        <f t="array" ref="E45">IF(NOT(ISBLANK($A45)), (_xlfn.XLOOKUP($A45,Index!$B$2:$B$995,Index!$D$2:$D$995,"Not Found")),"")</f>
        <v/>
      </c>
      <c r="F45" s="1" t="str">
        <f t="array" ref="F45">IF(NOT(ISBLANK($A45)), (_xlfn.XLOOKUP($A45,Index!$B$2:$B$995,Index!$E$2:$E$995,"Not Found")),"")</f>
        <v/>
      </c>
      <c r="G45" s="1" t="str">
        <f t="array" ref="G45">IF(NOT(ISBLANK(A45)), ((_xlfn.XLOOKUP(A45,Index!$B$2:$B$995,Index!$F$2:$F$995,"Not Found"))*B45),"")</f>
        <v/>
      </c>
    </row>
    <row r="46">
      <c r="C46" s="1" t="str">
        <f t="array" ref="C46">IF(NOT(ISBLANK($A46)), (_xlfn.XLOOKUP($A46,Index!$B$2:$B$995,Index!$C$2:$C$995,"Not Found")),"")</f>
        <v/>
      </c>
      <c r="D46" s="1" t="str">
        <f t="array" ref="D46">IF(NOT(ISBLANK(A46)), (_xlfn.XLOOKUP($A46,Index!$B$2:B$995,Index!$A$2:$A$995,"Not Found")),"")</f>
        <v/>
      </c>
      <c r="E46" s="2" t="str">
        <f t="array" ref="E46">IF(NOT(ISBLANK($A46)), (_xlfn.XLOOKUP($A46,Index!$B$2:$B$995,Index!$D$2:$D$995,"Not Found")),"")</f>
        <v/>
      </c>
      <c r="F46" s="1" t="str">
        <f t="array" ref="F46">IF(NOT(ISBLANK($A46)), (_xlfn.XLOOKUP($A46,Index!$B$2:$B$995,Index!$E$2:$E$995,"Not Found")),"")</f>
        <v/>
      </c>
      <c r="G46" s="1" t="str">
        <f t="array" ref="G46">IF(NOT(ISBLANK(A46)), ((_xlfn.XLOOKUP(A46,Index!$B$2:$B$995,Index!$F$2:$F$995,"Not Found"))*B46),"")</f>
        <v/>
      </c>
    </row>
    <row r="47">
      <c r="C47" s="1" t="str">
        <f t="array" ref="C47">IF(NOT(ISBLANK($A47)), (_xlfn.XLOOKUP($A47,Index!$B$2:$B$995,Index!$C$2:$C$995,"Not Found")),"")</f>
        <v/>
      </c>
      <c r="D47" s="1" t="str">
        <f t="array" ref="D47">IF(NOT(ISBLANK(A47)), (_xlfn.XLOOKUP($A47,Index!$B$2:B$995,Index!$A$2:$A$995,"Not Found")),"")</f>
        <v/>
      </c>
      <c r="E47" s="2" t="str">
        <f t="array" ref="E47">IF(NOT(ISBLANK($A47)), (_xlfn.XLOOKUP($A47,Index!$B$2:$B$995,Index!$D$2:$D$995,"Not Found")),"")</f>
        <v/>
      </c>
      <c r="F47" s="1" t="str">
        <f t="array" ref="F47">IF(NOT(ISBLANK($A47)), (_xlfn.XLOOKUP($A47,Index!$B$2:$B$995,Index!$E$2:$E$995,"Not Found")),"")</f>
        <v/>
      </c>
      <c r="G47" s="1" t="str">
        <f t="array" ref="G47">IF(NOT(ISBLANK(A47)), ((_xlfn.XLOOKUP(A47,Index!$B$2:$B$995,Index!$F$2:$F$995,"Not Found"))*B47),"")</f>
        <v/>
      </c>
    </row>
    <row r="48">
      <c r="C48" s="1" t="str">
        <f t="array" ref="C48">IF(NOT(ISBLANK($A48)), (_xlfn.XLOOKUP($A48,Index!$B$2:$B$995,Index!$C$2:$C$995,"Not Found")),"")</f>
        <v/>
      </c>
      <c r="D48" s="1" t="str">
        <f t="array" ref="D48">IF(NOT(ISBLANK(A48)), (_xlfn.XLOOKUP($A48,Index!$B$2:B$995,Index!$A$2:$A$995,"Not Found")),"")</f>
        <v/>
      </c>
      <c r="E48" s="2" t="str">
        <f t="array" ref="E48">IF(NOT(ISBLANK($A48)), (_xlfn.XLOOKUP($A48,Index!$B$2:$B$995,Index!$D$2:$D$995,"Not Found")),"")</f>
        <v/>
      </c>
      <c r="F48" s="1" t="str">
        <f t="array" ref="F48">IF(NOT(ISBLANK($A48)), (_xlfn.XLOOKUP($A48,Index!$B$2:$B$995,Index!$E$2:$E$995,"Not Found")),"")</f>
        <v/>
      </c>
      <c r="G48" s="1" t="str">
        <f t="array" ref="G48">IF(NOT(ISBLANK(A48)), ((_xlfn.XLOOKUP(A48,Index!$B$2:$B$995,Index!$F$2:$F$995,"Not Found"))*B48),"")</f>
        <v/>
      </c>
    </row>
    <row r="49">
      <c r="C49" s="1" t="str">
        <f t="array" ref="C49">IF(NOT(ISBLANK($A49)), (_xlfn.XLOOKUP($A49,Index!$B$2:$B$995,Index!$C$2:$C$995,"Not Found")),"")</f>
        <v/>
      </c>
      <c r="D49" s="1" t="str">
        <f t="array" ref="D49">IF(NOT(ISBLANK(A49)), (_xlfn.XLOOKUP($A49,Index!$B$2:B$995,Index!$A$2:$A$995,"Not Found")),"")</f>
        <v/>
      </c>
      <c r="E49" s="2" t="str">
        <f t="array" ref="E49">IF(NOT(ISBLANK($A49)), (_xlfn.XLOOKUP($A49,Index!$B$2:$B$995,Index!$D$2:$D$995,"Not Found")),"")</f>
        <v/>
      </c>
      <c r="F49" s="1" t="str">
        <f t="array" ref="F49">IF(NOT(ISBLANK($A49)), (_xlfn.XLOOKUP($A49,Index!$B$2:$B$995,Index!$E$2:$E$995,"Not Found")),"")</f>
        <v/>
      </c>
      <c r="G49" s="1" t="str">
        <f t="array" ref="G49">IF(NOT(ISBLANK(A49)), ((_xlfn.XLOOKUP(A49,Index!$B$2:$B$995,Index!$F$2:$F$995,"Not Found"))*B49),"")</f>
        <v/>
      </c>
    </row>
    <row r="50">
      <c r="C50" s="1" t="str">
        <f t="array" ref="C50">IF(NOT(ISBLANK($A50)), (_xlfn.XLOOKUP($A50,Index!$B$2:$B$995,Index!$C$2:$C$995,"Not Found")),"")</f>
        <v/>
      </c>
      <c r="D50" s="1" t="str">
        <f t="array" ref="D50">IF(NOT(ISBLANK(A50)), (_xlfn.XLOOKUP($A50,Index!$B$2:B$995,Index!$A$2:$A$995,"Not Found")),"")</f>
        <v/>
      </c>
      <c r="E50" s="2" t="str">
        <f t="array" ref="E50">IF(NOT(ISBLANK($A50)), (_xlfn.XLOOKUP($A50,Index!$B$2:$B$995,Index!$D$2:$D$995,"Not Found")),"")</f>
        <v/>
      </c>
      <c r="F50" s="1" t="str">
        <f t="array" ref="F50">IF(NOT(ISBLANK($A50)), (_xlfn.XLOOKUP($A50,Index!$B$2:$B$995,Index!$E$2:$E$995,"Not Found")),"")</f>
        <v/>
      </c>
      <c r="G50" s="1" t="str">
        <f t="array" ref="G50">IF(NOT(ISBLANK(A50)), ((_xlfn.XLOOKUP(A50,Index!$B$2:$B$995,Index!$F$2:$F$995,"Not Found"))*B50),"")</f>
        <v/>
      </c>
    </row>
    <row r="51">
      <c r="C51" s="1" t="str">
        <f t="array" ref="C51">IF(NOT(ISBLANK($A51)), (_xlfn.XLOOKUP($A51,Index!$B$2:$B$995,Index!$C$2:$C$995,"Not Found")),"")</f>
        <v/>
      </c>
      <c r="D51" s="1" t="str">
        <f t="array" ref="D51">IF(NOT(ISBLANK(A51)), (_xlfn.XLOOKUP($A51,Index!$B$2:B$995,Index!$A$2:$A$995,"Not Found")),"")</f>
        <v/>
      </c>
      <c r="E51" s="2" t="str">
        <f t="array" ref="E51">IF(NOT(ISBLANK($A51)), (_xlfn.XLOOKUP($A51,Index!$B$2:$B$995,Index!$D$2:$D$995,"Not Found")),"")</f>
        <v/>
      </c>
      <c r="F51" s="1" t="str">
        <f t="array" ref="F51">IF(NOT(ISBLANK($A51)), (_xlfn.XLOOKUP($A51,Index!$B$2:$B$995,Index!$E$2:$E$995,"Not Found")),"")</f>
        <v/>
      </c>
      <c r="G51" s="1" t="str">
        <f t="array" ref="G51">IF(NOT(ISBLANK(A51)), ((_xlfn.XLOOKUP(A51,Index!$B$2:$B$995,Index!$F$2:$F$995,"Not Found"))*B51),"")</f>
        <v/>
      </c>
    </row>
    <row r="52">
      <c r="C52" s="1" t="str">
        <f t="array" ref="C52">IF(NOT(ISBLANK($A52)), (_xlfn.XLOOKUP($A52,Index!$B$2:$B$995,Index!$C$2:$C$995,"Not Found")),"")</f>
        <v/>
      </c>
      <c r="D52" s="1" t="str">
        <f t="array" ref="D52">IF(NOT(ISBLANK(A52)), (_xlfn.XLOOKUP($A52,Index!$B$2:B$995,Index!$A$2:$A$995,"Not Found")),"")</f>
        <v/>
      </c>
      <c r="E52" s="2" t="str">
        <f t="array" ref="E52">IF(NOT(ISBLANK($A52)), (_xlfn.XLOOKUP($A52,Index!$B$2:$B$995,Index!$D$2:$D$995,"Not Found")),"")</f>
        <v/>
      </c>
      <c r="F52" s="1" t="str">
        <f t="array" ref="F52">IF(NOT(ISBLANK($A52)), (_xlfn.XLOOKUP($A52,Index!$B$2:$B$995,Index!$E$2:$E$995,"Not Found")),"")</f>
        <v/>
      </c>
      <c r="G52" s="1" t="str">
        <f t="array" ref="G52">IF(NOT(ISBLANK(A52)), ((_xlfn.XLOOKUP(A52,Index!$B$2:$B$995,Index!$F$2:$F$995,"Not Found"))*B52),"")</f>
        <v/>
      </c>
    </row>
    <row r="53">
      <c r="C53" s="1" t="str">
        <f t="array" ref="C53">IF(NOT(ISBLANK($A53)), (_xlfn.XLOOKUP($A53,Index!$B$2:$B$995,Index!$C$2:$C$995,"Not Found")),"")</f>
        <v/>
      </c>
      <c r="D53" s="1" t="str">
        <f t="array" ref="D53">IF(NOT(ISBLANK(A53)), (_xlfn.XLOOKUP($A53,Index!$B$2:B$995,Index!$A$2:$A$995,"Not Found")),"")</f>
        <v/>
      </c>
      <c r="E53" s="2" t="str">
        <f t="array" ref="E53">IF(NOT(ISBLANK($A53)), (_xlfn.XLOOKUP($A53,Index!$B$2:$B$995,Index!$D$2:$D$995,"Not Found")),"")</f>
        <v/>
      </c>
      <c r="F53" s="1" t="str">
        <f t="array" ref="F53">IF(NOT(ISBLANK($A53)), (_xlfn.XLOOKUP($A53,Index!$B$2:$B$995,Index!$E$2:$E$995,"Not Found")),"")</f>
        <v/>
      </c>
      <c r="G53" s="1" t="str">
        <f t="array" ref="G53">IF(NOT(ISBLANK(A53)), ((_xlfn.XLOOKUP(A53,Index!$B$2:$B$995,Index!$F$2:$F$995,"Not Found"))*B53),"")</f>
        <v/>
      </c>
    </row>
    <row r="54">
      <c r="C54" s="1" t="str">
        <f t="array" ref="C54">IF(NOT(ISBLANK($A54)), (_xlfn.XLOOKUP($A54,Index!$B$2:$B$995,Index!$C$2:$C$995,"Not Found")),"")</f>
        <v/>
      </c>
      <c r="D54" s="1" t="str">
        <f t="array" ref="D54">IF(NOT(ISBLANK(A54)), (_xlfn.XLOOKUP($A54,Index!$B$2:B$995,Index!$A$2:$A$995,"Not Found")),"")</f>
        <v/>
      </c>
      <c r="E54" s="2" t="str">
        <f t="array" ref="E54">IF(NOT(ISBLANK($A54)), (_xlfn.XLOOKUP($A54,Index!$B$2:$B$995,Index!$D$2:$D$995,"Not Found")),"")</f>
        <v/>
      </c>
      <c r="F54" s="1" t="str">
        <f t="array" ref="F54">IF(NOT(ISBLANK($A54)), (_xlfn.XLOOKUP($A54,Index!$B$2:$B$995,Index!$E$2:$E$995,"Not Found")),"")</f>
        <v/>
      </c>
      <c r="G54" s="1" t="str">
        <f t="array" ref="G54">IF(NOT(ISBLANK(A54)), ((_xlfn.XLOOKUP(A54,Index!$B$2:$B$995,Index!$F$2:$F$995,"Not Found"))*B54),"")</f>
        <v/>
      </c>
    </row>
    <row r="55">
      <c r="C55" s="1" t="str">
        <f t="array" ref="C55">IF(NOT(ISBLANK($A55)), (_xlfn.XLOOKUP($A55,Index!$B$2:$B$995,Index!$C$2:$C$995,"Not Found")),"")</f>
        <v/>
      </c>
      <c r="D55" s="1" t="str">
        <f t="array" ref="D55">IF(NOT(ISBLANK(A55)), (_xlfn.XLOOKUP($A55,Index!$B$2:B$995,Index!$A$2:$A$995,"Not Found")),"")</f>
        <v/>
      </c>
      <c r="E55" s="2" t="str">
        <f t="array" ref="E55">IF(NOT(ISBLANK($A55)), (_xlfn.XLOOKUP($A55,Index!$B$2:$B$995,Index!$D$2:$D$995,"Not Found")),"")</f>
        <v/>
      </c>
      <c r="F55" s="1" t="str">
        <f t="array" ref="F55">IF(NOT(ISBLANK($A55)), (_xlfn.XLOOKUP($A55,Index!$B$2:$B$995,Index!$E$2:$E$995,"Not Found")),"")</f>
        <v/>
      </c>
      <c r="G55" s="1" t="str">
        <f t="array" ref="G55">IF(NOT(ISBLANK(A55)), ((_xlfn.XLOOKUP(A55,Index!$B$2:$B$995,Index!$F$2:$F$995,"Not Found"))*B55),"")</f>
        <v/>
      </c>
    </row>
    <row r="56">
      <c r="C56" s="1" t="str">
        <f t="array" ref="C56">IF(NOT(ISBLANK($A56)), (_xlfn.XLOOKUP($A56,Index!$B$2:$B$995,Index!$C$2:$C$995,"Not Found")),"")</f>
        <v/>
      </c>
      <c r="D56" s="1" t="str">
        <f t="array" ref="D56">IF(NOT(ISBLANK(A56)), (_xlfn.XLOOKUP($A56,Index!$B$2:B$995,Index!$A$2:$A$995,"Not Found")),"")</f>
        <v/>
      </c>
      <c r="E56" s="2" t="str">
        <f t="array" ref="E56">IF(NOT(ISBLANK($A56)), (_xlfn.XLOOKUP($A56,Index!$B$2:$B$995,Index!$D$2:$D$995,"Not Found")),"")</f>
        <v/>
      </c>
      <c r="F56" s="1" t="str">
        <f t="array" ref="F56">IF(NOT(ISBLANK($A56)), (_xlfn.XLOOKUP($A56,Index!$B$2:$B$995,Index!$E$2:$E$995,"Not Found")),"")</f>
        <v/>
      </c>
      <c r="G56" s="1" t="str">
        <f t="array" ref="G56">IF(NOT(ISBLANK(A56)), ((_xlfn.XLOOKUP(A56,Index!$B$2:$B$995,Index!$F$2:$F$995,"Not Found"))*B56),"")</f>
        <v/>
      </c>
    </row>
    <row r="57">
      <c r="C57" s="1" t="str">
        <f t="array" ref="C57">IF(NOT(ISBLANK($A57)), (_xlfn.XLOOKUP($A57,Index!$B$2:$B$995,Index!$C$2:$C$995,"Not Found")),"")</f>
        <v/>
      </c>
      <c r="D57" s="1" t="str">
        <f t="array" ref="D57">IF(NOT(ISBLANK(A57)), (_xlfn.XLOOKUP($A57,Index!$B$2:B$995,Index!$A$2:$A$995,"Not Found")),"")</f>
        <v/>
      </c>
      <c r="E57" s="2" t="str">
        <f t="array" ref="E57">IF(NOT(ISBLANK($A57)), (_xlfn.XLOOKUP($A57,Index!$B$2:$B$995,Index!$D$2:$D$995,"Not Found")),"")</f>
        <v/>
      </c>
      <c r="F57" s="1" t="str">
        <f t="array" ref="F57">IF(NOT(ISBLANK($A57)), (_xlfn.XLOOKUP($A57,Index!$B$2:$B$995,Index!$E$2:$E$995,"Not Found")),"")</f>
        <v/>
      </c>
      <c r="G57" s="1" t="str">
        <f t="array" ref="G57">IF(NOT(ISBLANK(A57)), ((_xlfn.XLOOKUP(A57,Index!$B$2:$B$995,Index!$F$2:$F$995,"Not Found"))*B57),"")</f>
        <v/>
      </c>
    </row>
    <row r="58">
      <c r="C58" s="1" t="str">
        <f t="array" ref="C58">IF(NOT(ISBLANK($A58)), (_xlfn.XLOOKUP($A58,Index!$B$2:$B$995,Index!$C$2:$C$995,"Not Found")),"")</f>
        <v/>
      </c>
      <c r="D58" s="1" t="str">
        <f t="array" ref="D58">IF(NOT(ISBLANK(A58)), (_xlfn.XLOOKUP($A58,Index!$B$2:B$995,Index!$A$2:$A$995,"Not Found")),"")</f>
        <v/>
      </c>
      <c r="E58" s="2" t="str">
        <f t="array" ref="E58">IF(NOT(ISBLANK($A58)), (_xlfn.XLOOKUP($A58,Index!$B$2:$B$995,Index!$D$2:$D$995,"Not Found")),"")</f>
        <v/>
      </c>
      <c r="F58" s="1" t="str">
        <f t="array" ref="F58">IF(NOT(ISBLANK($A58)), (_xlfn.XLOOKUP($A58,Index!$B$2:$B$995,Index!$E$2:$E$995,"Not Found")),"")</f>
        <v/>
      </c>
      <c r="G58" s="1" t="str">
        <f t="array" ref="G58">IF(NOT(ISBLANK(A58)), ((_xlfn.XLOOKUP(A58,Index!$B$2:$B$995,Index!$F$2:$F$995,"Not Found"))*B58),"")</f>
        <v/>
      </c>
    </row>
    <row r="59">
      <c r="C59" s="1" t="str">
        <f t="array" ref="C59">IF(NOT(ISBLANK($A59)), (_xlfn.XLOOKUP($A59,Index!$B$2:$B$995,Index!$C$2:$C$995,"Not Found")),"")</f>
        <v/>
      </c>
      <c r="D59" s="1" t="str">
        <f t="array" ref="D59">IF(NOT(ISBLANK(A59)), (_xlfn.XLOOKUP($A59,Index!$B$2:B$995,Index!$A$2:$A$995,"Not Found")),"")</f>
        <v/>
      </c>
      <c r="E59" s="2" t="str">
        <f t="array" ref="E59">IF(NOT(ISBLANK($A59)), (_xlfn.XLOOKUP($A59,Index!$B$2:$B$995,Index!$D$2:$D$995,"Not Found")),"")</f>
        <v/>
      </c>
      <c r="F59" s="1" t="str">
        <f t="array" ref="F59">IF(NOT(ISBLANK($A59)), (_xlfn.XLOOKUP($A59,Index!$B$2:$B$995,Index!$E$2:$E$995,"Not Found")),"")</f>
        <v/>
      </c>
      <c r="G59" s="1" t="str">
        <f t="array" ref="G59">IF(NOT(ISBLANK(A59)), ((_xlfn.XLOOKUP(A59,Index!$B$2:$B$995,Index!$F$2:$F$995,"Not Found"))*B59),"")</f>
        <v/>
      </c>
    </row>
    <row r="60">
      <c r="C60" s="1" t="str">
        <f t="array" ref="C60">IF(NOT(ISBLANK($A60)), (_xlfn.XLOOKUP($A60,Index!$B$2:$B$995,Index!$C$2:$C$995,"Not Found")),"")</f>
        <v/>
      </c>
      <c r="D60" s="1" t="str">
        <f t="array" ref="D60">IF(NOT(ISBLANK(A60)), (_xlfn.XLOOKUP($A60,Index!$B$2:B$995,Index!$A$2:$A$995,"Not Found")),"")</f>
        <v/>
      </c>
      <c r="E60" s="2" t="str">
        <f t="array" ref="E60">IF(NOT(ISBLANK($A60)), (_xlfn.XLOOKUP($A60,Index!$B$2:$B$995,Index!$D$2:$D$995,"Not Found")),"")</f>
        <v/>
      </c>
      <c r="F60" s="1" t="str">
        <f t="array" ref="F60">IF(NOT(ISBLANK($A60)), (_xlfn.XLOOKUP($A60,Index!$B$2:$B$995,Index!$E$2:$E$995,"Not Found")),"")</f>
        <v/>
      </c>
      <c r="G60" s="1" t="str">
        <f t="array" ref="G60">IF(NOT(ISBLANK(A60)), ((_xlfn.XLOOKUP(A60,Index!$B$2:$B$995,Index!$F$2:$F$995,"Not Found"))*B60),"")</f>
        <v/>
      </c>
    </row>
    <row r="61">
      <c r="C61" s="1" t="str">
        <f t="array" ref="C61">IF(NOT(ISBLANK($A61)), (_xlfn.XLOOKUP($A61,Index!$B$2:$B$995,Index!$C$2:$C$995,"Not Found")),"")</f>
        <v/>
      </c>
      <c r="D61" s="1" t="str">
        <f t="array" ref="D61">IF(NOT(ISBLANK(A61)), (_xlfn.XLOOKUP($A61,Index!$B$2:B$995,Index!$A$2:$A$995,"Not Found")),"")</f>
        <v/>
      </c>
      <c r="E61" s="2" t="str">
        <f t="array" ref="E61">IF(NOT(ISBLANK($A61)), (_xlfn.XLOOKUP($A61,Index!$B$2:$B$995,Index!$D$2:$D$995,"Not Found")),"")</f>
        <v/>
      </c>
      <c r="F61" s="1" t="str">
        <f t="array" ref="F61">IF(NOT(ISBLANK($A61)), (_xlfn.XLOOKUP($A61,Index!$B$2:$B$995,Index!$E$2:$E$995,"Not Found")),"")</f>
        <v/>
      </c>
      <c r="G61" s="1" t="str">
        <f t="array" ref="G61">IF(NOT(ISBLANK(A61)), ((_xlfn.XLOOKUP(A61,Index!$B$2:$B$995,Index!$F$2:$F$995,"Not Found"))*B61),"")</f>
        <v/>
      </c>
    </row>
    <row r="62">
      <c r="C62" s="1" t="str">
        <f t="array" ref="C62">IF(NOT(ISBLANK($A62)), (_xlfn.XLOOKUP($A62,Index!$B$2:$B$995,Index!$C$2:$C$995,"Not Found")),"")</f>
        <v/>
      </c>
      <c r="D62" s="1" t="str">
        <f t="array" ref="D62">IF(NOT(ISBLANK(A62)), (_xlfn.XLOOKUP($A62,Index!$B$2:B$995,Index!$A$2:$A$995,"Not Found")),"")</f>
        <v/>
      </c>
      <c r="E62" s="2" t="str">
        <f t="array" ref="E62">IF(NOT(ISBLANK($A62)), (_xlfn.XLOOKUP($A62,Index!$B$2:$B$995,Index!$D$2:$D$995,"Not Found")),"")</f>
        <v/>
      </c>
      <c r="F62" s="1" t="str">
        <f t="array" ref="F62">IF(NOT(ISBLANK($A62)), (_xlfn.XLOOKUP($A62,Index!$B$2:$B$995,Index!$E$2:$E$995,"Not Found")),"")</f>
        <v/>
      </c>
      <c r="G62" s="1" t="str">
        <f t="array" ref="G62">IF(NOT(ISBLANK(A62)), ((_xlfn.XLOOKUP(A62,Index!$B$2:$B$995,Index!$F$2:$F$995,"Not Found"))*B62),"")</f>
        <v/>
      </c>
    </row>
    <row r="63">
      <c r="C63" s="1" t="str">
        <f t="array" ref="C63">IF(NOT(ISBLANK($A63)), (_xlfn.XLOOKUP($A63,Index!$B$2:$B$995,Index!$C$2:$C$995,"Not Found")),"")</f>
        <v/>
      </c>
      <c r="D63" s="1" t="str">
        <f t="array" ref="D63">IF(NOT(ISBLANK(A63)), (_xlfn.XLOOKUP($A63,Index!$B$2:B$995,Index!$A$2:$A$995,"Not Found")),"")</f>
        <v/>
      </c>
      <c r="E63" s="2" t="str">
        <f t="array" ref="E63">IF(NOT(ISBLANK($A63)), (_xlfn.XLOOKUP($A63,Index!$B$2:$B$995,Index!$D$2:$D$995,"Not Found")),"")</f>
        <v/>
      </c>
      <c r="F63" s="1" t="str">
        <f t="array" ref="F63">IF(NOT(ISBLANK($A63)), (_xlfn.XLOOKUP($A63,Index!$B$2:$B$995,Index!$E$2:$E$995,"Not Found")),"")</f>
        <v/>
      </c>
      <c r="G63" s="1" t="str">
        <f t="array" ref="G63">IF(NOT(ISBLANK(A63)), ((_xlfn.XLOOKUP(A63,Index!$B$2:$B$995,Index!$F$2:$F$995,"Not Found"))*B63),"")</f>
        <v/>
      </c>
    </row>
    <row r="64">
      <c r="C64" s="1" t="str">
        <f t="array" ref="C64">IF(NOT(ISBLANK($A64)), (_xlfn.XLOOKUP($A64,Index!$B$2:$B$995,Index!$C$2:$C$995,"Not Found")),"")</f>
        <v/>
      </c>
      <c r="D64" s="1" t="str">
        <f t="array" ref="D64">IF(NOT(ISBLANK(A64)), (_xlfn.XLOOKUP($A64,Index!$B$2:B$995,Index!$A$2:$A$995,"Not Found")),"")</f>
        <v/>
      </c>
      <c r="E64" s="2" t="str">
        <f t="array" ref="E64">IF(NOT(ISBLANK($A64)), (_xlfn.XLOOKUP($A64,Index!$B$2:$B$995,Index!$D$2:$D$995,"Not Found")),"")</f>
        <v/>
      </c>
      <c r="F64" s="1" t="str">
        <f t="array" ref="F64">IF(NOT(ISBLANK($A64)), (_xlfn.XLOOKUP($A64,Index!$B$2:$B$995,Index!$E$2:$E$995,"Not Found")),"")</f>
        <v/>
      </c>
      <c r="G64" s="1" t="str">
        <f t="array" ref="G64">IF(NOT(ISBLANK(A64)), ((_xlfn.XLOOKUP(A64,Index!$B$2:$B$995,Index!$F$2:$F$995,"Not Found"))*B64),"")</f>
        <v/>
      </c>
    </row>
    <row r="65">
      <c r="C65" s="1" t="str">
        <f t="array" ref="C65">IF(NOT(ISBLANK($A65)), (_xlfn.XLOOKUP($A65,Index!$B$2:$B$995,Index!$C$2:$C$995,"Not Found")),"")</f>
        <v/>
      </c>
      <c r="D65" s="1" t="str">
        <f t="array" ref="D65">IF(NOT(ISBLANK(A65)), (_xlfn.XLOOKUP($A65,Index!$B$2:B$995,Index!$A$2:$A$995,"Not Found")),"")</f>
        <v/>
      </c>
      <c r="E65" s="2" t="str">
        <f t="array" ref="E65">IF(NOT(ISBLANK($A65)), (_xlfn.XLOOKUP($A65,Index!$B$2:$B$995,Index!$D$2:$D$995,"Not Found")),"")</f>
        <v/>
      </c>
      <c r="F65" s="1" t="str">
        <f t="array" ref="F65">IF(NOT(ISBLANK($A65)), (_xlfn.XLOOKUP($A65,Index!$B$2:$B$995,Index!$E$2:$E$995,"Not Found")),"")</f>
        <v/>
      </c>
      <c r="G65" s="1" t="str">
        <f t="array" ref="G65">IF(NOT(ISBLANK(A65)), ((_xlfn.XLOOKUP(A65,Index!$B$2:$B$995,Index!$F$2:$F$995,"Not Found"))*B65),"")</f>
        <v/>
      </c>
    </row>
    <row r="66">
      <c r="C66" s="1" t="str">
        <f t="array" ref="C66">IF(NOT(ISBLANK($A66)), (_xlfn.XLOOKUP($A66,Index!$B$2:$B$995,Index!$C$2:$C$995,"Not Found")),"")</f>
        <v/>
      </c>
      <c r="D66" s="1" t="str">
        <f t="array" ref="D66">IF(NOT(ISBLANK(A66)), (_xlfn.XLOOKUP($A66,Index!$B$2:B$995,Index!$A$2:$A$995,"Not Found")),"")</f>
        <v/>
      </c>
      <c r="E66" s="2" t="str">
        <f t="array" ref="E66">IF(NOT(ISBLANK($A66)), (_xlfn.XLOOKUP($A66,Index!$B$2:$B$995,Index!$D$2:$D$995,"Not Found")),"")</f>
        <v/>
      </c>
      <c r="F66" s="1" t="str">
        <f t="array" ref="F66">IF(NOT(ISBLANK($A66)), (_xlfn.XLOOKUP($A66,Index!$B$2:$B$995,Index!$E$2:$E$995,"Not Found")),"")</f>
        <v/>
      </c>
      <c r="G66" s="1" t="str">
        <f t="array" ref="G66">IF(NOT(ISBLANK(A66)), ((_xlfn.XLOOKUP(A66,Index!$B$2:$B$995,Index!$F$2:$F$995,"Not Found"))*B66),"")</f>
        <v/>
      </c>
    </row>
    <row r="67">
      <c r="C67" s="1" t="str">
        <f t="array" ref="C67">IF(NOT(ISBLANK($A67)), (_xlfn.XLOOKUP($A67,Index!$B$2:$B$995,Index!$C$2:$C$995,"Not Found")),"")</f>
        <v/>
      </c>
      <c r="D67" s="1" t="str">
        <f t="array" ref="D67">IF(NOT(ISBLANK(A67)), (_xlfn.XLOOKUP($A67,Index!$B$2:B$995,Index!$A$2:$A$995,"Not Found")),"")</f>
        <v/>
      </c>
      <c r="E67" s="2" t="str">
        <f t="array" ref="E67">IF(NOT(ISBLANK($A67)), (_xlfn.XLOOKUP($A67,Index!$B$2:$B$995,Index!$D$2:$D$995,"Not Found")),"")</f>
        <v/>
      </c>
      <c r="F67" s="1" t="str">
        <f t="array" ref="F67">IF(NOT(ISBLANK($A67)), (_xlfn.XLOOKUP($A67,Index!$B$2:$B$995,Index!$E$2:$E$995,"Not Found")),"")</f>
        <v/>
      </c>
      <c r="G67" s="1" t="str">
        <f t="array" ref="G67">IF(NOT(ISBLANK(A67)), ((_xlfn.XLOOKUP(A67,Index!$B$2:$B$995,Index!$F$2:$F$995,"Not Found"))*B67),"")</f>
        <v/>
      </c>
    </row>
    <row r="68">
      <c r="C68" s="1" t="str">
        <f t="array" ref="C68">IF(NOT(ISBLANK($A68)), (_xlfn.XLOOKUP($A68,Index!$B$2:$B$995,Index!$C$2:$C$995,"Not Found")),"")</f>
        <v/>
      </c>
      <c r="D68" s="1" t="str">
        <f t="array" ref="D68">IF(NOT(ISBLANK(A68)), (_xlfn.XLOOKUP($A68,Index!$B$2:B$995,Index!$A$2:$A$995,"Not Found")),"")</f>
        <v/>
      </c>
      <c r="E68" s="2" t="str">
        <f t="array" ref="E68">IF(NOT(ISBLANK($A68)), (_xlfn.XLOOKUP($A68,Index!$B$2:$B$995,Index!$D$2:$D$995,"Not Found")),"")</f>
        <v/>
      </c>
      <c r="F68" s="1" t="str">
        <f t="array" ref="F68">IF(NOT(ISBLANK($A68)), (_xlfn.XLOOKUP($A68,Index!$B$2:$B$995,Index!$E$2:$E$995,"Not Found")),"")</f>
        <v/>
      </c>
      <c r="G68" s="1" t="str">
        <f t="array" ref="G68">IF(NOT(ISBLANK(A68)), ((_xlfn.XLOOKUP(A68,Index!$B$2:$B$995,Index!$F$2:$F$995,"Not Found"))*B68),"")</f>
        <v/>
      </c>
    </row>
    <row r="69">
      <c r="C69" s="1" t="str">
        <f t="array" ref="C69">IF(NOT(ISBLANK($A69)), (_xlfn.XLOOKUP($A69,Index!$B$2:$B$995,Index!$C$2:$C$995,"Not Found")),"")</f>
        <v/>
      </c>
      <c r="D69" s="1" t="str">
        <f t="array" ref="D69">IF(NOT(ISBLANK(A69)), (_xlfn.XLOOKUP($A69,Index!$B$2:B$995,Index!$A$2:$A$995,"Not Found")),"")</f>
        <v/>
      </c>
      <c r="E69" s="2" t="str">
        <f t="array" ref="E69">IF(NOT(ISBLANK($A69)), (_xlfn.XLOOKUP($A69,Index!$B$2:$B$995,Index!$D$2:$D$995,"Not Found")),"")</f>
        <v/>
      </c>
      <c r="F69" s="1" t="str">
        <f t="array" ref="F69">IF(NOT(ISBLANK($A69)), (_xlfn.XLOOKUP($A69,Index!$B$2:$B$995,Index!$E$2:$E$995,"Not Found")),"")</f>
        <v/>
      </c>
      <c r="G69" s="1" t="str">
        <f t="array" ref="G69">IF(NOT(ISBLANK(A69)), ((_xlfn.XLOOKUP(A69,Index!$B$2:$B$995,Index!$F$2:$F$995,"Not Found"))*B69),"")</f>
        <v/>
      </c>
    </row>
    <row r="70">
      <c r="C70" s="1" t="str">
        <f t="array" ref="C70">IF(NOT(ISBLANK($A70)), (_xlfn.XLOOKUP($A70,Index!$B$2:$B$995,Index!$C$2:$C$995,"Not Found")),"")</f>
        <v/>
      </c>
      <c r="D70" s="1" t="str">
        <f t="array" ref="D70">IF(NOT(ISBLANK(A70)), (_xlfn.XLOOKUP($A70,Index!$B$2:B$995,Index!$A$2:$A$995,"Not Found")),"")</f>
        <v/>
      </c>
      <c r="E70" s="2" t="str">
        <f t="array" ref="E70">IF(NOT(ISBLANK($A70)), (_xlfn.XLOOKUP($A70,Index!$B$2:$B$995,Index!$D$2:$D$995,"Not Found")),"")</f>
        <v/>
      </c>
      <c r="F70" s="1" t="str">
        <f t="array" ref="F70">IF(NOT(ISBLANK($A70)), (_xlfn.XLOOKUP($A70,Index!$B$2:$B$995,Index!$E$2:$E$995,"Not Found")),"")</f>
        <v/>
      </c>
      <c r="G70" s="1" t="str">
        <f t="array" ref="G70">IF(NOT(ISBLANK(A70)), ((_xlfn.XLOOKUP(A70,Index!$B$2:$B$995,Index!$F$2:$F$995,"Not Found"))*B70),"")</f>
        <v/>
      </c>
    </row>
    <row r="71">
      <c r="C71" s="1" t="str">
        <f t="array" ref="C71">IF(NOT(ISBLANK($A71)), (_xlfn.XLOOKUP($A71,Index!$B$2:$B$995,Index!$C$2:$C$995,"Not Found")),"")</f>
        <v/>
      </c>
      <c r="D71" s="1" t="str">
        <f t="array" ref="D71">IF(NOT(ISBLANK(A71)), (_xlfn.XLOOKUP($A71,Index!$B$2:B$995,Index!$A$2:$A$995,"Not Found")),"")</f>
        <v/>
      </c>
      <c r="E71" s="2" t="str">
        <f t="array" ref="E71">IF(NOT(ISBLANK($A71)), (_xlfn.XLOOKUP($A71,Index!$B$2:$B$995,Index!$D$2:$D$995,"Not Found")),"")</f>
        <v/>
      </c>
      <c r="F71" s="1" t="str">
        <f t="array" ref="F71">IF(NOT(ISBLANK($A71)), (_xlfn.XLOOKUP($A71,Index!$B$2:$B$995,Index!$E$2:$E$995,"Not Found")),"")</f>
        <v/>
      </c>
      <c r="G71" s="1" t="str">
        <f t="array" ref="G71">IF(NOT(ISBLANK(A71)), ((_xlfn.XLOOKUP(A71,Index!$B$2:$B$995,Index!$F$2:$F$995,"Not Found"))*B71),"")</f>
        <v/>
      </c>
    </row>
    <row r="72">
      <c r="C72" s="1" t="str">
        <f t="array" ref="C72">IF(NOT(ISBLANK($A72)), (_xlfn.XLOOKUP($A72,Index!$B$2:$B$995,Index!$C$2:$C$995,"Not Found")),"")</f>
        <v/>
      </c>
      <c r="D72" s="1" t="str">
        <f t="array" ref="D72">IF(NOT(ISBLANK(A72)), (_xlfn.XLOOKUP($A72,Index!$B$2:B$995,Index!$A$2:$A$995,"Not Found")),"")</f>
        <v/>
      </c>
      <c r="E72" s="2" t="str">
        <f t="array" ref="E72">IF(NOT(ISBLANK($A72)), (_xlfn.XLOOKUP($A72,Index!$B$2:$B$995,Index!$D$2:$D$995,"Not Found")),"")</f>
        <v/>
      </c>
      <c r="F72" s="1" t="str">
        <f t="array" ref="F72">IF(NOT(ISBLANK($A72)), (_xlfn.XLOOKUP($A72,Index!$B$2:$B$995,Index!$E$2:$E$995,"Not Found")),"")</f>
        <v/>
      </c>
      <c r="G72" s="1" t="str">
        <f t="array" ref="G72">IF(NOT(ISBLANK(A72)), ((_xlfn.XLOOKUP(A72,Index!$B$2:$B$995,Index!$F$2:$F$995,"Not Found"))*B72),"")</f>
        <v/>
      </c>
    </row>
    <row r="73">
      <c r="C73" s="1" t="str">
        <f t="array" ref="C73">IF(NOT(ISBLANK($A73)), (_xlfn.XLOOKUP($A73,Index!$B$2:$B$995,Index!$C$2:$C$995,"Not Found")),"")</f>
        <v/>
      </c>
      <c r="D73" s="1" t="str">
        <f t="array" ref="D73">IF(NOT(ISBLANK(A73)), (_xlfn.XLOOKUP($A73,Index!$B$2:B$995,Index!$A$2:$A$995,"Not Found")),"")</f>
        <v/>
      </c>
      <c r="E73" s="2" t="str">
        <f t="array" ref="E73">IF(NOT(ISBLANK($A73)), (_xlfn.XLOOKUP($A73,Index!$B$2:$B$995,Index!$D$2:$D$995,"Not Found")),"")</f>
        <v/>
      </c>
      <c r="F73" s="1" t="str">
        <f t="array" ref="F73">IF(NOT(ISBLANK($A73)), (_xlfn.XLOOKUP($A73,Index!$B$2:$B$995,Index!$E$2:$E$995,"Not Found")),"")</f>
        <v/>
      </c>
      <c r="G73" s="1" t="str">
        <f t="array" ref="G73">IF(NOT(ISBLANK(A73)), ((_xlfn.XLOOKUP(A73,Index!$B$2:$B$995,Index!$F$2:$F$995,"Not Found"))*B73),"")</f>
        <v/>
      </c>
    </row>
    <row r="74">
      <c r="C74" s="1" t="str">
        <f t="array" ref="C74">IF(NOT(ISBLANK($A74)), (_xlfn.XLOOKUP($A74,Index!$B$2:$B$995,Index!$C$2:$C$995,"Not Found")),"")</f>
        <v/>
      </c>
      <c r="D74" s="1" t="str">
        <f t="array" ref="D74">IF(NOT(ISBLANK(A74)), (_xlfn.XLOOKUP($A74,Index!$B$2:B$995,Index!$A$2:$A$995,"Not Found")),"")</f>
        <v/>
      </c>
      <c r="E74" s="2" t="str">
        <f t="array" ref="E74">IF(NOT(ISBLANK($A74)), (_xlfn.XLOOKUP($A74,Index!$B$2:$B$995,Index!$D$2:$D$995,"Not Found")),"")</f>
        <v/>
      </c>
      <c r="F74" s="1" t="str">
        <f t="array" ref="F74">IF(NOT(ISBLANK($A74)), (_xlfn.XLOOKUP($A74,Index!$B$2:$B$995,Index!$E$2:$E$995,"Not Found")),"")</f>
        <v/>
      </c>
      <c r="G74" s="1" t="str">
        <f t="array" ref="G74">IF(NOT(ISBLANK(A74)), ((_xlfn.XLOOKUP(A74,Index!$B$2:$B$995,Index!$F$2:$F$995,"Not Found"))*B74),"")</f>
        <v/>
      </c>
    </row>
    <row r="75">
      <c r="C75" s="1" t="str">
        <f t="array" ref="C75">IF(NOT(ISBLANK($A75)), (_xlfn.XLOOKUP($A75,Index!$B$2:$B$995,Index!$C$2:$C$995,"Not Found")),"")</f>
        <v/>
      </c>
      <c r="D75" s="1" t="str">
        <f t="array" ref="D75">IF(NOT(ISBLANK(A75)), (_xlfn.XLOOKUP($A75,Index!$B$2:B$995,Index!$A$2:$A$995,"Not Found")),"")</f>
        <v/>
      </c>
      <c r="E75" s="2" t="str">
        <f t="array" ref="E75">IF(NOT(ISBLANK($A75)), (_xlfn.XLOOKUP($A75,Index!$B$2:$B$995,Index!$D$2:$D$995,"Not Found")),"")</f>
        <v/>
      </c>
      <c r="F75" s="1" t="str">
        <f t="array" ref="F75">IF(NOT(ISBLANK($A75)), (_xlfn.XLOOKUP($A75,Index!$B$2:$B$995,Index!$E$2:$E$995,"Not Found")),"")</f>
        <v/>
      </c>
      <c r="G75" s="1" t="str">
        <f t="array" ref="G75">IF(NOT(ISBLANK(A75)), ((_xlfn.XLOOKUP(A75,Index!$B$2:$B$995,Index!$F$2:$F$995,"Not Found"))*B75),"")</f>
        <v/>
      </c>
    </row>
    <row r="76">
      <c r="C76" s="1" t="str">
        <f t="array" ref="C76">IF(NOT(ISBLANK($A76)), (_xlfn.XLOOKUP($A76,Index!$B$2:$B$995,Index!$C$2:$C$995,"Not Found")),"")</f>
        <v/>
      </c>
      <c r="D76" s="1" t="str">
        <f t="array" ref="D76">IF(NOT(ISBLANK(A76)), (_xlfn.XLOOKUP($A76,Index!$B$2:B$995,Index!$A$2:$A$995,"Not Found")),"")</f>
        <v/>
      </c>
      <c r="E76" s="2" t="str">
        <f t="array" ref="E76">IF(NOT(ISBLANK($A76)), (_xlfn.XLOOKUP($A76,Index!$B$2:$B$995,Index!$D$2:$D$995,"Not Found")),"")</f>
        <v/>
      </c>
      <c r="F76" s="1" t="str">
        <f t="array" ref="F76">IF(NOT(ISBLANK($A76)), (_xlfn.XLOOKUP($A76,Index!$B$2:$B$995,Index!$E$2:$E$995,"Not Found")),"")</f>
        <v/>
      </c>
      <c r="G76" s="1" t="str">
        <f t="array" ref="G76">IF(NOT(ISBLANK(A76)), ((_xlfn.XLOOKUP(A76,Index!$B$2:$B$995,Index!$F$2:$F$995,"Not Found"))*B76),"")</f>
        <v/>
      </c>
    </row>
    <row r="77">
      <c r="C77" s="1" t="str">
        <f t="array" ref="C77">IF(NOT(ISBLANK($A77)), (_xlfn.XLOOKUP($A77,Index!$B$2:$B$995,Index!$C$2:$C$995,"Not Found")),"")</f>
        <v/>
      </c>
      <c r="D77" s="1" t="str">
        <f t="array" ref="D77">IF(NOT(ISBLANK(A77)), (_xlfn.XLOOKUP($A77,Index!$B$2:B$995,Index!$A$2:$A$995,"Not Found")),"")</f>
        <v/>
      </c>
      <c r="E77" s="2" t="str">
        <f t="array" ref="E77">IF(NOT(ISBLANK($A77)), (_xlfn.XLOOKUP($A77,Index!$B$2:$B$995,Index!$D$2:$D$995,"Not Found")),"")</f>
        <v/>
      </c>
      <c r="F77" s="1" t="str">
        <f t="array" ref="F77">IF(NOT(ISBLANK($A77)), (_xlfn.XLOOKUP($A77,Index!$B$2:$B$995,Index!$E$2:$E$995,"Not Found")),"")</f>
        <v/>
      </c>
      <c r="G77" s="1" t="str">
        <f t="array" ref="G77">IF(NOT(ISBLANK(A77)), ((_xlfn.XLOOKUP(A77,Index!$B$2:$B$995,Index!$F$2:$F$995,"Not Found"))*B77),"")</f>
        <v/>
      </c>
    </row>
    <row r="78">
      <c r="E78" s="7"/>
    </row>
    <row r="79">
      <c r="E79" s="7"/>
    </row>
    <row r="80">
      <c r="E80" s="7"/>
    </row>
    <row r="81">
      <c r="E81" s="7"/>
    </row>
    <row r="82">
      <c r="E82" s="7"/>
    </row>
    <row r="83">
      <c r="E83" s="7"/>
    </row>
    <row r="84">
      <c r="E84" s="7"/>
    </row>
    <row r="85">
      <c r="E85" s="7"/>
    </row>
    <row r="86">
      <c r="E86" s="7"/>
    </row>
    <row r="87">
      <c r="E87" s="7"/>
    </row>
    <row r="88">
      <c r="E88" s="7"/>
    </row>
    <row r="89">
      <c r="E89" s="7"/>
    </row>
    <row r="90">
      <c r="E90" s="7"/>
    </row>
    <row r="91">
      <c r="E91" s="7"/>
    </row>
    <row r="92">
      <c r="E92" s="7"/>
    </row>
    <row r="93">
      <c r="E93" s="7"/>
    </row>
    <row r="94">
      <c r="E94" s="7"/>
    </row>
    <row r="95">
      <c r="E95" s="7"/>
    </row>
    <row r="96">
      <c r="E96" s="7"/>
    </row>
    <row r="97">
      <c r="E97" s="7"/>
    </row>
    <row r="98">
      <c r="E98" s="7"/>
    </row>
    <row r="99">
      <c r="E99" s="7"/>
    </row>
    <row r="100">
      <c r="E100" s="7"/>
    </row>
    <row r="101">
      <c r="E101" s="7"/>
    </row>
    <row r="102">
      <c r="E102" s="7"/>
    </row>
    <row r="103">
      <c r="E103" s="7"/>
    </row>
    <row r="104">
      <c r="E104" s="7"/>
    </row>
    <row r="105">
      <c r="E105" s="7"/>
    </row>
    <row r="106">
      <c r="E106" s="7"/>
    </row>
    <row r="107">
      <c r="E107" s="7"/>
    </row>
    <row r="108">
      <c r="E108" s="7"/>
    </row>
    <row r="109">
      <c r="E109" s="7"/>
    </row>
    <row r="110">
      <c r="E110" s="7"/>
    </row>
    <row r="111">
      <c r="E111" s="7"/>
    </row>
    <row r="112">
      <c r="E112" s="7"/>
    </row>
    <row r="113">
      <c r="E113" s="7"/>
    </row>
    <row r="114">
      <c r="E114" s="7"/>
    </row>
    <row r="115">
      <c r="E115" s="7"/>
    </row>
    <row r="116">
      <c r="E116" s="7"/>
    </row>
    <row r="117">
      <c r="E117" s="7"/>
    </row>
    <row r="118">
      <c r="E118" s="7"/>
    </row>
    <row r="119">
      <c r="E119" s="7"/>
    </row>
    <row r="120">
      <c r="E120" s="7"/>
    </row>
    <row r="121">
      <c r="E121" s="7"/>
    </row>
    <row r="122">
      <c r="E122" s="7"/>
    </row>
    <row r="123">
      <c r="E123" s="7"/>
    </row>
    <row r="124">
      <c r="E124" s="7"/>
    </row>
    <row r="125">
      <c r="E125" s="7"/>
    </row>
    <row r="126">
      <c r="E126" s="7"/>
    </row>
    <row r="127">
      <c r="E127" s="7"/>
    </row>
    <row r="128">
      <c r="E128" s="7"/>
    </row>
    <row r="129">
      <c r="E129" s="7"/>
    </row>
    <row r="130">
      <c r="E130" s="7"/>
    </row>
    <row r="131">
      <c r="E131" s="7"/>
    </row>
    <row r="132">
      <c r="E132" s="7"/>
    </row>
    <row r="133">
      <c r="E133" s="7"/>
    </row>
    <row r="134">
      <c r="E134" s="7"/>
    </row>
    <row r="135">
      <c r="E135" s="7"/>
    </row>
    <row r="136">
      <c r="E136" s="7"/>
    </row>
    <row r="137">
      <c r="E137" s="7"/>
    </row>
    <row r="138">
      <c r="E138" s="7"/>
    </row>
    <row r="139">
      <c r="E139" s="7"/>
    </row>
    <row r="140">
      <c r="E140" s="7"/>
    </row>
    <row r="141">
      <c r="E141" s="7"/>
    </row>
    <row r="142">
      <c r="E142" s="7"/>
    </row>
    <row r="143">
      <c r="E143" s="7"/>
    </row>
    <row r="144">
      <c r="E144" s="7"/>
    </row>
    <row r="145">
      <c r="E145" s="7"/>
    </row>
    <row r="146">
      <c r="E146" s="7"/>
    </row>
    <row r="147">
      <c r="E147" s="7"/>
    </row>
    <row r="148">
      <c r="E148" s="7"/>
    </row>
    <row r="149">
      <c r="E149" s="7"/>
    </row>
    <row r="150">
      <c r="E150" s="7"/>
    </row>
    <row r="151">
      <c r="E151" s="7"/>
    </row>
    <row r="152">
      <c r="E152" s="7"/>
    </row>
    <row r="153">
      <c r="E153" s="7"/>
    </row>
    <row r="154">
      <c r="E154" s="7"/>
    </row>
    <row r="155">
      <c r="E155" s="7"/>
    </row>
    <row r="156">
      <c r="E156" s="7"/>
    </row>
    <row r="157">
      <c r="E157" s="7"/>
    </row>
    <row r="158">
      <c r="E158" s="7"/>
    </row>
    <row r="159">
      <c r="E159" s="7"/>
    </row>
    <row r="160">
      <c r="E160" s="7"/>
    </row>
    <row r="161">
      <c r="E161" s="7"/>
    </row>
    <row r="162">
      <c r="E162" s="7"/>
    </row>
    <row r="163">
      <c r="E163" s="7"/>
    </row>
    <row r="164">
      <c r="E164" s="7"/>
    </row>
    <row r="165">
      <c r="E165" s="7"/>
    </row>
    <row r="166">
      <c r="E166" s="7"/>
    </row>
    <row r="167">
      <c r="E167" s="7"/>
    </row>
    <row r="168">
      <c r="E168" s="7"/>
    </row>
    <row r="169">
      <c r="E169" s="7"/>
    </row>
    <row r="170">
      <c r="E170" s="7"/>
    </row>
    <row r="171">
      <c r="E171" s="7"/>
    </row>
    <row r="172">
      <c r="E172" s="7"/>
    </row>
    <row r="173">
      <c r="E173" s="7"/>
    </row>
    <row r="174">
      <c r="E174" s="7"/>
    </row>
    <row r="175">
      <c r="E175" s="7"/>
    </row>
    <row r="176">
      <c r="E176" s="7"/>
    </row>
    <row r="177">
      <c r="E177" s="7"/>
    </row>
    <row r="178">
      <c r="E178" s="7"/>
    </row>
    <row r="179">
      <c r="E179" s="7"/>
    </row>
    <row r="180">
      <c r="E180" s="7"/>
    </row>
    <row r="181">
      <c r="E181" s="7"/>
    </row>
    <row r="182">
      <c r="E182" s="7"/>
    </row>
    <row r="183">
      <c r="E183" s="7"/>
    </row>
    <row r="184">
      <c r="E184" s="7"/>
    </row>
    <row r="185">
      <c r="E185" s="7"/>
    </row>
    <row r="186">
      <c r="E186" s="7"/>
    </row>
    <row r="187">
      <c r="E187" s="7"/>
    </row>
    <row r="188">
      <c r="E188" s="7"/>
    </row>
    <row r="189">
      <c r="E189" s="7"/>
    </row>
    <row r="190">
      <c r="E190" s="7"/>
    </row>
    <row r="191">
      <c r="E191" s="7"/>
    </row>
    <row r="192">
      <c r="E192" s="7"/>
    </row>
    <row r="193">
      <c r="E193" s="7"/>
    </row>
    <row r="194">
      <c r="E194" s="7"/>
    </row>
    <row r="195">
      <c r="E195" s="7"/>
    </row>
    <row r="196">
      <c r="E196" s="7"/>
    </row>
    <row r="197">
      <c r="E197" s="7"/>
    </row>
    <row r="198">
      <c r="E198" s="7"/>
    </row>
    <row r="199">
      <c r="E199" s="7"/>
    </row>
    <row r="200">
      <c r="E200" s="7"/>
    </row>
    <row r="201">
      <c r="E201" s="7"/>
    </row>
    <row r="202">
      <c r="E202" s="7"/>
    </row>
    <row r="203">
      <c r="E203" s="7"/>
    </row>
    <row r="204">
      <c r="E204" s="7"/>
    </row>
    <row r="205">
      <c r="E205" s="7"/>
    </row>
    <row r="206">
      <c r="E206" s="7"/>
    </row>
    <row r="207">
      <c r="E207" s="7"/>
    </row>
    <row r="208">
      <c r="E208" s="7"/>
    </row>
    <row r="209">
      <c r="E209" s="7"/>
    </row>
    <row r="210">
      <c r="E210" s="7"/>
    </row>
    <row r="211">
      <c r="E211" s="7"/>
    </row>
    <row r="212">
      <c r="E212" s="7"/>
    </row>
    <row r="213">
      <c r="E213" s="7"/>
    </row>
    <row r="214">
      <c r="E214" s="7"/>
    </row>
    <row r="215">
      <c r="E215" s="7"/>
    </row>
    <row r="216">
      <c r="E216" s="7"/>
    </row>
    <row r="217">
      <c r="E217" s="7"/>
    </row>
    <row r="218">
      <c r="E218" s="7"/>
    </row>
    <row r="219">
      <c r="E219" s="7"/>
    </row>
    <row r="220">
      <c r="E220" s="7"/>
    </row>
    <row r="221">
      <c r="E221" s="7"/>
    </row>
    <row r="222">
      <c r="E222" s="7"/>
    </row>
    <row r="223">
      <c r="E223" s="7"/>
    </row>
    <row r="224">
      <c r="E224" s="7"/>
    </row>
    <row r="225">
      <c r="E225" s="7"/>
    </row>
    <row r="226">
      <c r="E226" s="7"/>
    </row>
    <row r="227">
      <c r="E227" s="7"/>
    </row>
    <row r="228">
      <c r="E228" s="7"/>
    </row>
    <row r="229">
      <c r="E229" s="7"/>
    </row>
    <row r="230">
      <c r="E230" s="7"/>
    </row>
    <row r="231">
      <c r="E231" s="7"/>
    </row>
    <row r="232">
      <c r="E232" s="7"/>
    </row>
    <row r="233">
      <c r="E233" s="7"/>
    </row>
    <row r="234">
      <c r="E234" s="7"/>
    </row>
    <row r="235">
      <c r="E235" s="7"/>
    </row>
    <row r="236">
      <c r="E236" s="7"/>
    </row>
    <row r="237">
      <c r="E237" s="7"/>
    </row>
    <row r="238">
      <c r="E238" s="7"/>
    </row>
    <row r="239">
      <c r="E239" s="7"/>
    </row>
    <row r="240">
      <c r="E240" s="7"/>
    </row>
    <row r="241">
      <c r="E241" s="7"/>
    </row>
    <row r="242">
      <c r="E242" s="7"/>
    </row>
    <row r="243">
      <c r="E243" s="7"/>
    </row>
    <row r="244">
      <c r="E244" s="7"/>
    </row>
    <row r="245">
      <c r="E245" s="7"/>
    </row>
    <row r="246">
      <c r="E246" s="7"/>
    </row>
    <row r="247">
      <c r="E247" s="7"/>
    </row>
    <row r="248">
      <c r="E248" s="7"/>
    </row>
    <row r="249">
      <c r="E249" s="7"/>
    </row>
    <row r="250">
      <c r="E250" s="7"/>
    </row>
    <row r="251">
      <c r="E251" s="7"/>
    </row>
    <row r="252">
      <c r="E252" s="7"/>
    </row>
    <row r="253">
      <c r="E253" s="7"/>
    </row>
    <row r="254">
      <c r="E254" s="7"/>
    </row>
    <row r="255">
      <c r="E255" s="7"/>
    </row>
    <row r="256">
      <c r="E256" s="7"/>
    </row>
    <row r="257">
      <c r="E257" s="7"/>
    </row>
    <row r="258">
      <c r="E258" s="7"/>
    </row>
    <row r="259">
      <c r="E259" s="7"/>
    </row>
    <row r="260">
      <c r="E260" s="7"/>
    </row>
    <row r="261">
      <c r="E261" s="7"/>
    </row>
    <row r="262">
      <c r="E262" s="7"/>
    </row>
    <row r="263">
      <c r="E263" s="7"/>
    </row>
    <row r="264">
      <c r="E264" s="7"/>
    </row>
    <row r="265">
      <c r="E265" s="7"/>
    </row>
    <row r="266">
      <c r="E266" s="7"/>
    </row>
    <row r="267">
      <c r="E267" s="7"/>
    </row>
    <row r="268">
      <c r="E268" s="7"/>
    </row>
    <row r="269">
      <c r="E269" s="7"/>
    </row>
    <row r="270">
      <c r="E270" s="7"/>
    </row>
    <row r="271">
      <c r="E271" s="7"/>
    </row>
    <row r="272">
      <c r="E272" s="7"/>
    </row>
    <row r="273">
      <c r="E273" s="7"/>
    </row>
    <row r="274">
      <c r="E274" s="7"/>
    </row>
    <row r="275">
      <c r="E275" s="7"/>
    </row>
    <row r="276">
      <c r="E276" s="7"/>
    </row>
    <row r="277">
      <c r="E277" s="7"/>
    </row>
    <row r="278">
      <c r="E278" s="7"/>
    </row>
    <row r="279">
      <c r="E279" s="7"/>
    </row>
    <row r="280">
      <c r="E280" s="7"/>
    </row>
    <row r="281">
      <c r="E281" s="7"/>
    </row>
    <row r="282">
      <c r="E282" s="7"/>
    </row>
    <row r="283">
      <c r="E283" s="7"/>
    </row>
    <row r="284">
      <c r="E284" s="7"/>
    </row>
    <row r="285">
      <c r="E285" s="7"/>
    </row>
    <row r="286">
      <c r="E286" s="7"/>
    </row>
    <row r="287">
      <c r="E287" s="7"/>
    </row>
    <row r="288">
      <c r="E288" s="7"/>
    </row>
    <row r="289">
      <c r="E289" s="7"/>
    </row>
    <row r="290">
      <c r="E290" s="7"/>
    </row>
    <row r="291">
      <c r="E291" s="7"/>
    </row>
    <row r="292">
      <c r="E292" s="7"/>
    </row>
    <row r="293">
      <c r="E293" s="7"/>
    </row>
    <row r="294">
      <c r="E294" s="7"/>
    </row>
    <row r="295">
      <c r="E295" s="7"/>
    </row>
    <row r="296">
      <c r="E296" s="7"/>
    </row>
    <row r="297">
      <c r="E297" s="7"/>
    </row>
    <row r="298">
      <c r="E298" s="7"/>
    </row>
    <row r="299">
      <c r="E299" s="7"/>
    </row>
    <row r="300">
      <c r="E300" s="7"/>
    </row>
    <row r="301">
      <c r="E301" s="7"/>
    </row>
    <row r="302">
      <c r="E302" s="7"/>
    </row>
    <row r="303">
      <c r="E303" s="7"/>
    </row>
    <row r="304">
      <c r="E304" s="7"/>
    </row>
    <row r="305">
      <c r="E305" s="7"/>
    </row>
    <row r="306">
      <c r="E306" s="7"/>
    </row>
    <row r="307">
      <c r="E307" s="7"/>
    </row>
    <row r="308">
      <c r="E308" s="7"/>
    </row>
    <row r="309">
      <c r="E309" s="7"/>
    </row>
    <row r="310">
      <c r="E310" s="7"/>
    </row>
    <row r="311">
      <c r="E311" s="7"/>
    </row>
    <row r="312">
      <c r="E312" s="7"/>
    </row>
    <row r="313">
      <c r="E313" s="7"/>
    </row>
    <row r="314">
      <c r="E314" s="7"/>
    </row>
    <row r="315">
      <c r="E315" s="7"/>
    </row>
    <row r="316">
      <c r="E316" s="7"/>
    </row>
    <row r="317">
      <c r="E317" s="7"/>
    </row>
    <row r="318">
      <c r="E318" s="7"/>
    </row>
    <row r="319">
      <c r="E319" s="7"/>
    </row>
    <row r="320">
      <c r="E320" s="7"/>
    </row>
    <row r="321">
      <c r="E321" s="7"/>
    </row>
    <row r="322">
      <c r="E322" s="7"/>
    </row>
    <row r="323">
      <c r="E323" s="7"/>
    </row>
    <row r="324">
      <c r="E324" s="7"/>
    </row>
    <row r="325">
      <c r="E325" s="7"/>
    </row>
    <row r="326">
      <c r="E326" s="7"/>
    </row>
    <row r="327">
      <c r="E327" s="7"/>
    </row>
    <row r="328">
      <c r="E328" s="7"/>
    </row>
    <row r="329">
      <c r="E329" s="7"/>
    </row>
    <row r="330">
      <c r="E330" s="7"/>
    </row>
    <row r="331">
      <c r="E331" s="7"/>
    </row>
    <row r="332">
      <c r="E332" s="7"/>
    </row>
    <row r="333">
      <c r="E333" s="7"/>
    </row>
    <row r="334">
      <c r="E334" s="7"/>
    </row>
    <row r="335">
      <c r="E335" s="7"/>
    </row>
    <row r="336">
      <c r="E336" s="7"/>
    </row>
    <row r="337">
      <c r="E337" s="7"/>
    </row>
    <row r="338">
      <c r="E338" s="7"/>
    </row>
    <row r="339">
      <c r="E339" s="7"/>
    </row>
    <row r="340">
      <c r="E340" s="7"/>
    </row>
    <row r="341">
      <c r="E341" s="7"/>
    </row>
    <row r="342">
      <c r="E342" s="7"/>
    </row>
    <row r="343">
      <c r="E343" s="7"/>
    </row>
    <row r="344">
      <c r="E344" s="7"/>
    </row>
    <row r="345">
      <c r="E345" s="7"/>
    </row>
    <row r="346">
      <c r="E346" s="7"/>
    </row>
    <row r="347">
      <c r="E347" s="7"/>
    </row>
    <row r="348">
      <c r="E348" s="7"/>
    </row>
    <row r="349">
      <c r="E349" s="7"/>
    </row>
    <row r="350">
      <c r="E350" s="7"/>
    </row>
    <row r="351">
      <c r="E351" s="7"/>
    </row>
    <row r="352">
      <c r="E352" s="7"/>
    </row>
    <row r="353">
      <c r="E353" s="7"/>
    </row>
    <row r="354">
      <c r="E354" s="7"/>
    </row>
    <row r="355">
      <c r="E355" s="7"/>
    </row>
    <row r="356">
      <c r="E356" s="7"/>
    </row>
    <row r="357">
      <c r="E357" s="7"/>
    </row>
    <row r="358">
      <c r="E358" s="7"/>
    </row>
    <row r="359">
      <c r="E359" s="7"/>
    </row>
    <row r="360">
      <c r="E360" s="7"/>
    </row>
    <row r="361">
      <c r="E361" s="7"/>
    </row>
    <row r="362">
      <c r="E362" s="7"/>
    </row>
    <row r="363">
      <c r="E363" s="7"/>
    </row>
    <row r="364">
      <c r="E364" s="7"/>
    </row>
    <row r="365">
      <c r="E365" s="7"/>
    </row>
    <row r="366">
      <c r="E366" s="7"/>
    </row>
    <row r="367">
      <c r="E367" s="7"/>
    </row>
    <row r="368">
      <c r="E368" s="7"/>
    </row>
    <row r="369">
      <c r="E369" s="7"/>
    </row>
    <row r="370">
      <c r="E370" s="7"/>
    </row>
    <row r="371">
      <c r="E371" s="7"/>
    </row>
    <row r="372">
      <c r="E372" s="7"/>
    </row>
    <row r="373">
      <c r="E373" s="7"/>
    </row>
    <row r="374">
      <c r="E374" s="7"/>
    </row>
    <row r="375">
      <c r="E375" s="7"/>
    </row>
    <row r="376">
      <c r="E376" s="7"/>
    </row>
    <row r="377">
      <c r="E377" s="7"/>
    </row>
    <row r="378">
      <c r="E378" s="7"/>
    </row>
    <row r="379">
      <c r="E379" s="7"/>
    </row>
    <row r="380">
      <c r="E380" s="7"/>
    </row>
    <row r="381">
      <c r="E381" s="7"/>
    </row>
    <row r="382">
      <c r="E382" s="7"/>
    </row>
    <row r="383">
      <c r="E383" s="7"/>
    </row>
    <row r="384">
      <c r="E384" s="7"/>
    </row>
    <row r="385">
      <c r="E385" s="7"/>
    </row>
    <row r="386">
      <c r="E386" s="7"/>
    </row>
    <row r="387">
      <c r="E387" s="7"/>
    </row>
    <row r="388">
      <c r="E388" s="7"/>
    </row>
    <row r="389">
      <c r="E389" s="7"/>
    </row>
    <row r="390">
      <c r="E390" s="7"/>
    </row>
    <row r="391">
      <c r="E391" s="7"/>
    </row>
    <row r="392">
      <c r="E392" s="7"/>
    </row>
    <row r="393">
      <c r="E393" s="7"/>
    </row>
    <row r="394">
      <c r="E394" s="7"/>
    </row>
    <row r="395">
      <c r="E395" s="7"/>
    </row>
    <row r="396">
      <c r="E396" s="7"/>
    </row>
    <row r="397">
      <c r="E397" s="7"/>
    </row>
    <row r="398">
      <c r="E398" s="7"/>
    </row>
    <row r="399">
      <c r="E399" s="7"/>
    </row>
    <row r="400">
      <c r="E400" s="7"/>
    </row>
    <row r="401">
      <c r="E401" s="7"/>
    </row>
    <row r="402">
      <c r="E402" s="7"/>
    </row>
    <row r="403">
      <c r="E403" s="7"/>
    </row>
    <row r="404">
      <c r="E404" s="7"/>
    </row>
    <row r="405">
      <c r="E405" s="7"/>
    </row>
    <row r="406">
      <c r="E406" s="7"/>
    </row>
    <row r="407">
      <c r="E407" s="7"/>
    </row>
    <row r="408">
      <c r="E408" s="7"/>
    </row>
    <row r="409">
      <c r="E409" s="7"/>
    </row>
    <row r="410">
      <c r="E410" s="7"/>
    </row>
    <row r="411">
      <c r="E411" s="7"/>
    </row>
    <row r="412">
      <c r="E412" s="7"/>
    </row>
    <row r="413">
      <c r="E413" s="7"/>
    </row>
    <row r="414">
      <c r="E414" s="7"/>
    </row>
    <row r="415">
      <c r="E415" s="7"/>
    </row>
    <row r="416">
      <c r="E416" s="7"/>
    </row>
    <row r="417">
      <c r="E417" s="7"/>
    </row>
    <row r="418">
      <c r="E418" s="7"/>
    </row>
    <row r="419">
      <c r="E419" s="7"/>
    </row>
    <row r="420">
      <c r="E420" s="7"/>
    </row>
    <row r="421">
      <c r="E421" s="7"/>
    </row>
    <row r="422">
      <c r="E422" s="7"/>
    </row>
    <row r="423">
      <c r="E423" s="7"/>
    </row>
    <row r="424">
      <c r="E424" s="7"/>
    </row>
    <row r="425">
      <c r="E425" s="7"/>
    </row>
    <row r="426">
      <c r="E426" s="7"/>
    </row>
    <row r="427">
      <c r="E427" s="7"/>
    </row>
    <row r="428">
      <c r="E428" s="7"/>
    </row>
    <row r="429">
      <c r="E429" s="7"/>
    </row>
    <row r="430">
      <c r="E430" s="7"/>
    </row>
    <row r="431">
      <c r="E431" s="7"/>
    </row>
    <row r="432">
      <c r="E432" s="7"/>
    </row>
    <row r="433">
      <c r="E433" s="7"/>
    </row>
    <row r="434">
      <c r="E434" s="7"/>
    </row>
    <row r="435">
      <c r="E435" s="7"/>
    </row>
    <row r="436">
      <c r="E436" s="7"/>
    </row>
    <row r="437">
      <c r="E437" s="7"/>
    </row>
    <row r="438">
      <c r="E438" s="7"/>
    </row>
    <row r="439">
      <c r="E439" s="7"/>
    </row>
    <row r="440">
      <c r="E440" s="7"/>
    </row>
    <row r="441">
      <c r="E441" s="7"/>
    </row>
    <row r="442">
      <c r="E442" s="7"/>
    </row>
    <row r="443">
      <c r="E443" s="7"/>
    </row>
    <row r="444">
      <c r="E444" s="7"/>
    </row>
    <row r="445">
      <c r="E445" s="7"/>
    </row>
    <row r="446">
      <c r="E446" s="7"/>
    </row>
    <row r="447">
      <c r="E447" s="7"/>
    </row>
    <row r="448">
      <c r="E448" s="7"/>
    </row>
    <row r="449">
      <c r="E449" s="7"/>
    </row>
    <row r="450">
      <c r="E450" s="7"/>
    </row>
    <row r="451">
      <c r="E451" s="7"/>
    </row>
    <row r="452">
      <c r="E452" s="7"/>
    </row>
    <row r="453">
      <c r="E453" s="7"/>
    </row>
    <row r="454">
      <c r="E454" s="7"/>
    </row>
    <row r="455">
      <c r="E455" s="7"/>
    </row>
    <row r="456">
      <c r="E456" s="7"/>
    </row>
    <row r="457">
      <c r="E457" s="7"/>
    </row>
    <row r="458">
      <c r="E458" s="7"/>
    </row>
    <row r="459">
      <c r="E459" s="7"/>
    </row>
    <row r="460">
      <c r="E460" s="7"/>
    </row>
    <row r="461">
      <c r="E461" s="7"/>
    </row>
    <row r="462">
      <c r="E462" s="7"/>
    </row>
    <row r="463">
      <c r="E463" s="7"/>
    </row>
    <row r="464">
      <c r="E464" s="7"/>
    </row>
    <row r="465">
      <c r="E465" s="7"/>
    </row>
    <row r="466">
      <c r="E466" s="7"/>
    </row>
    <row r="467">
      <c r="E467" s="7"/>
    </row>
    <row r="468">
      <c r="E468" s="7"/>
    </row>
    <row r="469">
      <c r="E469" s="7"/>
    </row>
    <row r="470">
      <c r="E470" s="7"/>
    </row>
    <row r="471">
      <c r="E471" s="7"/>
    </row>
    <row r="472">
      <c r="E472" s="7"/>
    </row>
    <row r="473">
      <c r="E473" s="7"/>
    </row>
    <row r="474">
      <c r="E474" s="7"/>
    </row>
    <row r="475">
      <c r="E475" s="7"/>
    </row>
    <row r="476">
      <c r="E476" s="7"/>
    </row>
    <row r="477">
      <c r="E477" s="7"/>
    </row>
    <row r="478">
      <c r="E478" s="7"/>
    </row>
    <row r="479">
      <c r="E479" s="7"/>
    </row>
    <row r="480">
      <c r="E480" s="7"/>
    </row>
    <row r="481">
      <c r="E481" s="7"/>
    </row>
    <row r="482">
      <c r="E482" s="7"/>
    </row>
    <row r="483">
      <c r="E483" s="7"/>
    </row>
    <row r="484">
      <c r="E484" s="7"/>
    </row>
    <row r="485">
      <c r="E485" s="7"/>
    </row>
    <row r="486">
      <c r="E486" s="7"/>
    </row>
    <row r="487">
      <c r="E487" s="7"/>
    </row>
    <row r="488">
      <c r="E488" s="7"/>
    </row>
    <row r="489">
      <c r="E489" s="7"/>
    </row>
    <row r="490">
      <c r="E490" s="7"/>
    </row>
    <row r="491">
      <c r="E491" s="7"/>
    </row>
    <row r="492">
      <c r="E492" s="7"/>
    </row>
    <row r="493">
      <c r="E493" s="7"/>
    </row>
    <row r="494">
      <c r="E494" s="7"/>
    </row>
    <row r="495">
      <c r="E495" s="7"/>
    </row>
    <row r="496">
      <c r="E496" s="7"/>
    </row>
    <row r="497">
      <c r="E497" s="7"/>
    </row>
    <row r="498">
      <c r="E498" s="7"/>
    </row>
    <row r="499">
      <c r="E499" s="7"/>
    </row>
    <row r="500">
      <c r="E500" s="7"/>
    </row>
    <row r="501">
      <c r="E501" s="7"/>
    </row>
    <row r="502">
      <c r="E502" s="7"/>
    </row>
    <row r="503">
      <c r="E503" s="7"/>
    </row>
    <row r="504">
      <c r="E504" s="7"/>
    </row>
    <row r="505">
      <c r="E505" s="7"/>
    </row>
    <row r="506">
      <c r="E506" s="7"/>
    </row>
    <row r="507">
      <c r="E507" s="7"/>
    </row>
    <row r="508">
      <c r="E508" s="7"/>
    </row>
    <row r="509">
      <c r="E509" s="7"/>
    </row>
    <row r="510">
      <c r="E510" s="7"/>
    </row>
    <row r="511">
      <c r="E511" s="7"/>
    </row>
    <row r="512">
      <c r="E512" s="7"/>
    </row>
    <row r="513">
      <c r="E513" s="7"/>
    </row>
    <row r="514">
      <c r="E514" s="7"/>
    </row>
    <row r="515">
      <c r="E515" s="7"/>
    </row>
    <row r="516">
      <c r="E516" s="7"/>
    </row>
    <row r="517">
      <c r="E517" s="7"/>
    </row>
    <row r="518">
      <c r="E518" s="7"/>
    </row>
    <row r="519">
      <c r="E519" s="7"/>
    </row>
    <row r="520">
      <c r="E520" s="7"/>
    </row>
    <row r="521">
      <c r="E521" s="7"/>
    </row>
    <row r="522">
      <c r="E522" s="7"/>
    </row>
    <row r="523">
      <c r="E523" s="7"/>
    </row>
    <row r="524">
      <c r="E524" s="7"/>
    </row>
    <row r="525">
      <c r="E525" s="7"/>
    </row>
    <row r="526">
      <c r="E526" s="7"/>
    </row>
    <row r="527">
      <c r="E527" s="7"/>
    </row>
    <row r="528">
      <c r="E528" s="7"/>
    </row>
    <row r="529">
      <c r="E529" s="7"/>
    </row>
    <row r="530">
      <c r="E530" s="7"/>
    </row>
    <row r="531">
      <c r="E531" s="7"/>
    </row>
    <row r="532">
      <c r="E532" s="7"/>
    </row>
    <row r="533">
      <c r="E533" s="7"/>
    </row>
    <row r="534">
      <c r="E534" s="7"/>
    </row>
    <row r="535">
      <c r="E535" s="7"/>
    </row>
    <row r="536">
      <c r="E536" s="7"/>
    </row>
    <row r="537">
      <c r="E537" s="7"/>
    </row>
    <row r="538">
      <c r="E538" s="7"/>
    </row>
    <row r="539">
      <c r="E539" s="7"/>
    </row>
    <row r="540">
      <c r="E540" s="7"/>
    </row>
    <row r="541">
      <c r="E541" s="7"/>
    </row>
    <row r="542">
      <c r="E542" s="7"/>
    </row>
    <row r="543">
      <c r="E543" s="7"/>
    </row>
    <row r="544">
      <c r="E544" s="7"/>
    </row>
    <row r="545">
      <c r="E545" s="7"/>
    </row>
    <row r="546">
      <c r="E546" s="7"/>
    </row>
    <row r="547">
      <c r="E547" s="7"/>
    </row>
    <row r="548">
      <c r="E548" s="7"/>
    </row>
    <row r="549">
      <c r="E549" s="7"/>
    </row>
    <row r="550">
      <c r="E550" s="7"/>
    </row>
    <row r="551">
      <c r="E551" s="7"/>
    </row>
    <row r="552">
      <c r="E552" s="7"/>
    </row>
    <row r="553">
      <c r="E553" s="7"/>
    </row>
    <row r="554">
      <c r="E554" s="7"/>
    </row>
    <row r="555">
      <c r="E555" s="7"/>
    </row>
    <row r="556">
      <c r="E556" s="7"/>
    </row>
    <row r="557">
      <c r="E557" s="7"/>
    </row>
    <row r="558">
      <c r="E558" s="7"/>
    </row>
    <row r="559">
      <c r="E559" s="7"/>
    </row>
    <row r="560">
      <c r="E560" s="7"/>
    </row>
    <row r="561">
      <c r="E561" s="7"/>
    </row>
    <row r="562">
      <c r="E562" s="7"/>
    </row>
    <row r="563">
      <c r="E563" s="7"/>
    </row>
    <row r="564">
      <c r="E564" s="7"/>
    </row>
    <row r="565">
      <c r="E565" s="7"/>
    </row>
    <row r="566">
      <c r="E566" s="7"/>
    </row>
    <row r="567">
      <c r="E567" s="7"/>
    </row>
    <row r="568">
      <c r="E568" s="7"/>
    </row>
    <row r="569">
      <c r="E569" s="7"/>
    </row>
    <row r="570">
      <c r="E570" s="7"/>
    </row>
    <row r="571">
      <c r="E571" s="7"/>
    </row>
    <row r="572">
      <c r="E572" s="7"/>
    </row>
    <row r="573">
      <c r="E573" s="7"/>
    </row>
    <row r="574">
      <c r="E574" s="7"/>
    </row>
    <row r="575">
      <c r="E575" s="7"/>
    </row>
    <row r="576">
      <c r="E576" s="7"/>
    </row>
    <row r="577">
      <c r="E577" s="7"/>
    </row>
    <row r="578">
      <c r="E578" s="7"/>
    </row>
    <row r="579">
      <c r="E579" s="7"/>
    </row>
    <row r="580">
      <c r="E580" s="7"/>
    </row>
    <row r="581">
      <c r="E581" s="7"/>
    </row>
    <row r="582">
      <c r="E582" s="7"/>
    </row>
    <row r="583">
      <c r="E583" s="7"/>
    </row>
    <row r="584">
      <c r="E584" s="7"/>
    </row>
    <row r="585">
      <c r="E585" s="7"/>
    </row>
    <row r="586">
      <c r="E586" s="7"/>
    </row>
    <row r="587">
      <c r="E587" s="7"/>
    </row>
    <row r="588">
      <c r="E588" s="7"/>
    </row>
    <row r="589">
      <c r="E589" s="7"/>
    </row>
    <row r="590">
      <c r="E590" s="7"/>
    </row>
    <row r="591">
      <c r="E591" s="7"/>
    </row>
    <row r="592">
      <c r="E592" s="7"/>
    </row>
    <row r="593">
      <c r="E593" s="7"/>
    </row>
    <row r="594">
      <c r="E594" s="7"/>
    </row>
    <row r="595">
      <c r="E595" s="7"/>
    </row>
    <row r="596">
      <c r="E596" s="7"/>
    </row>
    <row r="597">
      <c r="E597" s="7"/>
    </row>
    <row r="598">
      <c r="E598" s="7"/>
    </row>
    <row r="599">
      <c r="E599" s="7"/>
    </row>
    <row r="600">
      <c r="E600" s="7"/>
    </row>
    <row r="601">
      <c r="E601" s="7"/>
    </row>
    <row r="602">
      <c r="E602" s="7"/>
    </row>
    <row r="603">
      <c r="E603" s="7"/>
    </row>
    <row r="604">
      <c r="E604" s="7"/>
    </row>
    <row r="605">
      <c r="E605" s="7"/>
    </row>
    <row r="606">
      <c r="E606" s="7"/>
    </row>
    <row r="607">
      <c r="E607" s="7"/>
    </row>
    <row r="608">
      <c r="E608" s="7"/>
    </row>
    <row r="609">
      <c r="E609" s="7"/>
    </row>
    <row r="610">
      <c r="E610" s="7"/>
    </row>
    <row r="611">
      <c r="E611" s="7"/>
    </row>
    <row r="612">
      <c r="E612" s="7"/>
    </row>
    <row r="613">
      <c r="E613" s="7"/>
    </row>
    <row r="614">
      <c r="E614" s="7"/>
    </row>
    <row r="615">
      <c r="E615" s="7"/>
    </row>
    <row r="616">
      <c r="E616" s="7"/>
    </row>
    <row r="617">
      <c r="E617" s="7"/>
    </row>
    <row r="618">
      <c r="E618" s="7"/>
    </row>
    <row r="619">
      <c r="E619" s="7"/>
    </row>
    <row r="620">
      <c r="E620" s="7"/>
    </row>
    <row r="621">
      <c r="E621" s="7"/>
    </row>
    <row r="622">
      <c r="E622" s="7"/>
    </row>
    <row r="623">
      <c r="E623" s="7"/>
    </row>
    <row r="624">
      <c r="E624" s="7"/>
    </row>
    <row r="625">
      <c r="E625" s="7"/>
    </row>
    <row r="626">
      <c r="E626" s="7"/>
    </row>
    <row r="627">
      <c r="E627" s="7"/>
    </row>
    <row r="628">
      <c r="E628" s="7"/>
    </row>
    <row r="629">
      <c r="E629" s="7"/>
    </row>
    <row r="630">
      <c r="E630" s="7"/>
    </row>
    <row r="631">
      <c r="E631" s="7"/>
    </row>
    <row r="632">
      <c r="E632" s="7"/>
    </row>
    <row r="633">
      <c r="E633" s="7"/>
    </row>
    <row r="634">
      <c r="E634" s="7"/>
    </row>
    <row r="635">
      <c r="E635" s="7"/>
    </row>
    <row r="636">
      <c r="E636" s="7"/>
    </row>
    <row r="637">
      <c r="E637" s="7"/>
    </row>
    <row r="638">
      <c r="E638" s="7"/>
    </row>
    <row r="639">
      <c r="E639" s="7"/>
    </row>
    <row r="640">
      <c r="E640" s="7"/>
    </row>
    <row r="641">
      <c r="E641" s="7"/>
    </row>
    <row r="642">
      <c r="E642" s="7"/>
    </row>
    <row r="643">
      <c r="E643" s="7"/>
    </row>
    <row r="644">
      <c r="E644" s="7"/>
    </row>
    <row r="645">
      <c r="E645" s="7"/>
    </row>
    <row r="646">
      <c r="E646" s="7"/>
    </row>
    <row r="647">
      <c r="E647" s="7"/>
    </row>
    <row r="648">
      <c r="E648" s="7"/>
    </row>
    <row r="649">
      <c r="E649" s="7"/>
    </row>
    <row r="650">
      <c r="E650" s="7"/>
    </row>
    <row r="651">
      <c r="E651" s="7"/>
    </row>
    <row r="652">
      <c r="E652" s="7"/>
    </row>
    <row r="653">
      <c r="E653" s="7"/>
    </row>
    <row r="654">
      <c r="E654" s="7"/>
    </row>
    <row r="655">
      <c r="E655" s="7"/>
    </row>
    <row r="656">
      <c r="E656" s="7"/>
    </row>
    <row r="657">
      <c r="E657" s="7"/>
    </row>
    <row r="658">
      <c r="E658" s="7"/>
    </row>
    <row r="659">
      <c r="E659" s="7"/>
    </row>
    <row r="660">
      <c r="E660" s="7"/>
    </row>
    <row r="661">
      <c r="E661" s="7"/>
    </row>
    <row r="662">
      <c r="E662" s="7"/>
    </row>
    <row r="663">
      <c r="E663" s="7"/>
    </row>
    <row r="664">
      <c r="E664" s="7"/>
    </row>
    <row r="665">
      <c r="E665" s="7"/>
    </row>
    <row r="666">
      <c r="E666" s="7"/>
    </row>
    <row r="667">
      <c r="E667" s="7"/>
    </row>
    <row r="668">
      <c r="E668" s="7"/>
    </row>
    <row r="669">
      <c r="E669" s="7"/>
    </row>
    <row r="670">
      <c r="E670" s="7"/>
    </row>
    <row r="671">
      <c r="E671" s="7"/>
    </row>
    <row r="672">
      <c r="E672" s="7"/>
    </row>
    <row r="673">
      <c r="E673" s="7"/>
    </row>
    <row r="674">
      <c r="E674" s="7"/>
    </row>
    <row r="675">
      <c r="E675" s="7"/>
    </row>
    <row r="676">
      <c r="E676" s="7"/>
    </row>
    <row r="677">
      <c r="E677" s="7"/>
    </row>
    <row r="678">
      <c r="E678" s="7"/>
    </row>
    <row r="679">
      <c r="E679" s="7"/>
    </row>
    <row r="680">
      <c r="E680" s="7"/>
    </row>
    <row r="681">
      <c r="E681" s="7"/>
    </row>
    <row r="682">
      <c r="E682" s="7"/>
    </row>
    <row r="683">
      <c r="E683" s="7"/>
    </row>
    <row r="684">
      <c r="E684" s="7"/>
    </row>
    <row r="685">
      <c r="E685" s="7"/>
    </row>
    <row r="686">
      <c r="E686" s="7"/>
    </row>
    <row r="687">
      <c r="E687" s="7"/>
    </row>
    <row r="688">
      <c r="E688" s="7"/>
    </row>
    <row r="689">
      <c r="E689" s="7"/>
    </row>
    <row r="690">
      <c r="E690" s="7"/>
    </row>
    <row r="691">
      <c r="E691" s="7"/>
    </row>
    <row r="692">
      <c r="E692" s="7"/>
    </row>
    <row r="693">
      <c r="E693" s="7"/>
    </row>
    <row r="694">
      <c r="E694" s="7"/>
    </row>
    <row r="695">
      <c r="E695" s="7"/>
    </row>
    <row r="696">
      <c r="E696" s="7"/>
    </row>
    <row r="697">
      <c r="E697" s="7"/>
    </row>
    <row r="698">
      <c r="E698" s="7"/>
    </row>
    <row r="699">
      <c r="E699" s="7"/>
    </row>
    <row r="700">
      <c r="E700" s="7"/>
    </row>
    <row r="701">
      <c r="E701" s="7"/>
    </row>
    <row r="702">
      <c r="E702" s="7"/>
    </row>
    <row r="703">
      <c r="E703" s="7"/>
    </row>
    <row r="704">
      <c r="E704" s="7"/>
    </row>
    <row r="705">
      <c r="E705" s="7"/>
    </row>
    <row r="706">
      <c r="E706" s="7"/>
    </row>
    <row r="707">
      <c r="E707" s="7"/>
    </row>
    <row r="708">
      <c r="E708" s="7"/>
    </row>
    <row r="709">
      <c r="E709" s="7"/>
    </row>
    <row r="710">
      <c r="E710" s="7"/>
    </row>
    <row r="711">
      <c r="E711" s="7"/>
    </row>
    <row r="712">
      <c r="E712" s="7"/>
    </row>
    <row r="713">
      <c r="E713" s="7"/>
    </row>
    <row r="714">
      <c r="E714" s="7"/>
    </row>
    <row r="715">
      <c r="E715" s="7"/>
    </row>
    <row r="716">
      <c r="E716" s="7"/>
    </row>
    <row r="717">
      <c r="E717" s="7"/>
    </row>
    <row r="718">
      <c r="E718" s="7"/>
    </row>
    <row r="719">
      <c r="E719" s="7"/>
    </row>
    <row r="720">
      <c r="E720" s="7"/>
    </row>
    <row r="721">
      <c r="E721" s="7"/>
    </row>
    <row r="722">
      <c r="E722" s="7"/>
    </row>
    <row r="723">
      <c r="E723" s="7"/>
    </row>
    <row r="724">
      <c r="E724" s="7"/>
    </row>
    <row r="725">
      <c r="E725" s="7"/>
    </row>
    <row r="726">
      <c r="E726" s="7"/>
    </row>
    <row r="727">
      <c r="E727" s="7"/>
    </row>
    <row r="728">
      <c r="E728" s="7"/>
    </row>
    <row r="729">
      <c r="E729" s="7"/>
    </row>
    <row r="730">
      <c r="E730" s="7"/>
    </row>
    <row r="731">
      <c r="E731" s="7"/>
    </row>
    <row r="732">
      <c r="E732" s="7"/>
    </row>
    <row r="733">
      <c r="E733" s="7"/>
    </row>
    <row r="734">
      <c r="E734" s="7"/>
    </row>
    <row r="735">
      <c r="E735" s="7"/>
    </row>
    <row r="736">
      <c r="E736" s="7"/>
    </row>
    <row r="737">
      <c r="E737" s="7"/>
    </row>
    <row r="738">
      <c r="E738" s="7"/>
    </row>
    <row r="739">
      <c r="E739" s="7"/>
    </row>
    <row r="740">
      <c r="E740" s="7"/>
    </row>
    <row r="741">
      <c r="E741" s="7"/>
    </row>
    <row r="742">
      <c r="E742" s="7"/>
    </row>
    <row r="743">
      <c r="E743" s="7"/>
    </row>
    <row r="744">
      <c r="E744" s="7"/>
    </row>
    <row r="745">
      <c r="E745" s="7"/>
    </row>
    <row r="746">
      <c r="E746" s="7"/>
    </row>
    <row r="747">
      <c r="E747" s="7"/>
    </row>
    <row r="748">
      <c r="E748" s="7"/>
    </row>
    <row r="749">
      <c r="E749" s="7"/>
    </row>
    <row r="750">
      <c r="E750" s="7"/>
    </row>
    <row r="751">
      <c r="E751" s="7"/>
    </row>
    <row r="752">
      <c r="E752" s="7"/>
    </row>
    <row r="753">
      <c r="E753" s="7"/>
    </row>
    <row r="754">
      <c r="E754" s="7"/>
    </row>
    <row r="755">
      <c r="E755" s="7"/>
    </row>
    <row r="756">
      <c r="E756" s="7"/>
    </row>
    <row r="757">
      <c r="E757" s="7"/>
    </row>
    <row r="758">
      <c r="E758" s="7"/>
    </row>
    <row r="759">
      <c r="E759" s="7"/>
    </row>
    <row r="760">
      <c r="E760" s="7"/>
    </row>
    <row r="761">
      <c r="E761" s="7"/>
    </row>
    <row r="762">
      <c r="E762" s="7"/>
    </row>
    <row r="763">
      <c r="E763" s="7"/>
    </row>
    <row r="764">
      <c r="E764" s="7"/>
    </row>
    <row r="765">
      <c r="E765" s="7"/>
    </row>
    <row r="766">
      <c r="E766" s="7"/>
    </row>
    <row r="767">
      <c r="E767" s="7"/>
    </row>
    <row r="768">
      <c r="E768" s="7"/>
    </row>
    <row r="769">
      <c r="E769" s="7"/>
    </row>
    <row r="770">
      <c r="E770" s="7"/>
    </row>
    <row r="771">
      <c r="E771" s="7"/>
    </row>
    <row r="772">
      <c r="E772" s="7"/>
    </row>
    <row r="773">
      <c r="E773" s="7"/>
    </row>
    <row r="774">
      <c r="E774" s="7"/>
    </row>
    <row r="775">
      <c r="E775" s="7"/>
    </row>
    <row r="776">
      <c r="E776" s="7"/>
    </row>
    <row r="777">
      <c r="E777" s="7"/>
    </row>
    <row r="778">
      <c r="E778" s="7"/>
    </row>
    <row r="779">
      <c r="E779" s="7"/>
    </row>
    <row r="780">
      <c r="E780" s="7"/>
    </row>
    <row r="781">
      <c r="E781" s="7"/>
    </row>
    <row r="782">
      <c r="E782" s="7"/>
    </row>
    <row r="783">
      <c r="E783" s="7"/>
    </row>
    <row r="784">
      <c r="E784" s="7"/>
    </row>
    <row r="785">
      <c r="E785" s="7"/>
    </row>
    <row r="786">
      <c r="E786" s="7"/>
    </row>
    <row r="787">
      <c r="E787" s="7"/>
    </row>
    <row r="788">
      <c r="E788" s="7"/>
    </row>
    <row r="789">
      <c r="E789" s="7"/>
    </row>
    <row r="790">
      <c r="E790" s="7"/>
    </row>
    <row r="791">
      <c r="E791" s="7"/>
    </row>
    <row r="792">
      <c r="E792" s="7"/>
    </row>
    <row r="793">
      <c r="E793" s="7"/>
    </row>
    <row r="794">
      <c r="E794" s="7"/>
    </row>
    <row r="795">
      <c r="E795" s="7"/>
    </row>
    <row r="796">
      <c r="E796" s="7"/>
    </row>
    <row r="797">
      <c r="E797" s="7"/>
    </row>
    <row r="798">
      <c r="E798" s="7"/>
    </row>
    <row r="799">
      <c r="E799" s="7"/>
    </row>
    <row r="800">
      <c r="E800" s="7"/>
    </row>
    <row r="801">
      <c r="E801" s="7"/>
    </row>
    <row r="802">
      <c r="E802" s="7"/>
    </row>
    <row r="803">
      <c r="E803" s="7"/>
    </row>
    <row r="804">
      <c r="E804" s="7"/>
    </row>
    <row r="805">
      <c r="E805" s="7"/>
    </row>
    <row r="806">
      <c r="E806" s="7"/>
    </row>
    <row r="807">
      <c r="E807" s="7"/>
    </row>
    <row r="808">
      <c r="E808" s="7"/>
    </row>
    <row r="809">
      <c r="E809" s="7"/>
    </row>
    <row r="810">
      <c r="E810" s="7"/>
    </row>
    <row r="811">
      <c r="E811" s="7"/>
    </row>
    <row r="812">
      <c r="E812" s="7"/>
    </row>
    <row r="813">
      <c r="E813" s="7"/>
    </row>
    <row r="814">
      <c r="E814" s="7"/>
    </row>
    <row r="815">
      <c r="E815" s="7"/>
    </row>
    <row r="816">
      <c r="E816" s="7"/>
    </row>
    <row r="817">
      <c r="E817" s="7"/>
    </row>
    <row r="818">
      <c r="E818" s="7"/>
    </row>
    <row r="819">
      <c r="E819" s="7"/>
    </row>
    <row r="820">
      <c r="E820" s="7"/>
    </row>
    <row r="821">
      <c r="E821" s="7"/>
    </row>
    <row r="822">
      <c r="E822" s="7"/>
    </row>
    <row r="823">
      <c r="E823" s="7"/>
    </row>
    <row r="824">
      <c r="E824" s="7"/>
    </row>
    <row r="825">
      <c r="E825" s="7"/>
    </row>
    <row r="826">
      <c r="E826" s="7"/>
    </row>
    <row r="827">
      <c r="E827" s="7"/>
    </row>
    <row r="828">
      <c r="E828" s="7"/>
    </row>
    <row r="829">
      <c r="E829" s="7"/>
    </row>
    <row r="830">
      <c r="E830" s="7"/>
    </row>
    <row r="831">
      <c r="E831" s="7"/>
    </row>
    <row r="832">
      <c r="E832" s="7"/>
    </row>
    <row r="833">
      <c r="E833" s="7"/>
    </row>
    <row r="834">
      <c r="E834" s="7"/>
    </row>
    <row r="835">
      <c r="E835" s="7"/>
    </row>
    <row r="836">
      <c r="E836" s="7"/>
    </row>
    <row r="837">
      <c r="E837" s="7"/>
    </row>
    <row r="838">
      <c r="E838" s="7"/>
    </row>
    <row r="839">
      <c r="E839" s="7"/>
    </row>
    <row r="840">
      <c r="E840" s="7"/>
    </row>
    <row r="841">
      <c r="E841" s="7"/>
    </row>
    <row r="842">
      <c r="E842" s="7"/>
    </row>
    <row r="843">
      <c r="E843" s="7"/>
    </row>
    <row r="844">
      <c r="E844" s="7"/>
    </row>
    <row r="845">
      <c r="E845" s="7"/>
    </row>
    <row r="846">
      <c r="E846" s="7"/>
    </row>
    <row r="847">
      <c r="E847" s="7"/>
    </row>
    <row r="848">
      <c r="E848" s="7"/>
    </row>
    <row r="849">
      <c r="E849" s="7"/>
    </row>
    <row r="850">
      <c r="E850" s="7"/>
    </row>
    <row r="851">
      <c r="E851" s="7"/>
    </row>
    <row r="852">
      <c r="E852" s="7"/>
    </row>
    <row r="853">
      <c r="E853" s="7"/>
    </row>
    <row r="854">
      <c r="E854" s="7"/>
    </row>
    <row r="855">
      <c r="E855" s="7"/>
    </row>
    <row r="856">
      <c r="E856" s="7"/>
    </row>
    <row r="857">
      <c r="E857" s="7"/>
    </row>
    <row r="858">
      <c r="E858" s="7"/>
    </row>
    <row r="859">
      <c r="E859" s="7"/>
    </row>
    <row r="860">
      <c r="E860" s="7"/>
    </row>
    <row r="861">
      <c r="E861" s="7"/>
    </row>
    <row r="862">
      <c r="E862" s="7"/>
    </row>
    <row r="863">
      <c r="E863" s="7"/>
    </row>
    <row r="864">
      <c r="E864" s="7"/>
    </row>
    <row r="865">
      <c r="E865" s="7"/>
    </row>
    <row r="866">
      <c r="E866" s="7"/>
    </row>
    <row r="867">
      <c r="E867" s="7"/>
    </row>
    <row r="868">
      <c r="E868" s="7"/>
    </row>
    <row r="869">
      <c r="E869" s="7"/>
    </row>
    <row r="870">
      <c r="E870" s="7"/>
    </row>
    <row r="871">
      <c r="E871" s="7"/>
    </row>
    <row r="872">
      <c r="E872" s="7"/>
    </row>
    <row r="873">
      <c r="E873" s="7"/>
    </row>
    <row r="874">
      <c r="E874" s="7"/>
    </row>
    <row r="875">
      <c r="E875" s="7"/>
    </row>
    <row r="876">
      <c r="E876" s="7"/>
    </row>
    <row r="877">
      <c r="E877" s="7"/>
    </row>
    <row r="878">
      <c r="E878" s="7"/>
    </row>
    <row r="879">
      <c r="E879" s="7"/>
    </row>
    <row r="880">
      <c r="E880" s="7"/>
    </row>
    <row r="881">
      <c r="E881" s="7"/>
    </row>
    <row r="882">
      <c r="E882" s="7"/>
    </row>
    <row r="883">
      <c r="E883" s="7"/>
    </row>
    <row r="884">
      <c r="E884" s="7"/>
    </row>
    <row r="885">
      <c r="E885" s="7"/>
    </row>
    <row r="886">
      <c r="E886" s="7"/>
    </row>
    <row r="887">
      <c r="E887" s="7"/>
    </row>
    <row r="888">
      <c r="E888" s="7"/>
    </row>
    <row r="889">
      <c r="E889" s="7"/>
    </row>
    <row r="890">
      <c r="E890" s="7"/>
    </row>
    <row r="891">
      <c r="E891" s="7"/>
    </row>
    <row r="892">
      <c r="E892" s="7"/>
    </row>
    <row r="893">
      <c r="E893" s="7"/>
    </row>
    <row r="894">
      <c r="E894" s="7"/>
    </row>
    <row r="895">
      <c r="E895" s="7"/>
    </row>
    <row r="896">
      <c r="E896" s="7"/>
    </row>
    <row r="897">
      <c r="E897" s="7"/>
    </row>
    <row r="898">
      <c r="E898" s="7"/>
    </row>
    <row r="899">
      <c r="E899" s="7"/>
    </row>
    <row r="900">
      <c r="E900" s="7"/>
    </row>
    <row r="901">
      <c r="E901" s="7"/>
    </row>
    <row r="902">
      <c r="E902" s="7"/>
    </row>
    <row r="903">
      <c r="E903" s="7"/>
    </row>
    <row r="904">
      <c r="E904" s="7"/>
    </row>
    <row r="905">
      <c r="E905" s="7"/>
    </row>
    <row r="906">
      <c r="E906" s="7"/>
    </row>
    <row r="907">
      <c r="E907" s="7"/>
    </row>
    <row r="908">
      <c r="E908" s="7"/>
    </row>
    <row r="909">
      <c r="E909" s="7"/>
    </row>
    <row r="910">
      <c r="E910" s="7"/>
    </row>
    <row r="911">
      <c r="E911" s="7"/>
    </row>
    <row r="912">
      <c r="E912" s="7"/>
    </row>
    <row r="913">
      <c r="E913" s="7"/>
    </row>
    <row r="914">
      <c r="E914" s="7"/>
    </row>
    <row r="915">
      <c r="E915" s="7"/>
    </row>
    <row r="916">
      <c r="E916" s="7"/>
    </row>
    <row r="917">
      <c r="E917" s="7"/>
    </row>
    <row r="918">
      <c r="E918" s="7"/>
    </row>
    <row r="919">
      <c r="E919" s="7"/>
    </row>
    <row r="920">
      <c r="E920" s="7"/>
    </row>
    <row r="921">
      <c r="E921" s="7"/>
    </row>
    <row r="922">
      <c r="E922" s="7"/>
    </row>
    <row r="923">
      <c r="E923" s="7"/>
    </row>
    <row r="924">
      <c r="E924" s="7"/>
    </row>
    <row r="925">
      <c r="E925" s="7"/>
    </row>
    <row r="926">
      <c r="E926" s="7"/>
    </row>
    <row r="927">
      <c r="E927" s="7"/>
    </row>
    <row r="928">
      <c r="E928" s="7"/>
    </row>
    <row r="929">
      <c r="E929" s="7"/>
    </row>
    <row r="930">
      <c r="E930" s="7"/>
    </row>
    <row r="931">
      <c r="E931" s="7"/>
    </row>
    <row r="932">
      <c r="E932" s="7"/>
    </row>
    <row r="933">
      <c r="E933" s="7"/>
    </row>
    <row r="934">
      <c r="E934" s="7"/>
    </row>
    <row r="935">
      <c r="E935" s="7"/>
    </row>
    <row r="936">
      <c r="E936" s="7"/>
    </row>
    <row r="937">
      <c r="E937" s="7"/>
    </row>
    <row r="938">
      <c r="E938" s="7"/>
    </row>
    <row r="939">
      <c r="E939" s="7"/>
    </row>
    <row r="940">
      <c r="E940" s="7"/>
    </row>
    <row r="941">
      <c r="E941" s="7"/>
    </row>
    <row r="942">
      <c r="E942" s="7"/>
    </row>
    <row r="943">
      <c r="E943" s="7"/>
    </row>
    <row r="944">
      <c r="E944" s="7"/>
    </row>
    <row r="945">
      <c r="E945" s="7"/>
    </row>
    <row r="946">
      <c r="E946" s="7"/>
    </row>
    <row r="947">
      <c r="E947" s="7"/>
    </row>
    <row r="948">
      <c r="E948" s="7"/>
    </row>
    <row r="949">
      <c r="E949" s="7"/>
    </row>
    <row r="950">
      <c r="E950" s="7"/>
    </row>
    <row r="951">
      <c r="E951" s="7"/>
    </row>
    <row r="952">
      <c r="E952" s="7"/>
    </row>
    <row r="953">
      <c r="E953" s="7"/>
    </row>
    <row r="954">
      <c r="E954" s="7"/>
    </row>
    <row r="955">
      <c r="E955" s="7"/>
    </row>
    <row r="956">
      <c r="E956" s="7"/>
    </row>
    <row r="957">
      <c r="E957" s="7"/>
    </row>
    <row r="958">
      <c r="E958" s="7"/>
    </row>
    <row r="959">
      <c r="E959" s="7"/>
    </row>
    <row r="960">
      <c r="E960" s="7"/>
    </row>
    <row r="961">
      <c r="E961" s="7"/>
    </row>
    <row r="962">
      <c r="E962" s="7"/>
    </row>
    <row r="963">
      <c r="E963" s="7"/>
    </row>
    <row r="964">
      <c r="E964" s="7"/>
    </row>
    <row r="965">
      <c r="E965" s="7"/>
    </row>
    <row r="966">
      <c r="E966" s="7"/>
    </row>
    <row r="967">
      <c r="E967" s="7"/>
    </row>
    <row r="968">
      <c r="E968" s="7"/>
    </row>
    <row r="969">
      <c r="E969" s="7"/>
    </row>
    <row r="970">
      <c r="E970" s="7"/>
    </row>
    <row r="971">
      <c r="E971" s="7"/>
    </row>
    <row r="972">
      <c r="E972" s="7"/>
    </row>
    <row r="973">
      <c r="E973" s="7"/>
    </row>
    <row r="974">
      <c r="E974" s="7"/>
    </row>
    <row r="975">
      <c r="E975" s="7"/>
    </row>
    <row r="976">
      <c r="E976" s="7"/>
    </row>
    <row r="977">
      <c r="E977" s="7"/>
    </row>
    <row r="978">
      <c r="E978" s="7"/>
    </row>
    <row r="979">
      <c r="E979" s="7"/>
    </row>
    <row r="980">
      <c r="E980" s="7"/>
    </row>
    <row r="981">
      <c r="E981" s="7"/>
    </row>
    <row r="982">
      <c r="E982" s="7"/>
    </row>
    <row r="983">
      <c r="E983" s="7"/>
    </row>
    <row r="984">
      <c r="E984" s="7"/>
    </row>
    <row r="985">
      <c r="E985" s="7"/>
    </row>
    <row r="986">
      <c r="E986" s="7"/>
    </row>
    <row r="987">
      <c r="E987" s="7"/>
    </row>
    <row r="988">
      <c r="E988" s="7"/>
    </row>
    <row r="989">
      <c r="E989" s="7"/>
    </row>
    <row r="990">
      <c r="E990" s="7"/>
    </row>
    <row r="991">
      <c r="E991" s="7"/>
    </row>
    <row r="992">
      <c r="E992" s="7"/>
    </row>
    <row r="993">
      <c r="E993" s="7"/>
    </row>
    <row r="994">
      <c r="E994" s="7"/>
    </row>
    <row r="995">
      <c r="E995" s="7"/>
    </row>
    <row r="996">
      <c r="E996" s="7"/>
    </row>
    <row r="997">
      <c r="E997" s="7"/>
    </row>
    <row r="998">
      <c r="E998" s="7"/>
    </row>
    <row r="999">
      <c r="E999" s="7"/>
    </row>
    <row r="1000">
      <c r="E1000" s="7"/>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0</v>
      </c>
      <c r="B1" s="1" t="s">
        <v>2</v>
      </c>
      <c r="C1" s="1" t="s">
        <v>3</v>
      </c>
      <c r="D1" s="1" t="s">
        <v>1</v>
      </c>
      <c r="E1" s="2" t="s">
        <v>4</v>
      </c>
      <c r="F1" s="1" t="s">
        <v>6</v>
      </c>
      <c r="G1" s="1" t="s">
        <v>7</v>
      </c>
      <c r="I1" s="1" t="s">
        <v>9</v>
      </c>
      <c r="K1" s="1" t="s">
        <v>3</v>
      </c>
      <c r="L1" s="1" t="s">
        <v>11</v>
      </c>
      <c r="M1" s="1" t="s">
        <v>13</v>
      </c>
      <c r="N1" s="1" t="s">
        <v>14</v>
      </c>
      <c r="O1" s="1" t="s">
        <v>15</v>
      </c>
      <c r="P1" s="1" t="s">
        <v>16</v>
      </c>
      <c r="Q1" s="1" t="s">
        <v>17</v>
      </c>
    </row>
    <row r="2">
      <c r="A2" s="1" t="s">
        <v>299</v>
      </c>
      <c r="B2" s="1">
        <v>24.0</v>
      </c>
      <c r="C2" s="1" t="str">
        <f t="array" ref="C2">IF(NOT(ISBLANK($A2)), (_xlfn.XLOOKUP($A2,Index!$B$2:$B$995,Index!$C$2:$C$995,"Not Found")),"")</f>
        <v>Energy</v>
      </c>
      <c r="D2" s="1" t="str">
        <f t="array" ref="D2">IF(NOT(ISBLANK(A2)), (_xlfn.XLOOKUP($A2,Index!$B$2:B$995,Index!$A$2:$A$995,"Not Found")),"")</f>
        <v>base1-102</v>
      </c>
      <c r="E2" s="2" t="str">
        <f t="array" ref="E2">IF(NOT(ISBLANK($A2)), (_xlfn.XLOOKUP($A2,Index!$B$2:$B$995,Index!$D$2:$D$995,"Not Found")),"")</f>
        <v/>
      </c>
      <c r="F2" s="1" t="str">
        <f t="array" ref="F2">IF(NOT(ISBLANK($A2)), (_xlfn.XLOOKUP($A2,Index!$B$2:$B$995,Index!$E$2:$E$995,"Not Found")),"")</f>
        <v/>
      </c>
      <c r="G2" s="1">
        <f t="array" ref="G2">IF(NOT(ISBLANK(A2)), ((_xlfn.XLOOKUP(A2,Index!$B$2:$B$995,Index!$F$2:$F$995,"Not Found"))*B2),"")</f>
        <v>0</v>
      </c>
      <c r="I2" s="6">
        <f>SUM(B2:B38)</f>
        <v>60</v>
      </c>
      <c r="K2" s="1" t="s">
        <v>645</v>
      </c>
      <c r="L2" s="6">
        <f t="shared" ref="L2:L6" si="1">IF(NOT(ISBLANK(K2)), SUM(M2:P2), "")</f>
        <v>17</v>
      </c>
      <c r="M2" s="1">
        <f t="shared" ref="M2:M5" si="2">IF(NOT(ISBLANK($K2)), SUMIFS($B$2:$B$32, $E$2:$E$32, "B", $C$2:$C$32,$K2), "")</f>
        <v>11</v>
      </c>
      <c r="N2" s="1">
        <f t="shared" ref="N2:N5" si="3">IF(NOT(ISBLANK($K2)),SUMIFS($B$2:$B$32,$E$2:$E$32, "1", $C$2:$C$32,$K2,$F$2:$F$32,"N"), "")</f>
        <v>6</v>
      </c>
      <c r="O2" s="1">
        <f t="shared" ref="O2:O5" si="4">IF(NOT(ISBLANK($K2)),SUMIFS($B$2:$B$32,$E$2:$E$32, "1", $C$2:$C$32,$K2,$F$2:$F$32,"Y"), "")</f>
        <v>0</v>
      </c>
      <c r="P2" s="1">
        <f t="shared" ref="P2:P5" si="5">IF(NOT(ISBLANK($K2)),SUMIFS($B$2:$B$32,$E$2:$E$32, "2", $C$2:$C$32,$K2), "")</f>
        <v>0</v>
      </c>
      <c r="Q2" s="1">
        <f t="shared" ref="Q2:Q5" si="6">IF(NOT(ISBLANK($K2)),SUMIFS($B$2:$B$32,$E$2:$E$32, "B", $C$2:$C$32,$K2,$F$2:$F$32,"N"), "")</f>
        <v>5</v>
      </c>
    </row>
    <row r="3">
      <c r="A3" s="1" t="s">
        <v>675</v>
      </c>
      <c r="B3" s="1">
        <v>3.0</v>
      </c>
      <c r="C3" s="1" t="str">
        <f t="array" ref="C3">IF(NOT(ISBLANK($A3)), (_xlfn.XLOOKUP($A3,Index!$B$2:$B$995,Index!$C$2:$C$995,"Not Found")),"")</f>
        <v>W</v>
      </c>
      <c r="D3" s="1" t="str">
        <f t="array" ref="D3">IF(NOT(ISBLANK(A3)), (_xlfn.XLOOKUP($A3,Index!$B$2:B$995,Index!$A$2:$A$995,"Not Found")),"")</f>
        <v>base3-10</v>
      </c>
      <c r="E3" s="2" t="str">
        <f t="array" ref="E3">IF(NOT(ISBLANK($A3)), (_xlfn.XLOOKUP($A3,Index!$B$2:$B$995,Index!$D$2:$D$995,"Not Found")),"")</f>
        <v>b</v>
      </c>
      <c r="F3" s="1" t="str">
        <f t="array" ref="F3">IF(NOT(ISBLANK($A3)), (_xlfn.XLOOKUP($A3,Index!$B$2:$B$995,Index!$E$2:$E$995,"Not Found")),"")</f>
        <v>n</v>
      </c>
      <c r="G3" s="1">
        <f t="array" ref="G3">IF(NOT(ISBLANK(A3)), ((_xlfn.XLOOKUP(A3,Index!$B$2:$B$995,Index!$F$2:$F$995,"Not Found"))*B3),"")</f>
        <v>3</v>
      </c>
      <c r="K3" s="1" t="s">
        <v>26</v>
      </c>
      <c r="L3" s="6">
        <f t="shared" si="1"/>
        <v>3</v>
      </c>
      <c r="M3" s="1">
        <f t="shared" si="2"/>
        <v>3</v>
      </c>
      <c r="N3" s="1">
        <f t="shared" si="3"/>
        <v>0</v>
      </c>
      <c r="O3" s="1">
        <f t="shared" si="4"/>
        <v>0</v>
      </c>
      <c r="P3" s="1">
        <f t="shared" si="5"/>
        <v>0</v>
      </c>
      <c r="Q3" s="1">
        <f t="shared" si="6"/>
        <v>0</v>
      </c>
    </row>
    <row r="4">
      <c r="A4" s="1" t="s">
        <v>702</v>
      </c>
      <c r="B4" s="1">
        <v>3.0</v>
      </c>
      <c r="C4" s="1" t="str">
        <f t="array" ref="C4">IF(NOT(ISBLANK($A4)), (_xlfn.XLOOKUP($A4,Index!$B$2:$B$995,Index!$C$2:$C$995,"Not Found")),"")</f>
        <v>W</v>
      </c>
      <c r="D4" s="1" t="str">
        <f t="array" ref="D4">IF(NOT(ISBLANK(A4)), (_xlfn.XLOOKUP($A4,Index!$B$2:B$995,Index!$A$2:$A$995,"Not Found")),"")</f>
        <v>base1-41</v>
      </c>
      <c r="E4" s="2" t="str">
        <f t="array" ref="E4">IF(NOT(ISBLANK($A4)), (_xlfn.XLOOKUP($A4,Index!$B$2:$B$995,Index!$D$2:$D$995,"Not Found")),"")</f>
        <v>b</v>
      </c>
      <c r="F4" s="1" t="str">
        <f t="array" ref="F4">IF(NOT(ISBLANK($A4)), (_xlfn.XLOOKUP($A4,Index!$B$2:$B$995,Index!$E$2:$E$995,"Not Found")),"")</f>
        <v>y</v>
      </c>
      <c r="G4" s="1">
        <f t="array" ref="G4">IF(NOT(ISBLANK(A4)), ((_xlfn.XLOOKUP(A4,Index!$B$2:$B$995,Index!$F$2:$F$995,"Not Found"))*B4),"")</f>
        <v>0</v>
      </c>
      <c r="L4" s="6" t="str">
        <f t="shared" si="1"/>
        <v/>
      </c>
      <c r="M4" s="1" t="str">
        <f t="shared" si="2"/>
        <v/>
      </c>
      <c r="N4" s="1" t="str">
        <f t="shared" si="3"/>
        <v/>
      </c>
      <c r="O4" s="1" t="str">
        <f t="shared" si="4"/>
        <v/>
      </c>
      <c r="P4" s="1" t="str">
        <f t="shared" si="5"/>
        <v/>
      </c>
      <c r="Q4" s="1" t="str">
        <f t="shared" si="6"/>
        <v/>
      </c>
    </row>
    <row r="5">
      <c r="A5" s="1" t="s">
        <v>659</v>
      </c>
      <c r="B5" s="1">
        <v>2.0</v>
      </c>
      <c r="C5" s="1" t="str">
        <f t="array" ref="C5">IF(NOT(ISBLANK($A5)), (_xlfn.XLOOKUP($A5,Index!$B$2:$B$995,Index!$C$2:$C$995,"Not Found")),"")</f>
        <v>W</v>
      </c>
      <c r="D5" s="1" t="str">
        <f t="array" ref="D5">IF(NOT(ISBLANK(A5)), (_xlfn.XLOOKUP($A5,Index!$B$2:B$995,Index!$A$2:$A$995,"Not Found")),"")</f>
        <v>base1-25</v>
      </c>
      <c r="E5" s="2">
        <f t="array" ref="E5">IF(NOT(ISBLANK($A5)), (_xlfn.XLOOKUP($A5,Index!$B$2:$B$995,Index!$D$2:$D$995,"Not Found")),"")</f>
        <v>1</v>
      </c>
      <c r="F5" s="1" t="str">
        <f t="array" ref="F5">IF(NOT(ISBLANK($A5)), (_xlfn.XLOOKUP($A5,Index!$B$2:$B$995,Index!$E$2:$E$995,"Not Found")),"")</f>
        <v>n</v>
      </c>
      <c r="G5" s="1">
        <f t="array" ref="G5">IF(NOT(ISBLANK(A5)), ((_xlfn.XLOOKUP(A5,Index!$B$2:$B$995,Index!$F$2:$F$995,"Not Found"))*B5),"")</f>
        <v>4</v>
      </c>
      <c r="L5" s="6" t="str">
        <f t="shared" si="1"/>
        <v/>
      </c>
      <c r="M5" s="1" t="str">
        <f t="shared" si="2"/>
        <v/>
      </c>
      <c r="N5" s="1" t="str">
        <f t="shared" si="3"/>
        <v/>
      </c>
      <c r="O5" s="1" t="str">
        <f t="shared" si="4"/>
        <v/>
      </c>
      <c r="P5" s="1" t="str">
        <f t="shared" si="5"/>
        <v/>
      </c>
      <c r="Q5" s="1" t="str">
        <f t="shared" si="6"/>
        <v/>
      </c>
    </row>
    <row r="6">
      <c r="A6" s="1" t="s">
        <v>90</v>
      </c>
      <c r="B6" s="1">
        <v>3.0</v>
      </c>
      <c r="C6" s="1" t="str">
        <f t="array" ref="C6">IF(NOT(ISBLANK($A6)), (_xlfn.XLOOKUP($A6,Index!$B$2:$B$995,Index!$C$2:$C$995,"Not Found")),"")</f>
        <v>C</v>
      </c>
      <c r="D6" s="1" t="str">
        <f t="array" ref="D6">IF(NOT(ISBLANK(A6)), (_xlfn.XLOOKUP($A6,Index!$B$2:B$995,Index!$A$2:$A$995,"Not Found")),"")</f>
        <v>base2-51</v>
      </c>
      <c r="E6" s="2" t="str">
        <f t="array" ref="E6">IF(NOT(ISBLANK($A6)), (_xlfn.XLOOKUP($A6,Index!$B$2:$B$995,Index!$D$2:$D$995,"Not Found")),"")</f>
        <v>b</v>
      </c>
      <c r="F6" s="1" t="str">
        <f t="array" ref="F6">IF(NOT(ISBLANK($A6)), (_xlfn.XLOOKUP($A6,Index!$B$2:$B$995,Index!$E$2:$E$995,"Not Found")),"")</f>
        <v>y</v>
      </c>
      <c r="G6" s="1">
        <f t="array" ref="G6">IF(NOT(ISBLANK(A6)), ((_xlfn.XLOOKUP(A6,Index!$B$2:$B$995,Index!$F$2:$F$995,"Not Found"))*B6),"")</f>
        <v>0</v>
      </c>
      <c r="L6" s="6"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717</v>
      </c>
      <c r="B7" s="1">
        <v>2.0</v>
      </c>
      <c r="C7" s="1" t="str">
        <f t="array" ref="C7">IF(NOT(ISBLANK($A7)), (_xlfn.XLOOKUP($A7,Index!$B$2:$B$995,Index!$C$2:$C$995,"Not Found")),"")</f>
        <v>W</v>
      </c>
      <c r="D7" s="1" t="str">
        <f t="array" ref="D7">IF(NOT(ISBLANK(A7)), (_xlfn.XLOOKUP($A7,Index!$B$2:B$995,Index!$A$2:$A$995,"Not Found")),"")</f>
        <v>base2-12</v>
      </c>
      <c r="E7" s="2">
        <f t="array" ref="E7">IF(NOT(ISBLANK($A7)), (_xlfn.XLOOKUP($A7,Index!$B$2:$B$995,Index!$D$2:$D$995,"Not Found")),"")</f>
        <v>1</v>
      </c>
      <c r="F7" s="1" t="str">
        <f t="array" ref="F7">IF(NOT(ISBLANK($A7)), (_xlfn.XLOOKUP($A7,Index!$B$2:$B$995,Index!$E$2:$E$995,"Not Found")),"")</f>
        <v>n</v>
      </c>
      <c r="G7" s="1">
        <f t="array" ref="G7">IF(NOT(ISBLANK(A7)), ((_xlfn.XLOOKUP(A7,Index!$B$2:$B$995,Index!$F$2:$F$995,"Not Found"))*B7),"")</f>
        <v>4</v>
      </c>
      <c r="K7" s="1" t="s">
        <v>724</v>
      </c>
      <c r="L7" s="6">
        <f t="shared" ref="L7:Q7" si="7">SUM(L2:L6)</f>
        <v>20</v>
      </c>
      <c r="M7" s="6">
        <f t="shared" si="7"/>
        <v>14</v>
      </c>
      <c r="N7" s="6">
        <f t="shared" si="7"/>
        <v>6</v>
      </c>
      <c r="O7" s="6">
        <f t="shared" si="7"/>
        <v>0</v>
      </c>
      <c r="P7" s="6">
        <f t="shared" si="7"/>
        <v>0</v>
      </c>
      <c r="Q7" s="6">
        <f t="shared" si="7"/>
        <v>5</v>
      </c>
    </row>
    <row r="8">
      <c r="A8" s="1" t="s">
        <v>644</v>
      </c>
      <c r="B8" s="1">
        <v>2.0</v>
      </c>
      <c r="C8" s="1" t="str">
        <f t="array" ref="C8">IF(NOT(ISBLANK($A8)), (_xlfn.XLOOKUP($A8,Index!$B$2:$B$995,Index!$C$2:$C$995,"Not Found")),"")</f>
        <v>W</v>
      </c>
      <c r="D8" s="1" t="str">
        <f t="array" ref="D8">IF(NOT(ISBLANK(A8)), (_xlfn.XLOOKUP($A8,Index!$B$2:B$995,Index!$A$2:$A$995,"Not Found")),"")</f>
        <v>base3-2</v>
      </c>
      <c r="E8" s="2" t="str">
        <f t="array" ref="E8">IF(NOT(ISBLANK($A8)), (_xlfn.XLOOKUP($A8,Index!$B$2:$B$995,Index!$D$2:$D$995,"Not Found")),"")</f>
        <v>b</v>
      </c>
      <c r="F8" s="1" t="str">
        <f t="array" ref="F8">IF(NOT(ISBLANK($A8)), (_xlfn.XLOOKUP($A8,Index!$B$2:$B$995,Index!$E$2:$E$995,"Not Found")),"")</f>
        <v>n</v>
      </c>
      <c r="G8" s="1">
        <f t="array" ref="G8">IF(NOT(ISBLANK(A8)), ((_xlfn.XLOOKUP(A8,Index!$B$2:$B$995,Index!$F$2:$F$995,"Not Found"))*B8),"")</f>
        <v>4</v>
      </c>
    </row>
    <row r="9">
      <c r="A9" s="1" t="s">
        <v>680</v>
      </c>
      <c r="B9" s="1">
        <v>3.0</v>
      </c>
      <c r="C9" s="1" t="str">
        <f t="array" ref="C9">IF(NOT(ISBLANK($A9)), (_xlfn.XLOOKUP($A9,Index!$B$2:$B$995,Index!$C$2:$C$995,"Not Found")),"")</f>
        <v>W</v>
      </c>
      <c r="D9" s="1" t="str">
        <f t="array" ref="D9">IF(NOT(ISBLANK(A9)), (_xlfn.XLOOKUP($A9,Index!$B$2:B$995,Index!$A$2:$A$995,"Not Found")),"")</f>
        <v>base1-35</v>
      </c>
      <c r="E9" s="2" t="str">
        <f t="array" ref="E9">IF(NOT(ISBLANK($A9)), (_xlfn.XLOOKUP($A9,Index!$B$2:$B$995,Index!$D$2:$D$995,"Not Found")),"")</f>
        <v>b</v>
      </c>
      <c r="F9" s="1" t="str">
        <f t="array" ref="F9">IF(NOT(ISBLANK($A9)), (_xlfn.XLOOKUP($A9,Index!$B$2:$B$995,Index!$E$2:$E$995,"Not Found")),"")</f>
        <v>y</v>
      </c>
      <c r="G9" s="1">
        <f t="array" ref="G9">IF(NOT(ISBLANK(A9)), ((_xlfn.XLOOKUP(A9,Index!$B$2:$B$995,Index!$F$2:$F$995,"Not Found"))*B9),"")</f>
        <v>0</v>
      </c>
      <c r="M9" s="1" t="s">
        <v>725</v>
      </c>
      <c r="N9" s="1" t="s">
        <v>726</v>
      </c>
      <c r="O9" s="1" t="s">
        <v>727</v>
      </c>
    </row>
    <row r="10">
      <c r="A10" s="1" t="s">
        <v>666</v>
      </c>
      <c r="B10" s="1">
        <v>2.0</v>
      </c>
      <c r="C10" s="1" t="str">
        <f t="array" ref="C10">IF(NOT(ISBLANK($A10)), (_xlfn.XLOOKUP($A10,Index!$B$2:$B$995,Index!$C$2:$C$995,"Not Found")),"")</f>
        <v>W</v>
      </c>
      <c r="D10" s="1" t="str">
        <f t="array" ref="D10">IF(NOT(ISBLANK(A10)), (_xlfn.XLOOKUP($A10,Index!$B$2:B$995,Index!$A$2:$A$995,"Not Found")),"")</f>
        <v>base1-6</v>
      </c>
      <c r="E10" s="2">
        <f t="array" ref="E10">IF(NOT(ISBLANK($A10)), (_xlfn.XLOOKUP($A10,Index!$B$2:$B$995,Index!$D$2:$D$995,"Not Found")),"")</f>
        <v>1</v>
      </c>
      <c r="F10" s="1" t="str">
        <f t="array" ref="F10">IF(NOT(ISBLANK($A10)), (_xlfn.XLOOKUP($A10,Index!$B$2:$B$995,Index!$E$2:$E$995,"Not Found")),"")</f>
        <v>n</v>
      </c>
      <c r="G10" s="1">
        <f t="array" ref="G10">IF(NOT(ISBLANK(A10)), ((_xlfn.XLOOKUP(A10,Index!$B$2:$B$995,Index!$F$2:$F$995,"Not Found"))*B10),"")</f>
        <v>5</v>
      </c>
      <c r="K10" s="1" t="s">
        <v>728</v>
      </c>
      <c r="L10" s="6">
        <f>SUM(M10:P10)</f>
        <v>16</v>
      </c>
      <c r="M10" s="6">
        <f>IF(NOT(ISBLANK($K10)), SUMIFS($B$2:$B$32,$E$2:$E$32, "C", $C$2:$C$32,"T"), "")</f>
        <v>9</v>
      </c>
      <c r="N10" s="6">
        <f>IF(NOT(ISBLANK($K10)), SUMIFS($B$2:$B$32,$E$2:$E$32, "U", $C$2:$C$32,"T"), "")</f>
        <v>5</v>
      </c>
      <c r="O10" s="6">
        <f>IF(NOT(ISBLANK($K$2)), SUMIFS($B$2:$B$32,$E$2:$E$32, "R", $C$2:$C$32,"T"), "")</f>
        <v>2</v>
      </c>
    </row>
    <row r="11">
      <c r="A11" s="1" t="s">
        <v>612</v>
      </c>
      <c r="B11" s="1">
        <v>1.0</v>
      </c>
      <c r="C11" s="1" t="str">
        <f t="array" ref="C11">IF(NOT(ISBLANK($A11)), (_xlfn.XLOOKUP($A11,Index!$B$2:$B$995,Index!$C$2:$C$995,"Not Found")),"")</f>
        <v>T</v>
      </c>
      <c r="D11" s="1" t="str">
        <f t="array" ref="D11">IF(NOT(ISBLANK(A11)), (_xlfn.XLOOKUP($A11,Index!$B$2:B$995,Index!$A$2:$A$995,"Not Found")),"")</f>
        <v>base1-77</v>
      </c>
      <c r="E11" s="2" t="str">
        <f t="array" ref="E11">IF(NOT(ISBLANK($A11)), (_xlfn.XLOOKUP($A11,Index!$B$2:$B$995,Index!$D$2:$D$995,"Not Found")),"")</f>
        <v>r</v>
      </c>
      <c r="F11" s="1" t="str">
        <f t="array" ref="F11">IF(NOT(ISBLANK($A11)), (_xlfn.XLOOKUP($A11,Index!$B$2:$B$995,Index!$E$2:$E$995,"Not Found")),"")</f>
        <v/>
      </c>
      <c r="G11" s="1" t="str">
        <f t="array" ref="G11">IF(NOT(ISBLANK(A11)), ((_xlfn.XLOOKUP(A11,Index!$B$2:$B$995,Index!$F$2:$F$995,"Not Found"))*B11),"")</f>
        <v>#VALUE!</v>
      </c>
      <c r="K11" s="1" t="s">
        <v>289</v>
      </c>
      <c r="L11" s="1">
        <f>IF(NOT(ISBLANK($K$2)), SUMIFS($B$2:$B$32, $C$2:$C$32,"Energy"), "")</f>
        <v>24</v>
      </c>
    </row>
    <row r="12">
      <c r="A12" s="1" t="s">
        <v>600</v>
      </c>
      <c r="B12" s="1">
        <v>1.0</v>
      </c>
      <c r="C12" s="1" t="str">
        <f t="array" ref="C12">IF(NOT(ISBLANK($A12)), (_xlfn.XLOOKUP($A12,Index!$B$2:$B$995,Index!$C$2:$C$995,"Not Found")),"")</f>
        <v>T</v>
      </c>
      <c r="D12" s="1" t="str">
        <f t="array" ref="D12">IF(NOT(ISBLANK(A12)), (_xlfn.XLOOKUP($A12,Index!$B$2:B$995,Index!$A$2:$A$995,"Not Found")),"")</f>
        <v>base1-71</v>
      </c>
      <c r="E12" s="2" t="str">
        <f t="array" ref="E12">IF(NOT(ISBLANK($A12)), (_xlfn.XLOOKUP($A12,Index!$B$2:$B$995,Index!$D$2:$D$995,"Not Found")),"")</f>
        <v>r</v>
      </c>
      <c r="F12" s="1" t="str">
        <f t="array" ref="F12">IF(NOT(ISBLANK($A12)), (_xlfn.XLOOKUP($A12,Index!$B$2:$B$995,Index!$E$2:$E$995,"Not Found")),"")</f>
        <v/>
      </c>
      <c r="G12" s="1" t="str">
        <f t="array" ref="G12">IF(NOT(ISBLANK(A12)), ((_xlfn.XLOOKUP(A12,Index!$B$2:$B$995,Index!$F$2:$F$995,"Not Found"))*B12),"")</f>
        <v>#VALUE!</v>
      </c>
      <c r="K12" s="1" t="s">
        <v>729</v>
      </c>
      <c r="L12" s="6">
        <f>L7</f>
        <v>20</v>
      </c>
    </row>
    <row r="13">
      <c r="A13" s="1" t="s">
        <v>593</v>
      </c>
      <c r="B13" s="1">
        <v>1.0</v>
      </c>
      <c r="C13" s="1" t="str">
        <f t="array" ref="C13">IF(NOT(ISBLANK($A13)), (_xlfn.XLOOKUP($A13,Index!$B$2:$B$995,Index!$C$2:$C$995,"Not Found")),"")</f>
        <v>T</v>
      </c>
      <c r="D13" s="1" t="str">
        <f t="array" ref="D13">IF(NOT(ISBLANK(A13)), (_xlfn.XLOOKUP($A13,Index!$B$2:B$995,Index!$A$2:$A$995,"Not Found")),"")</f>
        <v>base1-95</v>
      </c>
      <c r="E13" s="2" t="str">
        <f t="array" ref="E13">IF(NOT(ISBLANK($A13)), (_xlfn.XLOOKUP($A13,Index!$B$2:$B$995,Index!$D$2:$D$995,"Not Found")),"")</f>
        <v>c</v>
      </c>
      <c r="F13" s="1" t="str">
        <f t="array" ref="F13">IF(NOT(ISBLANK($A13)), (_xlfn.XLOOKUP($A13,Index!$B$2:$B$995,Index!$E$2:$E$995,"Not Found")),"")</f>
        <v/>
      </c>
      <c r="G13" s="1" t="str">
        <f t="array" ref="G13">IF(NOT(ISBLANK(A13)), ((_xlfn.XLOOKUP(A13,Index!$B$2:$B$995,Index!$F$2:$F$995,"Not Found"))*B13),"")</f>
        <v>#VALUE!</v>
      </c>
    </row>
    <row r="14">
      <c r="A14" s="1" t="s">
        <v>582</v>
      </c>
      <c r="B14" s="1">
        <v>2.0</v>
      </c>
      <c r="C14" s="1" t="str">
        <f t="array" ref="C14">IF(NOT(ISBLANK($A14)), (_xlfn.XLOOKUP($A14,Index!$B$2:$B$995,Index!$C$2:$C$995,"Not Found")),"")</f>
        <v>T</v>
      </c>
      <c r="D14" s="1" t="str">
        <f t="array" ref="D14">IF(NOT(ISBLANK(A14)), (_xlfn.XLOOKUP($A14,Index!$B$2:B$995,Index!$A$2:$A$995,"Not Found")),"")</f>
        <v>base1-93</v>
      </c>
      <c r="E14" s="2" t="str">
        <f t="array" ref="E14">IF(NOT(ISBLANK($A14)), (_xlfn.XLOOKUP($A14,Index!$B$2:$B$995,Index!$D$2:$D$995,"Not Found")),"")</f>
        <v>c</v>
      </c>
      <c r="F14" s="1" t="str">
        <f t="array" ref="F14">IF(NOT(ISBLANK($A14)), (_xlfn.XLOOKUP($A14,Index!$B$2:$B$995,Index!$E$2:$E$995,"Not Found")),"")</f>
        <v/>
      </c>
      <c r="G14" s="1" t="str">
        <f t="array" ref="G14">IF(NOT(ISBLANK(A14)), ((_xlfn.XLOOKUP(A14,Index!$B$2:$B$995,Index!$F$2:$F$995,"Not Found"))*B14),"")</f>
        <v>#VALUE!</v>
      </c>
    </row>
    <row r="15">
      <c r="A15" s="1" t="s">
        <v>570</v>
      </c>
      <c r="B15" s="1">
        <v>3.0</v>
      </c>
      <c r="C15" s="1" t="str">
        <f t="array" ref="C15">IF(NOT(ISBLANK($A15)), (_xlfn.XLOOKUP($A15,Index!$B$2:$B$995,Index!$C$2:$C$995,"Not Found")),"")</f>
        <v>T</v>
      </c>
      <c r="D15" s="1" t="str">
        <f t="array" ref="D15">IF(NOT(ISBLANK(A15)), (_xlfn.XLOOKUP($A15,Index!$B$2:B$995,Index!$A$2:$A$995,"Not Found")),"")</f>
        <v>base1-91</v>
      </c>
      <c r="E15" s="2" t="str">
        <f t="array" ref="E15">IF(NOT(ISBLANK($A15)), (_xlfn.XLOOKUP($A15,Index!$B$2:$B$995,Index!$D$2:$D$995,"Not Found")),"")</f>
        <v>c</v>
      </c>
      <c r="F15" s="1" t="str">
        <f t="array" ref="F15">IF(NOT(ISBLANK($A15)), (_xlfn.XLOOKUP($A15,Index!$B$2:$B$995,Index!$E$2:$E$995,"Not Found")),"")</f>
        <v/>
      </c>
      <c r="G15" s="1" t="str">
        <f t="array" ref="G15">IF(NOT(ISBLANK(A15)), ((_xlfn.XLOOKUP(A15,Index!$B$2:$B$995,Index!$F$2:$F$995,"Not Found"))*B15),"")</f>
        <v>#VALUE!</v>
      </c>
      <c r="K15" s="1" t="s">
        <v>730</v>
      </c>
    </row>
    <row r="16">
      <c r="A16" s="1" t="s">
        <v>638</v>
      </c>
      <c r="B16" s="1">
        <v>2.0</v>
      </c>
      <c r="C16" s="1" t="str">
        <f t="array" ref="C16">IF(NOT(ISBLANK($A16)), (_xlfn.XLOOKUP($A16,Index!$B$2:$B$995,Index!$C$2:$C$995,"Not Found")),"")</f>
        <v>T</v>
      </c>
      <c r="D16" s="1" t="str">
        <f t="array" ref="D16">IF(NOT(ISBLANK(A16)), (_xlfn.XLOOKUP($A16,Index!$B$2:B$995,Index!$A$2:$A$995,"Not Found")),"")</f>
        <v>base1-88</v>
      </c>
      <c r="E16" s="2" t="str">
        <f t="array" ref="E16">IF(NOT(ISBLANK($A16)), (_xlfn.XLOOKUP($A16,Index!$B$2:$B$995,Index!$D$2:$D$995,"Not Found")),"")</f>
        <v>u</v>
      </c>
      <c r="F16" s="1" t="str">
        <f t="array" ref="F16">IF(NOT(ISBLANK($A16)), (_xlfn.XLOOKUP($A16,Index!$B$2:$B$995,Index!$E$2:$E$995,"Not Found")),"")</f>
        <v/>
      </c>
      <c r="G16" s="1" t="str">
        <f t="array" ref="G16">IF(NOT(ISBLANK(A16)), ((_xlfn.XLOOKUP(A16,Index!$B$2:$B$995,Index!$F$2:$F$995,"Not Found"))*B16),"")</f>
        <v>#VALUE!</v>
      </c>
      <c r="K16" s="6" t="str">
        <f t="shared" ref="K16:K20" si="8">K2</f>
        <v>W</v>
      </c>
      <c r="L16" s="1">
        <f t="shared" ref="L16:L19" si="9">IF(NOT(ISBLANK($K2)), SUMIFS($G$2:$G$32, $C$2:$C$32,$K2), "")</f>
        <v>20</v>
      </c>
    </row>
    <row r="17">
      <c r="A17" s="1" t="s">
        <v>618</v>
      </c>
      <c r="B17" s="1">
        <v>2.0</v>
      </c>
      <c r="C17" s="1" t="str">
        <f t="array" ref="C17">IF(NOT(ISBLANK($A17)), (_xlfn.XLOOKUP($A17,Index!$B$2:$B$995,Index!$C$2:$C$995,"Not Found")),"")</f>
        <v>T</v>
      </c>
      <c r="D17" s="1" t="str">
        <f t="array" ref="D17">IF(NOT(ISBLANK(A17)), (_xlfn.XLOOKUP($A17,Index!$B$2:B$995,Index!$A$2:$A$995,"Not Found")),"")</f>
        <v>base1-80</v>
      </c>
      <c r="E17" s="2" t="str">
        <f t="array" ref="E17">IF(NOT(ISBLANK($A17)), (_xlfn.XLOOKUP($A17,Index!$B$2:$B$995,Index!$D$2:$D$995,"Not Found")),"")</f>
        <v>u</v>
      </c>
      <c r="F17" s="1" t="str">
        <f t="array" ref="F17">IF(NOT(ISBLANK($A17)), (_xlfn.XLOOKUP($A17,Index!$B$2:$B$995,Index!$E$2:$E$995,"Not Found")),"")</f>
        <v/>
      </c>
      <c r="G17" s="1" t="str">
        <f t="array" ref="G17">IF(NOT(ISBLANK(A17)), ((_xlfn.XLOOKUP(A17,Index!$B$2:$B$995,Index!$F$2:$F$995,"Not Found"))*B17),"")</f>
        <v>#VALUE!</v>
      </c>
      <c r="K17" s="6" t="str">
        <f t="shared" si="8"/>
        <v>C</v>
      </c>
      <c r="L17" s="1">
        <f t="shared" si="9"/>
        <v>0</v>
      </c>
    </row>
    <row r="18">
      <c r="A18" s="1" t="s">
        <v>623</v>
      </c>
      <c r="B18" s="1">
        <v>1.0</v>
      </c>
      <c r="C18" s="1" t="str">
        <f t="array" ref="C18">IF(NOT(ISBLANK($A18)), (_xlfn.XLOOKUP($A18,Index!$B$2:$B$995,Index!$C$2:$C$995,"Not Found")),"")</f>
        <v>T</v>
      </c>
      <c r="D18" s="1" t="str">
        <f t="array" ref="D18">IF(NOT(ISBLANK(A18)), (_xlfn.XLOOKUP($A18,Index!$B$2:B$995,Index!$A$2:$A$995,"Not Found")),"")</f>
        <v>base1-82</v>
      </c>
      <c r="E18" s="2" t="str">
        <f t="array" ref="E18">IF(NOT(ISBLANK($A18)), (_xlfn.XLOOKUP($A18,Index!$B$2:$B$995,Index!$D$2:$D$995,"Not Found")),"")</f>
        <v>u</v>
      </c>
      <c r="F18" s="1" t="str">
        <f t="array" ref="F18">IF(NOT(ISBLANK($A18)), (_xlfn.XLOOKUP($A18,Index!$B$2:$B$995,Index!$E$2:$E$995,"Not Found")),"")</f>
        <v/>
      </c>
      <c r="G18" s="1" t="str">
        <f t="array" ref="G18">IF(NOT(ISBLANK(A18)), ((_xlfn.XLOOKUP(A18,Index!$B$2:$B$995,Index!$F$2:$F$995,"Not Found"))*B18),"")</f>
        <v>#VALUE!</v>
      </c>
      <c r="K18" s="6" t="str">
        <f t="shared" si="8"/>
        <v/>
      </c>
      <c r="L18" s="1" t="str">
        <f t="shared" si="9"/>
        <v/>
      </c>
    </row>
    <row r="19">
      <c r="A19" s="1" t="s">
        <v>574</v>
      </c>
      <c r="B19" s="1">
        <v>2.0</v>
      </c>
      <c r="C19" s="1" t="str">
        <f t="array" ref="C19">IF(NOT(ISBLANK($A19)), (_xlfn.XLOOKUP($A19,Index!$B$2:$B$995,Index!$C$2:$C$995,"Not Found")),"")</f>
        <v>T</v>
      </c>
      <c r="D19" s="1" t="str">
        <f t="array" ref="D19">IF(NOT(ISBLANK(A19)), (_xlfn.XLOOKUP($A19,Index!$B$2:B$995,Index!$A$2:$A$995,"Not Found")),"")</f>
        <v>base1-92</v>
      </c>
      <c r="E19" s="2" t="str">
        <f t="array" ref="E19">IF(NOT(ISBLANK($A19)), (_xlfn.XLOOKUP($A19,Index!$B$2:$B$995,Index!$D$2:$D$995,"Not Found")),"")</f>
        <v>c</v>
      </c>
      <c r="F19" s="1" t="str">
        <f t="array" ref="F19">IF(NOT(ISBLANK($A19)), (_xlfn.XLOOKUP($A19,Index!$B$2:$B$995,Index!$E$2:$E$995,"Not Found")),"")</f>
        <v/>
      </c>
      <c r="G19" s="1" t="str">
        <f t="array" ref="G19">IF(NOT(ISBLANK(A19)), ((_xlfn.XLOOKUP(A19,Index!$B$2:$B$995,Index!$F$2:$F$995,"Not Found"))*B19),"")</f>
        <v>#VALUE!</v>
      </c>
      <c r="K19" s="6" t="str">
        <f t="shared" si="8"/>
        <v/>
      </c>
      <c r="L19" s="1" t="str">
        <f t="shared" si="9"/>
        <v/>
      </c>
    </row>
    <row r="20">
      <c r="A20" s="1" t="s">
        <v>587</v>
      </c>
      <c r="B20" s="1">
        <v>1.0</v>
      </c>
      <c r="C20" s="1" t="str">
        <f t="array" ref="C20">IF(NOT(ISBLANK($A20)), (_xlfn.XLOOKUP($A20,Index!$B$2:$B$995,Index!$C$2:$C$995,"Not Found")),"")</f>
        <v>T</v>
      </c>
      <c r="D20" s="1" t="str">
        <f t="array" ref="D20">IF(NOT(ISBLANK(A20)), (_xlfn.XLOOKUP($A20,Index!$B$2:B$995,Index!$A$2:$A$995,"Not Found")),"")</f>
        <v>base2-64</v>
      </c>
      <c r="E20" s="2" t="str">
        <f t="array" ref="E20">IF(NOT(ISBLANK($A20)), (_xlfn.XLOOKUP($A20,Index!$B$2:$B$995,Index!$D$2:$D$995,"Not Found")),"")</f>
        <v>c</v>
      </c>
      <c r="F20" s="1" t="str">
        <f t="array" ref="F20">IF(NOT(ISBLANK($A20)), (_xlfn.XLOOKUP($A20,Index!$B$2:$B$995,Index!$E$2:$E$995,"Not Found")),"")</f>
        <v/>
      </c>
      <c r="G20" s="1" t="str">
        <f t="array" ref="G20">IF(NOT(ISBLANK(A20)), ((_xlfn.XLOOKUP(A20,Index!$B$2:$B$995,Index!$F$2:$F$995,"Not Found"))*B20),"")</f>
        <v>#VALUE!</v>
      </c>
      <c r="K20" s="6" t="str">
        <f t="shared" si="8"/>
        <v/>
      </c>
    </row>
    <row r="21">
      <c r="C21" s="1" t="str">
        <f t="array" ref="C21">IF(NOT(ISBLANK($A21)), (_xlfn.XLOOKUP($A21,Index!$B$2:$B$995,Index!$C$2:$C$995,"Not Found")),"")</f>
        <v/>
      </c>
      <c r="D21" s="1" t="str">
        <f t="array" ref="D21">IF(NOT(ISBLANK(A21)), (_xlfn.XLOOKUP($A21,Index!$B$2:B$995,Index!$A$2:$A$995,"Not Found")),"")</f>
        <v/>
      </c>
      <c r="E21" s="2" t="str">
        <f t="array" ref="E21">IF(NOT(ISBLANK($A21)), (_xlfn.XLOOKUP($A21,Index!$B$2:$B$995,Index!$D$2:$D$995,"Not Found")),"")</f>
        <v/>
      </c>
      <c r="F21" s="1" t="str">
        <f t="array" ref="F21">IF(NOT(ISBLANK($A21)), (_xlfn.XLOOKUP($A21,Index!$B$2:$B$995,Index!$E$2:$E$995,"Not Found")),"")</f>
        <v/>
      </c>
      <c r="G21" s="1" t="str">
        <f t="array" ref="G21">IF(NOT(ISBLANK(A21)), ((_xlfn.XLOOKUP(A21,Index!$B$2:$B$995,Index!$F$2:$F$995,"Not Found"))*B21),"")</f>
        <v/>
      </c>
      <c r="K21" s="1" t="s">
        <v>731</v>
      </c>
      <c r="L21" s="6">
        <f>SUM(L15:L19)</f>
        <v>20</v>
      </c>
    </row>
    <row r="22">
      <c r="C22" s="1" t="str">
        <f t="array" ref="C22">IF(NOT(ISBLANK($A22)), (_xlfn.XLOOKUP($A22,Index!$B$2:$B$995,Index!$C$2:$C$995,"Not Found")),"")</f>
        <v/>
      </c>
      <c r="D22" s="1" t="str">
        <f t="array" ref="D22">IF(NOT(ISBLANK(A22)), (_xlfn.XLOOKUP($A22,Index!$B$2:B$995,Index!$A$2:$A$995,"Not Found")),"")</f>
        <v/>
      </c>
      <c r="E22" s="2" t="str">
        <f t="array" ref="E22">IF(NOT(ISBLANK($A22)), (_xlfn.XLOOKUP($A22,Index!$B$2:$B$995,Index!$D$2:$D$995,"Not Found")),"")</f>
        <v/>
      </c>
      <c r="F22" s="1" t="str">
        <f t="array" ref="F22">IF(NOT(ISBLANK($A22)), (_xlfn.XLOOKUP($A22,Index!$B$2:$B$995,Index!$E$2:$E$995,"Not Found")),"")</f>
        <v/>
      </c>
      <c r="G22" s="1" t="str">
        <f t="array" ref="G22">IF(NOT(ISBLANK(A22)), ((_xlfn.XLOOKUP(A22,Index!$B$2:$B$995,Index!$F$2:$F$995,"Not Found"))*B22),"")</f>
        <v/>
      </c>
    </row>
    <row r="23">
      <c r="C23" s="1" t="str">
        <f t="array" ref="C23">IF(NOT(ISBLANK($A23)), (_xlfn.XLOOKUP($A23,Index!$B$2:$B$995,Index!$C$2:$C$995,"Not Found")),"")</f>
        <v/>
      </c>
      <c r="D23" s="1" t="str">
        <f t="array" ref="D23">IF(NOT(ISBLANK(A23)), (_xlfn.XLOOKUP($A23,Index!$B$2:B$995,Index!$A$2:$A$995,"Not Found")),"")</f>
        <v/>
      </c>
      <c r="E23" s="2" t="str">
        <f t="array" ref="E23">IF(NOT(ISBLANK($A23)), (_xlfn.XLOOKUP($A23,Index!$B$2:$B$995,Index!$D$2:$D$995,"Not Found")),"")</f>
        <v/>
      </c>
      <c r="F23" s="1" t="str">
        <f t="array" ref="F23">IF(NOT(ISBLANK($A23)), (_xlfn.XLOOKUP($A23,Index!$B$2:$B$995,Index!$E$2:$E$995,"Not Found")),"")</f>
        <v/>
      </c>
      <c r="G23" s="1" t="str">
        <f t="array" ref="G23">IF(NOT(ISBLANK(A23)), ((_xlfn.XLOOKUP(A23,Index!$B$2:$B$995,Index!$F$2:$F$995,"Not Found"))*B23),"")</f>
        <v/>
      </c>
    </row>
    <row r="24">
      <c r="C24" s="1" t="str">
        <f t="array" ref="C24">IF(NOT(ISBLANK($A24)), (_xlfn.XLOOKUP($A24,Index!$B$2:$B$995,Index!$C$2:$C$995,"Not Found")),"")</f>
        <v/>
      </c>
      <c r="D24" s="1" t="str">
        <f t="array" ref="D24">IF(NOT(ISBLANK(A24)), (_xlfn.XLOOKUP($A24,Index!$B$2:B$995,Index!$A$2:$A$995,"Not Found")),"")</f>
        <v/>
      </c>
      <c r="E24" s="2" t="str">
        <f t="array" ref="E24">IF(NOT(ISBLANK($A24)), (_xlfn.XLOOKUP($A24,Index!$B$2:$B$995,Index!$D$2:$D$995,"Not Found")),"")</f>
        <v/>
      </c>
      <c r="F24" s="1" t="str">
        <f t="array" ref="F24">IF(NOT(ISBLANK($A24)), (_xlfn.XLOOKUP($A24,Index!$B$2:$B$995,Index!$E$2:$E$995,"Not Found")),"")</f>
        <v/>
      </c>
      <c r="G24" s="1" t="str">
        <f t="array" ref="G24">IF(NOT(ISBLANK(A24)), ((_xlfn.XLOOKUP(A24,Index!$B$2:$B$995,Index!$F$2:$F$995,"Not Found"))*B24),"")</f>
        <v/>
      </c>
      <c r="K24" s="1" t="s">
        <v>732</v>
      </c>
      <c r="L24" s="1" t="s">
        <v>644</v>
      </c>
    </row>
    <row r="25">
      <c r="C25" s="1" t="str">
        <f t="array" ref="C25">IF(NOT(ISBLANK($A25)), (_xlfn.XLOOKUP($A25,Index!$B$2:$B$995,Index!$C$2:$C$995,"Not Found")),"")</f>
        <v/>
      </c>
      <c r="D25" s="1" t="str">
        <f t="array" ref="D25">IF(NOT(ISBLANK(A25)), (_xlfn.XLOOKUP($A25,Index!$B$2:B$995,Index!$A$2:$A$995,"Not Found")),"")</f>
        <v/>
      </c>
      <c r="E25" s="2" t="str">
        <f t="array" ref="E25">IF(NOT(ISBLANK($A25)), (_xlfn.XLOOKUP($A25,Index!$B$2:$B$995,Index!$D$2:$D$995,"Not Found")),"")</f>
        <v/>
      </c>
      <c r="F25" s="1" t="str">
        <f t="array" ref="F25">IF(NOT(ISBLANK($A25)), (_xlfn.XLOOKUP($A25,Index!$B$2:$B$995,Index!$E$2:$E$995,"Not Found")),"")</f>
        <v/>
      </c>
      <c r="G25" s="1" t="str">
        <f t="array" ref="G25">IF(NOT(ISBLANK(A25)), ((_xlfn.XLOOKUP(A25,Index!$B$2:$B$995,Index!$F$2:$F$995,"Not Found"))*B25),"")</f>
        <v/>
      </c>
    </row>
    <row r="26">
      <c r="C26" s="1" t="str">
        <f t="array" ref="C26">IF(NOT(ISBLANK($A26)), (_xlfn.XLOOKUP($A26,Index!$B$2:$B$995,Index!$C$2:$C$995,"Not Found")),"")</f>
        <v/>
      </c>
      <c r="D26" s="1" t="str">
        <f t="array" ref="D26">IF(NOT(ISBLANK(A26)), (_xlfn.XLOOKUP($A26,Index!$B$2:B$995,Index!$A$2:$A$995,"Not Found")),"")</f>
        <v/>
      </c>
      <c r="E26" s="2" t="str">
        <f t="array" ref="E26">IF(NOT(ISBLANK($A26)), (_xlfn.XLOOKUP($A26,Index!$B$2:$B$995,Index!$D$2:$D$995,"Not Found")),"")</f>
        <v/>
      </c>
      <c r="F26" s="1" t="str">
        <f t="array" ref="F26">IF(NOT(ISBLANK($A26)), (_xlfn.XLOOKUP($A26,Index!$B$2:$B$995,Index!$E$2:$E$995,"Not Found")),"")</f>
        <v/>
      </c>
      <c r="G26" s="1" t="str">
        <f t="array" ref="G26">IF(NOT(ISBLANK(A26)), ((_xlfn.XLOOKUP(A26,Index!$B$2:$B$995,Index!$F$2:$F$995,"Not Found"))*B26),"")</f>
        <v/>
      </c>
    </row>
    <row r="27">
      <c r="C27" s="1" t="str">
        <f t="array" ref="C27">IF(NOT(ISBLANK($A27)), (_xlfn.XLOOKUP($A27,Index!$B$2:$B$995,Index!$C$2:$C$995,"Not Found")),"")</f>
        <v/>
      </c>
      <c r="D27" s="1" t="str">
        <f t="array" ref="D27">IF(NOT(ISBLANK(A27)), (_xlfn.XLOOKUP($A27,Index!$B$2:B$995,Index!$A$2:$A$995,"Not Found")),"")</f>
        <v/>
      </c>
      <c r="E27" s="2" t="str">
        <f t="array" ref="E27">IF(NOT(ISBLANK($A27)), (_xlfn.XLOOKUP($A27,Index!$B$2:$B$995,Index!$D$2:$D$995,"Not Found")),"")</f>
        <v/>
      </c>
      <c r="F27" s="1" t="str">
        <f t="array" ref="F27">IF(NOT(ISBLANK($A27)), (_xlfn.XLOOKUP($A27,Index!$B$2:$B$995,Index!$E$2:$E$995,"Not Found")),"")</f>
        <v/>
      </c>
      <c r="G27" s="1" t="str">
        <f t="array" ref="G27">IF(NOT(ISBLANK(A27)), ((_xlfn.XLOOKUP(A27,Index!$B$2:$B$995,Index!$F$2:$F$995,"Not Found"))*B27),"")</f>
        <v/>
      </c>
    </row>
    <row r="28">
      <c r="C28" s="1" t="str">
        <f t="array" ref="C28">IF(NOT(ISBLANK($A28)), (_xlfn.XLOOKUP($A28,Index!$B$2:$B$995,Index!$C$2:$C$995,"Not Found")),"")</f>
        <v/>
      </c>
      <c r="D28" s="1" t="str">
        <f t="array" ref="D28">IF(NOT(ISBLANK(A28)), (_xlfn.XLOOKUP($A28,Index!$B$2:B$995,Index!$A$2:$A$995,"Not Found")),"")</f>
        <v/>
      </c>
      <c r="E28" s="2" t="str">
        <f t="array" ref="E28">IF(NOT(ISBLANK($A28)), (_xlfn.XLOOKUP($A28,Index!$B$2:$B$995,Index!$D$2:$D$995,"Not Found")),"")</f>
        <v/>
      </c>
      <c r="F28" s="1" t="str">
        <f t="array" ref="F28">IF(NOT(ISBLANK($A28)), (_xlfn.XLOOKUP($A28,Index!$B$2:$B$995,Index!$E$2:$E$995,"Not Found")),"")</f>
        <v/>
      </c>
      <c r="G28" s="1" t="str">
        <f t="array" ref="G28">IF(NOT(ISBLANK(A28)), ((_xlfn.XLOOKUP(A28,Index!$B$2:$B$995,Index!$F$2:$F$995,"Not Found"))*B28),"")</f>
        <v/>
      </c>
    </row>
    <row r="29">
      <c r="C29" s="1" t="str">
        <f t="array" ref="C29">IF(NOT(ISBLANK($A29)), (_xlfn.XLOOKUP($A29,Index!$B$2:$B$995,Index!$C$2:$C$995,"Not Found")),"")</f>
        <v/>
      </c>
      <c r="D29" s="1" t="str">
        <f t="array" ref="D29">IF(NOT(ISBLANK(A29)), (_xlfn.XLOOKUP($A29,Index!$B$2:B$995,Index!$A$2:$A$995,"Not Found")),"")</f>
        <v/>
      </c>
      <c r="E29" s="2" t="str">
        <f t="array" ref="E29">IF(NOT(ISBLANK($A29)), (_xlfn.XLOOKUP($A29,Index!$B$2:$B$995,Index!$D$2:$D$995,"Not Found")),"")</f>
        <v/>
      </c>
      <c r="F29" s="1" t="str">
        <f t="array" ref="F29">IF(NOT(ISBLANK($A29)), (_xlfn.XLOOKUP($A29,Index!$B$2:$B$995,Index!$E$2:$E$995,"Not Found")),"")</f>
        <v/>
      </c>
      <c r="G29" s="1" t="str">
        <f t="array" ref="G29">IF(NOT(ISBLANK(A29)), ((_xlfn.XLOOKUP(A29,Index!$B$2:$B$995,Index!$F$2:$F$995,"Not Found"))*B29),"")</f>
        <v/>
      </c>
    </row>
    <row r="30">
      <c r="C30" s="1" t="str">
        <f t="array" ref="C30">IF(NOT(ISBLANK($A30)), (_xlfn.XLOOKUP($A30,Index!$B$2:$B$995,Index!$C$2:$C$995,"Not Found")),"")</f>
        <v/>
      </c>
      <c r="D30" s="1" t="str">
        <f t="array" ref="D30">IF(NOT(ISBLANK(A30)), (_xlfn.XLOOKUP($A30,Index!$B$2:B$995,Index!$A$2:$A$995,"Not Found")),"")</f>
        <v/>
      </c>
      <c r="E30" s="2" t="str">
        <f t="array" ref="E30">IF(NOT(ISBLANK($A30)), (_xlfn.XLOOKUP($A30,Index!$B$2:$B$995,Index!$D$2:$D$995,"Not Found")),"")</f>
        <v/>
      </c>
      <c r="F30" s="1" t="str">
        <f t="array" ref="F30">IF(NOT(ISBLANK($A30)), (_xlfn.XLOOKUP($A30,Index!$B$2:$B$995,Index!$E$2:$E$995,"Not Found")),"")</f>
        <v/>
      </c>
      <c r="G30" s="1" t="str">
        <f t="array" ref="G30">IF(NOT(ISBLANK(A30)), ((_xlfn.XLOOKUP(A30,Index!$B$2:$B$995,Index!$F$2:$F$995,"Not Found"))*B30),"")</f>
        <v/>
      </c>
    </row>
    <row r="31">
      <c r="C31" s="1" t="str">
        <f t="array" ref="C31">IF(NOT(ISBLANK($A31)), (_xlfn.XLOOKUP($A31,Index!$B$2:$B$995,Index!$C$2:$C$995,"Not Found")),"")</f>
        <v/>
      </c>
      <c r="D31" s="1" t="str">
        <f t="array" ref="D31">IF(NOT(ISBLANK(A31)), (_xlfn.XLOOKUP($A31,Index!$B$2:B$995,Index!$A$2:$A$995,"Not Found")),"")</f>
        <v/>
      </c>
      <c r="E31" s="2" t="str">
        <f t="array" ref="E31">IF(NOT(ISBLANK($A31)), (_xlfn.XLOOKUP($A31,Index!$B$2:$B$995,Index!$D$2:$D$995,"Not Found")),"")</f>
        <v/>
      </c>
      <c r="F31" s="1" t="str">
        <f t="array" ref="F31">IF(NOT(ISBLANK($A31)), (_xlfn.XLOOKUP($A31,Index!$B$2:$B$995,Index!$E$2:$E$995,"Not Found")),"")</f>
        <v/>
      </c>
      <c r="G31" s="1" t="str">
        <f t="array" ref="G31">IF(NOT(ISBLANK(A31)), ((_xlfn.XLOOKUP(A31,Index!$B$2:$B$995,Index!$F$2:$F$995,"Not Found"))*B31),"")</f>
        <v/>
      </c>
    </row>
    <row r="32">
      <c r="C32" s="1" t="str">
        <f t="array" ref="C32">IF(NOT(ISBLANK($A32)), (_xlfn.XLOOKUP($A32,Index!$B$2:$B$995,Index!$C$2:$C$995,"Not Found")),"")</f>
        <v/>
      </c>
      <c r="D32" s="1" t="str">
        <f t="array" ref="D32">IF(NOT(ISBLANK(A32)), (_xlfn.XLOOKUP($A32,Index!$B$2:B$995,Index!$A$2:$A$995,"Not Found")),"")</f>
        <v/>
      </c>
      <c r="E32" s="2" t="str">
        <f t="array" ref="E32">IF(NOT(ISBLANK($A32)), (_xlfn.XLOOKUP($A32,Index!$B$2:$B$995,Index!$D$2:$D$995,"Not Found")),"")</f>
        <v/>
      </c>
      <c r="F32" s="1" t="str">
        <f t="array" ref="F32">IF(NOT(ISBLANK($A32)), (_xlfn.XLOOKUP($A32,Index!$B$2:$B$995,Index!$E$2:$E$995,"Not Found")),"")</f>
        <v/>
      </c>
      <c r="G32" s="1" t="str">
        <f t="array" ref="G32">IF(NOT(ISBLANK(A32)), ((_xlfn.XLOOKUP(A32,Index!$B$2:$B$995,Index!$F$2:$F$995,"Not Found"))*B32),"")</f>
        <v/>
      </c>
    </row>
    <row r="33">
      <c r="C33" s="1" t="str">
        <f t="array" ref="C33">IF(NOT(ISBLANK($A33)), (_xlfn.XLOOKUP($A33,Index!$B$2:$B$995,Index!$C$2:$C$995,"Not Found")),"")</f>
        <v/>
      </c>
      <c r="D33" s="1" t="str">
        <f t="array" ref="D33">IF(NOT(ISBLANK(A33)), (_xlfn.XLOOKUP($A33,Index!$B$2:B$995,Index!$A$2:$A$995,"Not Found")),"")</f>
        <v/>
      </c>
      <c r="E33" s="2" t="str">
        <f t="array" ref="E33">IF(NOT(ISBLANK($A33)), (_xlfn.XLOOKUP($A33,Index!$B$2:$B$995,Index!$D$2:$D$995,"Not Found")),"")</f>
        <v/>
      </c>
      <c r="F33" s="1" t="str">
        <f t="array" ref="F33">IF(NOT(ISBLANK($A33)), (_xlfn.XLOOKUP($A33,Index!$B$2:$B$995,Index!$E$2:$E$995,"Not Found")),"")</f>
        <v/>
      </c>
      <c r="G33" s="1" t="str">
        <f t="array" ref="G33">IF(NOT(ISBLANK(A33)), ((_xlfn.XLOOKUP(A33,Index!$B$2:$B$995,Index!$F$2:$F$995,"Not Found"))*B33),"")</f>
        <v/>
      </c>
    </row>
    <row r="34">
      <c r="C34" s="1" t="str">
        <f t="array" ref="C34">IF(NOT(ISBLANK($A34)), (_xlfn.XLOOKUP($A34,Index!$B$2:$B$995,Index!$C$2:$C$995,"Not Found")),"")</f>
        <v/>
      </c>
      <c r="D34" s="1" t="str">
        <f t="array" ref="D34">IF(NOT(ISBLANK(A34)), (_xlfn.XLOOKUP($A34,Index!$B$2:B$995,Index!$A$2:$A$995,"Not Found")),"")</f>
        <v/>
      </c>
      <c r="E34" s="2" t="str">
        <f t="array" ref="E34">IF(NOT(ISBLANK($A34)), (_xlfn.XLOOKUP($A34,Index!$B$2:$B$995,Index!$D$2:$D$995,"Not Found")),"")</f>
        <v/>
      </c>
      <c r="F34" s="1" t="str">
        <f t="array" ref="F34">IF(NOT(ISBLANK($A34)), (_xlfn.XLOOKUP($A34,Index!$B$2:$B$995,Index!$E$2:$E$995,"Not Found")),"")</f>
        <v/>
      </c>
      <c r="G34" s="1" t="str">
        <f t="array" ref="G34">IF(NOT(ISBLANK(A34)), ((_xlfn.XLOOKUP(A34,Index!$B$2:$B$995,Index!$F$2:$F$995,"Not Found"))*B34),"")</f>
        <v/>
      </c>
    </row>
    <row r="35">
      <c r="C35" s="1" t="str">
        <f t="array" ref="C35">IF(NOT(ISBLANK($A35)), (_xlfn.XLOOKUP($A35,Index!$B$2:$B$995,Index!$C$2:$C$995,"Not Found")),"")</f>
        <v/>
      </c>
      <c r="D35" s="1" t="str">
        <f t="array" ref="D35">IF(NOT(ISBLANK(A35)), (_xlfn.XLOOKUP($A35,Index!$B$2:B$995,Index!$A$2:$A$995,"Not Found")),"")</f>
        <v/>
      </c>
      <c r="E35" s="2" t="str">
        <f t="array" ref="E35">IF(NOT(ISBLANK($A35)), (_xlfn.XLOOKUP($A35,Index!$B$2:$B$995,Index!$D$2:$D$995,"Not Found")),"")</f>
        <v/>
      </c>
      <c r="F35" s="1" t="str">
        <f t="array" ref="F35">IF(NOT(ISBLANK($A35)), (_xlfn.XLOOKUP($A35,Index!$B$2:$B$995,Index!$E$2:$E$995,"Not Found")),"")</f>
        <v/>
      </c>
      <c r="G35" s="1" t="str">
        <f t="array" ref="G35">IF(NOT(ISBLANK(A35)), ((_xlfn.XLOOKUP(A35,Index!$B$2:$B$995,Index!$F$2:$F$995,"Not Found"))*B35),"")</f>
        <v/>
      </c>
    </row>
    <row r="36">
      <c r="C36" s="1" t="str">
        <f t="array" ref="C36">IF(NOT(ISBLANK($A36)), (_xlfn.XLOOKUP($A36,Index!$B$2:$B$995,Index!$C$2:$C$995,"Not Found")),"")</f>
        <v/>
      </c>
      <c r="D36" s="1" t="str">
        <f t="array" ref="D36">IF(NOT(ISBLANK(A36)), (_xlfn.XLOOKUP($A36,Index!$B$2:B$995,Index!$A$2:$A$995,"Not Found")),"")</f>
        <v/>
      </c>
      <c r="E36" s="2" t="str">
        <f t="array" ref="E36">IF(NOT(ISBLANK($A36)), (_xlfn.XLOOKUP($A36,Index!$B$2:$B$995,Index!$D$2:$D$995,"Not Found")),"")</f>
        <v/>
      </c>
      <c r="F36" s="1" t="str">
        <f t="array" ref="F36">IF(NOT(ISBLANK($A36)), (_xlfn.XLOOKUP($A36,Index!$B$2:$B$995,Index!$E$2:$E$995,"Not Found")),"")</f>
        <v/>
      </c>
      <c r="G36" s="1" t="str">
        <f t="array" ref="G36">IF(NOT(ISBLANK(A36)), ((_xlfn.XLOOKUP(A36,Index!$B$2:$B$995,Index!$F$2:$F$995,"Not Found"))*B36),"")</f>
        <v/>
      </c>
    </row>
    <row r="37">
      <c r="C37" s="1" t="str">
        <f t="array" ref="C37">IF(NOT(ISBLANK($A37)), (_xlfn.XLOOKUP($A37,Index!$B$2:$B$995,Index!$C$2:$C$995,"Not Found")),"")</f>
        <v/>
      </c>
      <c r="D37" s="1" t="str">
        <f t="array" ref="D37">IF(NOT(ISBLANK(A37)), (_xlfn.XLOOKUP($A37,Index!$B$2:B$995,Index!$A$2:$A$995,"Not Found")),"")</f>
        <v/>
      </c>
      <c r="E37" s="2" t="str">
        <f t="array" ref="E37">IF(NOT(ISBLANK($A37)), (_xlfn.XLOOKUP($A37,Index!$B$2:$B$995,Index!$D$2:$D$995,"Not Found")),"")</f>
        <v/>
      </c>
      <c r="F37" s="1" t="str">
        <f t="array" ref="F37">IF(NOT(ISBLANK($A37)), (_xlfn.XLOOKUP($A37,Index!$B$2:$B$995,Index!$E$2:$E$995,"Not Found")),"")</f>
        <v/>
      </c>
      <c r="G37" s="1" t="str">
        <f t="array" ref="G37">IF(NOT(ISBLANK(A37)), ((_xlfn.XLOOKUP(A37,Index!$B$2:$B$995,Index!$F$2:$F$995,"Not Found"))*B37),"")</f>
        <v/>
      </c>
    </row>
    <row r="38">
      <c r="C38" s="1" t="str">
        <f t="array" ref="C38">IF(NOT(ISBLANK($A38)), (_xlfn.XLOOKUP($A38,Index!$B$2:$B$995,Index!$C$2:$C$995,"Not Found")),"")</f>
        <v/>
      </c>
      <c r="D38" s="1" t="str">
        <f t="array" ref="D38">IF(NOT(ISBLANK(A38)), (_xlfn.XLOOKUP($A38,Index!$B$2:B$995,Index!$A$2:$A$995,"Not Found")),"")</f>
        <v/>
      </c>
      <c r="E38" s="2" t="str">
        <f t="array" ref="E38">IF(NOT(ISBLANK($A38)), (_xlfn.XLOOKUP($A38,Index!$B$2:$B$995,Index!$D$2:$D$995,"Not Found")),"")</f>
        <v/>
      </c>
      <c r="F38" s="1" t="str">
        <f t="array" ref="F38">IF(NOT(ISBLANK($A38)), (_xlfn.XLOOKUP($A38,Index!$B$2:$B$995,Index!$E$2:$E$995,"Not Found")),"")</f>
        <v/>
      </c>
      <c r="G38" s="1" t="str">
        <f t="array" ref="G38">IF(NOT(ISBLANK(A38)), ((_xlfn.XLOOKUP(A38,Index!$B$2:$B$995,Index!$F$2:$F$995,"Not Found"))*B38),"")</f>
        <v/>
      </c>
    </row>
    <row r="39">
      <c r="C39" s="1" t="str">
        <f t="array" ref="C39">IF(NOT(ISBLANK($A39)), (_xlfn.XLOOKUP($A39,Index!$B$2:$B$995,Index!$C$2:$C$995,"Not Found")),"")</f>
        <v/>
      </c>
      <c r="D39" s="1" t="str">
        <f t="array" ref="D39">IF(NOT(ISBLANK(A39)), (_xlfn.XLOOKUP($A39,Index!$B$2:B$995,Index!$A$2:$A$995,"Not Found")),"")</f>
        <v/>
      </c>
      <c r="E39" s="2" t="str">
        <f t="array" ref="E39">IF(NOT(ISBLANK($A39)), (_xlfn.XLOOKUP($A39,Index!$B$2:$B$995,Index!$D$2:$D$995,"Not Found")),"")</f>
        <v/>
      </c>
      <c r="F39" s="1" t="str">
        <f t="array" ref="F39">IF(NOT(ISBLANK($A39)), (_xlfn.XLOOKUP($A39,Index!$B$2:$B$995,Index!$E$2:$E$995,"Not Found")),"")</f>
        <v/>
      </c>
      <c r="G39" s="1" t="str">
        <f t="array" ref="G39">IF(NOT(ISBLANK(A39)), ((_xlfn.XLOOKUP(A39,Index!$B$2:$B$995,Index!$F$2:$F$995,"Not Found"))*B39),"")</f>
        <v/>
      </c>
    </row>
    <row r="40">
      <c r="C40" s="1" t="str">
        <f t="array" ref="C40">IF(NOT(ISBLANK($A40)), (_xlfn.XLOOKUP($A40,Index!$B$2:$B$995,Index!$C$2:$C$995,"Not Found")),"")</f>
        <v/>
      </c>
      <c r="D40" s="1" t="str">
        <f t="array" ref="D40">IF(NOT(ISBLANK(A40)), (_xlfn.XLOOKUP($A40,Index!$B$2:B$995,Index!$A$2:$A$995,"Not Found")),"")</f>
        <v/>
      </c>
      <c r="E40" s="2" t="str">
        <f t="array" ref="E40">IF(NOT(ISBLANK($A40)), (_xlfn.XLOOKUP($A40,Index!$B$2:$B$995,Index!$D$2:$D$995,"Not Found")),"")</f>
        <v/>
      </c>
      <c r="F40" s="1" t="str">
        <f t="array" ref="F40">IF(NOT(ISBLANK($A40)), (_xlfn.XLOOKUP($A40,Index!$B$2:$B$995,Index!$E$2:$E$995,"Not Found")),"")</f>
        <v/>
      </c>
      <c r="G40" s="1" t="str">
        <f t="array" ref="G40">IF(NOT(ISBLANK(A40)), ((_xlfn.XLOOKUP(A40,Index!$B$2:$B$995,Index!$F$2:$F$995,"Not Found"))*B40),"")</f>
        <v/>
      </c>
    </row>
    <row r="41">
      <c r="C41" s="1" t="str">
        <f t="array" ref="C41">IF(NOT(ISBLANK($A41)), (_xlfn.XLOOKUP($A41,Index!$B$2:$B$995,Index!$C$2:$C$995,"Not Found")),"")</f>
        <v/>
      </c>
      <c r="D41" s="1" t="str">
        <f t="array" ref="D41">IF(NOT(ISBLANK(A41)), (_xlfn.XLOOKUP($A41,Index!$B$2:B$995,Index!$A$2:$A$995,"Not Found")),"")</f>
        <v/>
      </c>
      <c r="E41" s="2" t="str">
        <f t="array" ref="E41">IF(NOT(ISBLANK($A41)), (_xlfn.XLOOKUP($A41,Index!$B$2:$B$995,Index!$D$2:$D$995,"Not Found")),"")</f>
        <v/>
      </c>
      <c r="F41" s="1" t="str">
        <f t="array" ref="F41">IF(NOT(ISBLANK($A41)), (_xlfn.XLOOKUP($A41,Index!$B$2:$B$995,Index!$E$2:$E$995,"Not Found")),"")</f>
        <v/>
      </c>
      <c r="G41" s="1" t="str">
        <f t="array" ref="G41">IF(NOT(ISBLANK(A41)), ((_xlfn.XLOOKUP(A41,Index!$B$2:$B$995,Index!$F$2:$F$995,"Not Found"))*B41),"")</f>
        <v/>
      </c>
    </row>
    <row r="42">
      <c r="C42" s="1" t="str">
        <f t="array" ref="C42">IF(NOT(ISBLANK($A42)), (_xlfn.XLOOKUP($A42,Index!$B$2:$B$995,Index!$C$2:$C$995,"Not Found")),"")</f>
        <v/>
      </c>
      <c r="D42" s="1" t="str">
        <f t="array" ref="D42">IF(NOT(ISBLANK(A42)), (_xlfn.XLOOKUP($A42,Index!$B$2:B$995,Index!$A$2:$A$995,"Not Found")),"")</f>
        <v/>
      </c>
      <c r="E42" s="2" t="str">
        <f t="array" ref="E42">IF(NOT(ISBLANK($A42)), (_xlfn.XLOOKUP($A42,Index!$B$2:$B$995,Index!$D$2:$D$995,"Not Found")),"")</f>
        <v/>
      </c>
      <c r="F42" s="1" t="str">
        <f t="array" ref="F42">IF(NOT(ISBLANK($A42)), (_xlfn.XLOOKUP($A42,Index!$B$2:$B$995,Index!$E$2:$E$995,"Not Found")),"")</f>
        <v/>
      </c>
      <c r="G42" s="1" t="str">
        <f t="array" ref="G42">IF(NOT(ISBLANK(A42)), ((_xlfn.XLOOKUP(A42,Index!$B$2:$B$995,Index!$F$2:$F$995,"Not Found"))*B42),"")</f>
        <v/>
      </c>
    </row>
    <row r="43">
      <c r="C43" s="1" t="str">
        <f t="array" ref="C43">IF(NOT(ISBLANK($A43)), (_xlfn.XLOOKUP($A43,Index!$B$2:$B$995,Index!$C$2:$C$995,"Not Found")),"")</f>
        <v/>
      </c>
      <c r="D43" s="1" t="str">
        <f t="array" ref="D43">IF(NOT(ISBLANK(A43)), (_xlfn.XLOOKUP($A43,Index!$B$2:B$995,Index!$A$2:$A$995,"Not Found")),"")</f>
        <v/>
      </c>
      <c r="E43" s="2" t="str">
        <f t="array" ref="E43">IF(NOT(ISBLANK($A43)), (_xlfn.XLOOKUP($A43,Index!$B$2:$B$995,Index!$D$2:$D$995,"Not Found")),"")</f>
        <v/>
      </c>
      <c r="F43" s="1" t="str">
        <f t="array" ref="F43">IF(NOT(ISBLANK($A43)), (_xlfn.XLOOKUP($A43,Index!$B$2:$B$995,Index!$E$2:$E$995,"Not Found")),"")</f>
        <v/>
      </c>
      <c r="G43" s="1" t="str">
        <f t="array" ref="G43">IF(NOT(ISBLANK(A43)), ((_xlfn.XLOOKUP(A43,Index!$B$2:$B$995,Index!$F$2:$F$995,"Not Found"))*B43),"")</f>
        <v/>
      </c>
    </row>
    <row r="44">
      <c r="C44" s="1" t="str">
        <f t="array" ref="C44">IF(NOT(ISBLANK($A44)), (_xlfn.XLOOKUP($A44,Index!$B$2:$B$995,Index!$C$2:$C$995,"Not Found")),"")</f>
        <v/>
      </c>
      <c r="D44" s="1" t="str">
        <f t="array" ref="D44">IF(NOT(ISBLANK(A44)), (_xlfn.XLOOKUP($A44,Index!$B$2:B$995,Index!$A$2:$A$995,"Not Found")),"")</f>
        <v/>
      </c>
      <c r="E44" s="2" t="str">
        <f t="array" ref="E44">IF(NOT(ISBLANK($A44)), (_xlfn.XLOOKUP($A44,Index!$B$2:$B$995,Index!$D$2:$D$995,"Not Found")),"")</f>
        <v/>
      </c>
      <c r="F44" s="1" t="str">
        <f t="array" ref="F44">IF(NOT(ISBLANK($A44)), (_xlfn.XLOOKUP($A44,Index!$B$2:$B$995,Index!$E$2:$E$995,"Not Found")),"")</f>
        <v/>
      </c>
      <c r="G44" s="1" t="str">
        <f t="array" ref="G44">IF(NOT(ISBLANK(A44)), ((_xlfn.XLOOKUP(A44,Index!$B$2:$B$995,Index!$F$2:$F$995,"Not Found"))*B44),"")</f>
        <v/>
      </c>
    </row>
    <row r="45">
      <c r="C45" s="1" t="str">
        <f t="array" ref="C45">IF(NOT(ISBLANK($A45)), (_xlfn.XLOOKUP($A45,Index!$B$2:$B$995,Index!$C$2:$C$995,"Not Found")),"")</f>
        <v/>
      </c>
      <c r="D45" s="1" t="str">
        <f t="array" ref="D45">IF(NOT(ISBLANK(A45)), (_xlfn.XLOOKUP($A45,Index!$B$2:B$995,Index!$A$2:$A$995,"Not Found")),"")</f>
        <v/>
      </c>
      <c r="E45" s="2" t="str">
        <f t="array" ref="E45">IF(NOT(ISBLANK($A45)), (_xlfn.XLOOKUP($A45,Index!$B$2:$B$995,Index!$D$2:$D$995,"Not Found")),"")</f>
        <v/>
      </c>
      <c r="F45" s="1" t="str">
        <f t="array" ref="F45">IF(NOT(ISBLANK($A45)), (_xlfn.XLOOKUP($A45,Index!$B$2:$B$995,Index!$E$2:$E$995,"Not Found")),"")</f>
        <v/>
      </c>
      <c r="G45" s="1" t="str">
        <f t="array" ref="G45">IF(NOT(ISBLANK(A45)), ((_xlfn.XLOOKUP(A45,Index!$B$2:$B$995,Index!$F$2:$F$995,"Not Found"))*B45),"")</f>
        <v/>
      </c>
    </row>
    <row r="46">
      <c r="C46" s="1" t="str">
        <f t="array" ref="C46">IF(NOT(ISBLANK($A46)), (_xlfn.XLOOKUP($A46,Index!$B$2:$B$995,Index!$C$2:$C$995,"Not Found")),"")</f>
        <v/>
      </c>
      <c r="D46" s="1" t="str">
        <f t="array" ref="D46">IF(NOT(ISBLANK(A46)), (_xlfn.XLOOKUP($A46,Index!$B$2:B$995,Index!$A$2:$A$995,"Not Found")),"")</f>
        <v/>
      </c>
      <c r="E46" s="2" t="str">
        <f t="array" ref="E46">IF(NOT(ISBLANK($A46)), (_xlfn.XLOOKUP($A46,Index!$B$2:$B$995,Index!$D$2:$D$995,"Not Found")),"")</f>
        <v/>
      </c>
      <c r="F46" s="1" t="str">
        <f t="array" ref="F46">IF(NOT(ISBLANK($A46)), (_xlfn.XLOOKUP($A46,Index!$B$2:$B$995,Index!$E$2:$E$995,"Not Found")),"")</f>
        <v/>
      </c>
      <c r="G46" s="1" t="str">
        <f t="array" ref="G46">IF(NOT(ISBLANK(A46)), ((_xlfn.XLOOKUP(A46,Index!$B$2:$B$995,Index!$F$2:$F$995,"Not Found"))*B46),"")</f>
        <v/>
      </c>
    </row>
    <row r="47">
      <c r="C47" s="1" t="str">
        <f t="array" ref="C47">IF(NOT(ISBLANK($A47)), (_xlfn.XLOOKUP($A47,Index!$B$2:$B$995,Index!$C$2:$C$995,"Not Found")),"")</f>
        <v/>
      </c>
      <c r="D47" s="1" t="str">
        <f t="array" ref="D47">IF(NOT(ISBLANK(A47)), (_xlfn.XLOOKUP($A47,Index!$B$2:B$995,Index!$A$2:$A$995,"Not Found")),"")</f>
        <v/>
      </c>
      <c r="E47" s="2" t="str">
        <f t="array" ref="E47">IF(NOT(ISBLANK($A47)), (_xlfn.XLOOKUP($A47,Index!$B$2:$B$995,Index!$D$2:$D$995,"Not Found")),"")</f>
        <v/>
      </c>
      <c r="F47" s="1" t="str">
        <f t="array" ref="F47">IF(NOT(ISBLANK($A47)), (_xlfn.XLOOKUP($A47,Index!$B$2:$B$995,Index!$E$2:$E$995,"Not Found")),"")</f>
        <v/>
      </c>
      <c r="G47" s="1" t="str">
        <f t="array" ref="G47">IF(NOT(ISBLANK(A47)), ((_xlfn.XLOOKUP(A47,Index!$B$2:$B$995,Index!$F$2:$F$995,"Not Found"))*B47),"")</f>
        <v/>
      </c>
    </row>
    <row r="48">
      <c r="C48" s="1" t="str">
        <f t="array" ref="C48">IF(NOT(ISBLANK($A48)), (_xlfn.XLOOKUP($A48,Index!$B$2:$B$995,Index!$C$2:$C$995,"Not Found")),"")</f>
        <v/>
      </c>
      <c r="D48" s="1" t="str">
        <f t="array" ref="D48">IF(NOT(ISBLANK(A48)), (_xlfn.XLOOKUP($A48,Index!$B$2:B$995,Index!$A$2:$A$995,"Not Found")),"")</f>
        <v/>
      </c>
      <c r="E48" s="2" t="str">
        <f t="array" ref="E48">IF(NOT(ISBLANK($A48)), (_xlfn.XLOOKUP($A48,Index!$B$2:$B$995,Index!$D$2:$D$995,"Not Found")),"")</f>
        <v/>
      </c>
      <c r="F48" s="1" t="str">
        <f t="array" ref="F48">IF(NOT(ISBLANK($A48)), (_xlfn.XLOOKUP($A48,Index!$B$2:$B$995,Index!$E$2:$E$995,"Not Found")),"")</f>
        <v/>
      </c>
      <c r="G48" s="1" t="str">
        <f t="array" ref="G48">IF(NOT(ISBLANK(A48)), ((_xlfn.XLOOKUP(A48,Index!$B$2:$B$995,Index!$F$2:$F$995,"Not Found"))*B48),"")</f>
        <v/>
      </c>
    </row>
    <row r="49">
      <c r="C49" s="1" t="str">
        <f t="array" ref="C49">IF(NOT(ISBLANK($A49)), (_xlfn.XLOOKUP($A49,Index!$B$2:$B$995,Index!$C$2:$C$995,"Not Found")),"")</f>
        <v/>
      </c>
      <c r="D49" s="1" t="str">
        <f t="array" ref="D49">IF(NOT(ISBLANK(A49)), (_xlfn.XLOOKUP($A49,Index!$B$2:B$995,Index!$A$2:$A$995,"Not Found")),"")</f>
        <v/>
      </c>
      <c r="E49" s="2" t="str">
        <f t="array" ref="E49">IF(NOT(ISBLANK($A49)), (_xlfn.XLOOKUP($A49,Index!$B$2:$B$995,Index!$D$2:$D$995,"Not Found")),"")</f>
        <v/>
      </c>
      <c r="F49" s="1" t="str">
        <f t="array" ref="F49">IF(NOT(ISBLANK($A49)), (_xlfn.XLOOKUP($A49,Index!$B$2:$B$995,Index!$E$2:$E$995,"Not Found")),"")</f>
        <v/>
      </c>
      <c r="G49" s="1" t="str">
        <f t="array" ref="G49">IF(NOT(ISBLANK(A49)), ((_xlfn.XLOOKUP(A49,Index!$B$2:$B$995,Index!$F$2:$F$995,"Not Found"))*B49),"")</f>
        <v/>
      </c>
    </row>
    <row r="50">
      <c r="C50" s="1" t="str">
        <f t="array" ref="C50">IF(NOT(ISBLANK($A50)), (_xlfn.XLOOKUP($A50,Index!$B$2:$B$995,Index!$C$2:$C$995,"Not Found")),"")</f>
        <v/>
      </c>
      <c r="D50" s="1" t="str">
        <f t="array" ref="D50">IF(NOT(ISBLANK(A50)), (_xlfn.XLOOKUP($A50,Index!$B$2:B$995,Index!$A$2:$A$995,"Not Found")),"")</f>
        <v/>
      </c>
      <c r="E50" s="2" t="str">
        <f t="array" ref="E50">IF(NOT(ISBLANK($A50)), (_xlfn.XLOOKUP($A50,Index!$B$2:$B$995,Index!$D$2:$D$995,"Not Found")),"")</f>
        <v/>
      </c>
      <c r="F50" s="1" t="str">
        <f t="array" ref="F50">IF(NOT(ISBLANK($A50)), (_xlfn.XLOOKUP($A50,Index!$B$2:$B$995,Index!$E$2:$E$995,"Not Found")),"")</f>
        <v/>
      </c>
      <c r="G50" s="1" t="str">
        <f t="array" ref="G50">IF(NOT(ISBLANK(A50)), ((_xlfn.XLOOKUP(A50,Index!$B$2:$B$995,Index!$F$2:$F$995,"Not Found"))*B50),"")</f>
        <v/>
      </c>
    </row>
    <row r="51">
      <c r="C51" s="1" t="str">
        <f t="array" ref="C51">IF(NOT(ISBLANK($A51)), (_xlfn.XLOOKUP($A51,Index!$B$2:$B$995,Index!$C$2:$C$995,"Not Found")),"")</f>
        <v/>
      </c>
      <c r="D51" s="1" t="str">
        <f t="array" ref="D51">IF(NOT(ISBLANK(A51)), (_xlfn.XLOOKUP($A51,Index!$B$2:B$995,Index!$A$2:$A$995,"Not Found")),"")</f>
        <v/>
      </c>
      <c r="E51" s="2" t="str">
        <f t="array" ref="E51">IF(NOT(ISBLANK($A51)), (_xlfn.XLOOKUP($A51,Index!$B$2:$B$995,Index!$D$2:$D$995,"Not Found")),"")</f>
        <v/>
      </c>
      <c r="F51" s="1" t="str">
        <f t="array" ref="F51">IF(NOT(ISBLANK($A51)), (_xlfn.XLOOKUP($A51,Index!$B$2:$B$995,Index!$E$2:$E$995,"Not Found")),"")</f>
        <v/>
      </c>
      <c r="G51" s="1" t="str">
        <f t="array" ref="G51">IF(NOT(ISBLANK(A51)), ((_xlfn.XLOOKUP(A51,Index!$B$2:$B$995,Index!$F$2:$F$995,"Not Found"))*B51),"")</f>
        <v/>
      </c>
    </row>
    <row r="52">
      <c r="C52" s="1" t="str">
        <f t="array" ref="C52">IF(NOT(ISBLANK($A52)), (_xlfn.XLOOKUP($A52,Index!$B$2:$B$995,Index!$C$2:$C$995,"Not Found")),"")</f>
        <v/>
      </c>
      <c r="D52" s="1" t="str">
        <f t="array" ref="D52">IF(NOT(ISBLANK(A52)), (_xlfn.XLOOKUP($A52,Index!$B$2:B$995,Index!$A$2:$A$995,"Not Found")),"")</f>
        <v/>
      </c>
      <c r="E52" s="2" t="str">
        <f t="array" ref="E52">IF(NOT(ISBLANK($A52)), (_xlfn.XLOOKUP($A52,Index!$B$2:$B$995,Index!$D$2:$D$995,"Not Found")),"")</f>
        <v/>
      </c>
      <c r="F52" s="1" t="str">
        <f t="array" ref="F52">IF(NOT(ISBLANK($A52)), (_xlfn.XLOOKUP($A52,Index!$B$2:$B$995,Index!$E$2:$E$995,"Not Found")),"")</f>
        <v/>
      </c>
      <c r="G52" s="1" t="str">
        <f t="array" ref="G52">IF(NOT(ISBLANK(A52)), ((_xlfn.XLOOKUP(A52,Index!$B$2:$B$995,Index!$F$2:$F$995,"Not Found"))*B52),"")</f>
        <v/>
      </c>
    </row>
    <row r="53">
      <c r="C53" s="1" t="str">
        <f t="array" ref="C53">IF(NOT(ISBLANK($A53)), (_xlfn.XLOOKUP($A53,Index!$B$2:$B$995,Index!$C$2:$C$995,"Not Found")),"")</f>
        <v/>
      </c>
      <c r="D53" s="1" t="str">
        <f t="array" ref="D53">IF(NOT(ISBLANK(A53)), (_xlfn.XLOOKUP($A53,Index!$B$2:B$995,Index!$A$2:$A$995,"Not Found")),"")</f>
        <v/>
      </c>
      <c r="E53" s="2" t="str">
        <f t="array" ref="E53">IF(NOT(ISBLANK($A53)), (_xlfn.XLOOKUP($A53,Index!$B$2:$B$995,Index!$D$2:$D$995,"Not Found")),"")</f>
        <v/>
      </c>
      <c r="F53" s="1" t="str">
        <f t="array" ref="F53">IF(NOT(ISBLANK($A53)), (_xlfn.XLOOKUP($A53,Index!$B$2:$B$995,Index!$E$2:$E$995,"Not Found")),"")</f>
        <v/>
      </c>
      <c r="G53" s="1" t="str">
        <f t="array" ref="G53">IF(NOT(ISBLANK(A53)), ((_xlfn.XLOOKUP(A53,Index!$B$2:$B$995,Index!$F$2:$F$995,"Not Found"))*B53),"")</f>
        <v/>
      </c>
    </row>
    <row r="54">
      <c r="C54" s="1" t="str">
        <f t="array" ref="C54">IF(NOT(ISBLANK($A54)), (_xlfn.XLOOKUP($A54,Index!$B$2:$B$995,Index!$C$2:$C$995,"Not Found")),"")</f>
        <v/>
      </c>
      <c r="D54" s="1" t="str">
        <f t="array" ref="D54">IF(NOT(ISBLANK(A54)), (_xlfn.XLOOKUP($A54,Index!$B$2:B$995,Index!$A$2:$A$995,"Not Found")),"")</f>
        <v/>
      </c>
      <c r="E54" s="2" t="str">
        <f t="array" ref="E54">IF(NOT(ISBLANK($A54)), (_xlfn.XLOOKUP($A54,Index!$B$2:$B$995,Index!$D$2:$D$995,"Not Found")),"")</f>
        <v/>
      </c>
      <c r="F54" s="1" t="str">
        <f t="array" ref="F54">IF(NOT(ISBLANK($A54)), (_xlfn.XLOOKUP($A54,Index!$B$2:$B$995,Index!$E$2:$E$995,"Not Found")),"")</f>
        <v/>
      </c>
      <c r="G54" s="1" t="str">
        <f t="array" ref="G54">IF(NOT(ISBLANK(A54)), ((_xlfn.XLOOKUP(A54,Index!$B$2:$B$995,Index!$F$2:$F$995,"Not Found"))*B54),"")</f>
        <v/>
      </c>
    </row>
    <row r="55">
      <c r="C55" s="1" t="str">
        <f t="array" ref="C55">IF(NOT(ISBLANK($A55)), (_xlfn.XLOOKUP($A55,Index!$B$2:$B$995,Index!$C$2:$C$995,"Not Found")),"")</f>
        <v/>
      </c>
      <c r="D55" s="1" t="str">
        <f t="array" ref="D55">IF(NOT(ISBLANK(A55)), (_xlfn.XLOOKUP($A55,Index!$B$2:B$995,Index!$A$2:$A$995,"Not Found")),"")</f>
        <v/>
      </c>
      <c r="E55" s="2" t="str">
        <f t="array" ref="E55">IF(NOT(ISBLANK($A55)), (_xlfn.XLOOKUP($A55,Index!$B$2:$B$995,Index!$D$2:$D$995,"Not Found")),"")</f>
        <v/>
      </c>
      <c r="F55" s="1" t="str">
        <f t="array" ref="F55">IF(NOT(ISBLANK($A55)), (_xlfn.XLOOKUP($A55,Index!$B$2:$B$995,Index!$E$2:$E$995,"Not Found")),"")</f>
        <v/>
      </c>
      <c r="G55" s="1" t="str">
        <f t="array" ref="G55">IF(NOT(ISBLANK(A55)), ((_xlfn.XLOOKUP(A55,Index!$B$2:$B$995,Index!$F$2:$F$995,"Not Found"))*B55),"")</f>
        <v/>
      </c>
    </row>
    <row r="56">
      <c r="C56" s="1" t="str">
        <f t="array" ref="C56">IF(NOT(ISBLANK($A56)), (_xlfn.XLOOKUP($A56,Index!$B$2:$B$995,Index!$C$2:$C$995,"Not Found")),"")</f>
        <v/>
      </c>
      <c r="D56" s="1" t="str">
        <f t="array" ref="D56">IF(NOT(ISBLANK(A56)), (_xlfn.XLOOKUP($A56,Index!$B$2:B$995,Index!$A$2:$A$995,"Not Found")),"")</f>
        <v/>
      </c>
      <c r="E56" s="2" t="str">
        <f t="array" ref="E56">IF(NOT(ISBLANK($A56)), (_xlfn.XLOOKUP($A56,Index!$B$2:$B$995,Index!$D$2:$D$995,"Not Found")),"")</f>
        <v/>
      </c>
      <c r="F56" s="1" t="str">
        <f t="array" ref="F56">IF(NOT(ISBLANK($A56)), (_xlfn.XLOOKUP($A56,Index!$B$2:$B$995,Index!$E$2:$E$995,"Not Found")),"")</f>
        <v/>
      </c>
      <c r="G56" s="1" t="str">
        <f t="array" ref="G56">IF(NOT(ISBLANK(A56)), ((_xlfn.XLOOKUP(A56,Index!$B$2:$B$995,Index!$F$2:$F$995,"Not Found"))*B56),"")</f>
        <v/>
      </c>
    </row>
    <row r="57">
      <c r="C57" s="1" t="str">
        <f t="array" ref="C57">IF(NOT(ISBLANK($A57)), (_xlfn.XLOOKUP($A57,Index!$B$2:$B$995,Index!$C$2:$C$995,"Not Found")),"")</f>
        <v/>
      </c>
      <c r="D57" s="1" t="str">
        <f t="array" ref="D57">IF(NOT(ISBLANK(A57)), (_xlfn.XLOOKUP($A57,Index!$B$2:B$995,Index!$A$2:$A$995,"Not Found")),"")</f>
        <v/>
      </c>
      <c r="E57" s="2" t="str">
        <f t="array" ref="E57">IF(NOT(ISBLANK($A57)), (_xlfn.XLOOKUP($A57,Index!$B$2:$B$995,Index!$D$2:$D$995,"Not Found")),"")</f>
        <v/>
      </c>
      <c r="F57" s="1" t="str">
        <f t="array" ref="F57">IF(NOT(ISBLANK($A57)), (_xlfn.XLOOKUP($A57,Index!$B$2:$B$995,Index!$E$2:$E$995,"Not Found")),"")</f>
        <v/>
      </c>
      <c r="G57" s="1" t="str">
        <f t="array" ref="G57">IF(NOT(ISBLANK(A57)), ((_xlfn.XLOOKUP(A57,Index!$B$2:$B$995,Index!$F$2:$F$995,"Not Found"))*B57),"")</f>
        <v/>
      </c>
    </row>
    <row r="58">
      <c r="C58" s="1" t="str">
        <f t="array" ref="C58">IF(NOT(ISBLANK($A58)), (_xlfn.XLOOKUP($A58,Index!$B$2:$B$995,Index!$C$2:$C$995,"Not Found")),"")</f>
        <v/>
      </c>
      <c r="D58" s="1" t="str">
        <f t="array" ref="D58">IF(NOT(ISBLANK(A58)), (_xlfn.XLOOKUP($A58,Index!$B$2:B$995,Index!$A$2:$A$995,"Not Found")),"")</f>
        <v/>
      </c>
      <c r="E58" s="2" t="str">
        <f t="array" ref="E58">IF(NOT(ISBLANK($A58)), (_xlfn.XLOOKUP($A58,Index!$B$2:$B$995,Index!$D$2:$D$995,"Not Found")),"")</f>
        <v/>
      </c>
      <c r="F58" s="1" t="str">
        <f t="array" ref="F58">IF(NOT(ISBLANK($A58)), (_xlfn.XLOOKUP($A58,Index!$B$2:$B$995,Index!$E$2:$E$995,"Not Found")),"")</f>
        <v/>
      </c>
      <c r="G58" s="1" t="str">
        <f t="array" ref="G58">IF(NOT(ISBLANK(A58)), ((_xlfn.XLOOKUP(A58,Index!$B$2:$B$995,Index!$F$2:$F$995,"Not Found"))*B58),"")</f>
        <v/>
      </c>
    </row>
    <row r="59">
      <c r="C59" s="1" t="str">
        <f t="array" ref="C59">IF(NOT(ISBLANK($A59)), (_xlfn.XLOOKUP($A59,Index!$B$2:$B$995,Index!$C$2:$C$995,"Not Found")),"")</f>
        <v/>
      </c>
      <c r="D59" s="1" t="str">
        <f t="array" ref="D59">IF(NOT(ISBLANK(A59)), (_xlfn.XLOOKUP($A59,Index!$B$2:B$995,Index!$A$2:$A$995,"Not Found")),"")</f>
        <v/>
      </c>
      <c r="E59" s="2" t="str">
        <f t="array" ref="E59">IF(NOT(ISBLANK($A59)), (_xlfn.XLOOKUP($A59,Index!$B$2:$B$995,Index!$D$2:$D$995,"Not Found")),"")</f>
        <v/>
      </c>
      <c r="F59" s="1" t="str">
        <f t="array" ref="F59">IF(NOT(ISBLANK($A59)), (_xlfn.XLOOKUP($A59,Index!$B$2:$B$995,Index!$E$2:$E$995,"Not Found")),"")</f>
        <v/>
      </c>
      <c r="G59" s="1" t="str">
        <f t="array" ref="G59">IF(NOT(ISBLANK(A59)), ((_xlfn.XLOOKUP(A59,Index!$B$2:$B$995,Index!$F$2:$F$995,"Not Found"))*B59),"")</f>
        <v/>
      </c>
    </row>
    <row r="60">
      <c r="C60" s="1" t="str">
        <f t="array" ref="C60">IF(NOT(ISBLANK($A60)), (_xlfn.XLOOKUP($A60,Index!$B$2:$B$995,Index!$C$2:$C$995,"Not Found")),"")</f>
        <v/>
      </c>
      <c r="D60" s="1" t="str">
        <f t="array" ref="D60">IF(NOT(ISBLANK(A60)), (_xlfn.XLOOKUP($A60,Index!$B$2:B$995,Index!$A$2:$A$995,"Not Found")),"")</f>
        <v/>
      </c>
      <c r="E60" s="2" t="str">
        <f t="array" ref="E60">IF(NOT(ISBLANK($A60)), (_xlfn.XLOOKUP($A60,Index!$B$2:$B$995,Index!$D$2:$D$995,"Not Found")),"")</f>
        <v/>
      </c>
      <c r="F60" s="1" t="str">
        <f t="array" ref="F60">IF(NOT(ISBLANK($A60)), (_xlfn.XLOOKUP($A60,Index!$B$2:$B$995,Index!$E$2:$E$995,"Not Found")),"")</f>
        <v/>
      </c>
      <c r="G60" s="1" t="str">
        <f t="array" ref="G60">IF(NOT(ISBLANK(A60)), ((_xlfn.XLOOKUP(A60,Index!$B$2:$B$995,Index!$F$2:$F$995,"Not Found"))*B60),"")</f>
        <v/>
      </c>
    </row>
    <row r="61">
      <c r="C61" s="1" t="str">
        <f t="array" ref="C61">IF(NOT(ISBLANK($A61)), (_xlfn.XLOOKUP($A61,Index!$B$2:$B$995,Index!$C$2:$C$995,"Not Found")),"")</f>
        <v/>
      </c>
      <c r="D61" s="1" t="str">
        <f t="array" ref="D61">IF(NOT(ISBLANK(A61)), (_xlfn.XLOOKUP($A61,Index!$B$2:B$995,Index!$A$2:$A$995,"Not Found")),"")</f>
        <v/>
      </c>
      <c r="E61" s="2" t="str">
        <f t="array" ref="E61">IF(NOT(ISBLANK($A61)), (_xlfn.XLOOKUP($A61,Index!$B$2:$B$995,Index!$D$2:$D$995,"Not Found")),"")</f>
        <v/>
      </c>
      <c r="F61" s="1" t="str">
        <f t="array" ref="F61">IF(NOT(ISBLANK($A61)), (_xlfn.XLOOKUP($A61,Index!$B$2:$B$995,Index!$E$2:$E$995,"Not Found")),"")</f>
        <v/>
      </c>
      <c r="G61" s="1" t="str">
        <f t="array" ref="G61">IF(NOT(ISBLANK(A61)), ((_xlfn.XLOOKUP(A61,Index!$B$2:$B$995,Index!$F$2:$F$995,"Not Found"))*B61),"")</f>
        <v/>
      </c>
    </row>
    <row r="62">
      <c r="C62" s="1" t="str">
        <f t="array" ref="C62">IF(NOT(ISBLANK($A62)), (_xlfn.XLOOKUP($A62,Index!$B$2:$B$995,Index!$C$2:$C$995,"Not Found")),"")</f>
        <v/>
      </c>
      <c r="D62" s="1" t="str">
        <f t="array" ref="D62">IF(NOT(ISBLANK(A62)), (_xlfn.XLOOKUP($A62,Index!$B$2:B$995,Index!$A$2:$A$995,"Not Found")),"")</f>
        <v/>
      </c>
      <c r="E62" s="2" t="str">
        <f t="array" ref="E62">IF(NOT(ISBLANK($A62)), (_xlfn.XLOOKUP($A62,Index!$B$2:$B$995,Index!$D$2:$D$995,"Not Found")),"")</f>
        <v/>
      </c>
      <c r="F62" s="1" t="str">
        <f t="array" ref="F62">IF(NOT(ISBLANK($A62)), (_xlfn.XLOOKUP($A62,Index!$B$2:$B$995,Index!$E$2:$E$995,"Not Found")),"")</f>
        <v/>
      </c>
      <c r="G62" s="1" t="str">
        <f t="array" ref="G62">IF(NOT(ISBLANK(A62)), ((_xlfn.XLOOKUP(A62,Index!$B$2:$B$995,Index!$F$2:$F$995,"Not Found"))*B62),"")</f>
        <v/>
      </c>
    </row>
    <row r="63">
      <c r="C63" s="1" t="str">
        <f t="array" ref="C63">IF(NOT(ISBLANK($A63)), (_xlfn.XLOOKUP($A63,Index!$B$2:$B$995,Index!$C$2:$C$995,"Not Found")),"")</f>
        <v/>
      </c>
      <c r="D63" s="1" t="str">
        <f t="array" ref="D63">IF(NOT(ISBLANK(A63)), (_xlfn.XLOOKUP($A63,Index!$B$2:B$995,Index!$A$2:$A$995,"Not Found")),"")</f>
        <v/>
      </c>
      <c r="E63" s="2" t="str">
        <f t="array" ref="E63">IF(NOT(ISBLANK($A63)), (_xlfn.XLOOKUP($A63,Index!$B$2:$B$995,Index!$D$2:$D$995,"Not Found")),"")</f>
        <v/>
      </c>
      <c r="F63" s="1" t="str">
        <f t="array" ref="F63">IF(NOT(ISBLANK($A63)), (_xlfn.XLOOKUP($A63,Index!$B$2:$B$995,Index!$E$2:$E$995,"Not Found")),"")</f>
        <v/>
      </c>
      <c r="G63" s="1" t="str">
        <f t="array" ref="G63">IF(NOT(ISBLANK(A63)), ((_xlfn.XLOOKUP(A63,Index!$B$2:$B$995,Index!$F$2:$F$995,"Not Found"))*B63),"")</f>
        <v/>
      </c>
    </row>
    <row r="64">
      <c r="C64" s="1" t="str">
        <f t="array" ref="C64">IF(NOT(ISBLANK($A64)), (_xlfn.XLOOKUP($A64,Index!$B$2:$B$995,Index!$C$2:$C$995,"Not Found")),"")</f>
        <v/>
      </c>
      <c r="D64" s="1" t="str">
        <f t="array" ref="D64">IF(NOT(ISBLANK(A64)), (_xlfn.XLOOKUP($A64,Index!$B$2:B$995,Index!$A$2:$A$995,"Not Found")),"")</f>
        <v/>
      </c>
      <c r="E64" s="2" t="str">
        <f t="array" ref="E64">IF(NOT(ISBLANK($A64)), (_xlfn.XLOOKUP($A64,Index!$B$2:$B$995,Index!$D$2:$D$995,"Not Found")),"")</f>
        <v/>
      </c>
      <c r="F64" s="1" t="str">
        <f t="array" ref="F64">IF(NOT(ISBLANK($A64)), (_xlfn.XLOOKUP($A64,Index!$B$2:$B$995,Index!$E$2:$E$995,"Not Found")),"")</f>
        <v/>
      </c>
      <c r="G64" s="1" t="str">
        <f t="array" ref="G64">IF(NOT(ISBLANK(A64)), ((_xlfn.XLOOKUP(A64,Index!$B$2:$B$995,Index!$F$2:$F$995,"Not Found"))*B64),"")</f>
        <v/>
      </c>
    </row>
    <row r="65">
      <c r="C65" s="1" t="str">
        <f t="array" ref="C65">IF(NOT(ISBLANK($A65)), (_xlfn.XLOOKUP($A65,Index!$B$2:$B$995,Index!$C$2:$C$995,"Not Found")),"")</f>
        <v/>
      </c>
      <c r="D65" s="1" t="str">
        <f t="array" ref="D65">IF(NOT(ISBLANK(A65)), (_xlfn.XLOOKUP($A65,Index!$B$2:B$995,Index!$A$2:$A$995,"Not Found")),"")</f>
        <v/>
      </c>
      <c r="E65" s="2" t="str">
        <f t="array" ref="E65">IF(NOT(ISBLANK($A65)), (_xlfn.XLOOKUP($A65,Index!$B$2:$B$995,Index!$D$2:$D$995,"Not Found")),"")</f>
        <v/>
      </c>
      <c r="F65" s="1" t="str">
        <f t="array" ref="F65">IF(NOT(ISBLANK($A65)), (_xlfn.XLOOKUP($A65,Index!$B$2:$B$995,Index!$E$2:$E$995,"Not Found")),"")</f>
        <v/>
      </c>
      <c r="G65" s="1" t="str">
        <f t="array" ref="G65">IF(NOT(ISBLANK(A65)), ((_xlfn.XLOOKUP(A65,Index!$B$2:$B$995,Index!$F$2:$F$995,"Not Found"))*B65),"")</f>
        <v/>
      </c>
    </row>
    <row r="66">
      <c r="C66" s="1" t="str">
        <f t="array" ref="C66">IF(NOT(ISBLANK($A66)), (_xlfn.XLOOKUP($A66,Index!$B$2:$B$995,Index!$C$2:$C$995,"Not Found")),"")</f>
        <v/>
      </c>
      <c r="D66" s="1" t="str">
        <f t="array" ref="D66">IF(NOT(ISBLANK(A66)), (_xlfn.XLOOKUP($A66,Index!$B$2:B$995,Index!$A$2:$A$995,"Not Found")),"")</f>
        <v/>
      </c>
      <c r="E66" s="2" t="str">
        <f t="array" ref="E66">IF(NOT(ISBLANK($A66)), (_xlfn.XLOOKUP($A66,Index!$B$2:$B$995,Index!$D$2:$D$995,"Not Found")),"")</f>
        <v/>
      </c>
      <c r="F66" s="1" t="str">
        <f t="array" ref="F66">IF(NOT(ISBLANK($A66)), (_xlfn.XLOOKUP($A66,Index!$B$2:$B$995,Index!$E$2:$E$995,"Not Found")),"")</f>
        <v/>
      </c>
      <c r="G66" s="1" t="str">
        <f t="array" ref="G66">IF(NOT(ISBLANK(A66)), ((_xlfn.XLOOKUP(A66,Index!$B$2:$B$995,Index!$F$2:$F$995,"Not Found"))*B66),"")</f>
        <v/>
      </c>
    </row>
    <row r="67">
      <c r="C67" s="1" t="str">
        <f t="array" ref="C67">IF(NOT(ISBLANK($A67)), (_xlfn.XLOOKUP($A67,Index!$B$2:$B$995,Index!$C$2:$C$995,"Not Found")),"")</f>
        <v/>
      </c>
      <c r="D67" s="1" t="str">
        <f t="array" ref="D67">IF(NOT(ISBLANK(A67)), (_xlfn.XLOOKUP($A67,Index!$B$2:B$995,Index!$A$2:$A$995,"Not Found")),"")</f>
        <v/>
      </c>
      <c r="E67" s="2" t="str">
        <f t="array" ref="E67">IF(NOT(ISBLANK($A67)), (_xlfn.XLOOKUP($A67,Index!$B$2:$B$995,Index!$D$2:$D$995,"Not Found")),"")</f>
        <v/>
      </c>
      <c r="F67" s="1" t="str">
        <f t="array" ref="F67">IF(NOT(ISBLANK($A67)), (_xlfn.XLOOKUP($A67,Index!$B$2:$B$995,Index!$E$2:$E$995,"Not Found")),"")</f>
        <v/>
      </c>
      <c r="G67" s="1" t="str">
        <f t="array" ref="G67">IF(NOT(ISBLANK(A67)), ((_xlfn.XLOOKUP(A67,Index!$B$2:$B$995,Index!$F$2:$F$995,"Not Found"))*B67),"")</f>
        <v/>
      </c>
    </row>
    <row r="68">
      <c r="C68" s="1" t="str">
        <f t="array" ref="C68">IF(NOT(ISBLANK($A68)), (_xlfn.XLOOKUP($A68,Index!$B$2:$B$995,Index!$C$2:$C$995,"Not Found")),"")</f>
        <v/>
      </c>
      <c r="D68" s="1" t="str">
        <f t="array" ref="D68">IF(NOT(ISBLANK(A68)), (_xlfn.XLOOKUP($A68,Index!$B$2:B$995,Index!$A$2:$A$995,"Not Found")),"")</f>
        <v/>
      </c>
      <c r="E68" s="2" t="str">
        <f t="array" ref="E68">IF(NOT(ISBLANK($A68)), (_xlfn.XLOOKUP($A68,Index!$B$2:$B$995,Index!$D$2:$D$995,"Not Found")),"")</f>
        <v/>
      </c>
      <c r="F68" s="1" t="str">
        <f t="array" ref="F68">IF(NOT(ISBLANK($A68)), (_xlfn.XLOOKUP($A68,Index!$B$2:$B$995,Index!$E$2:$E$995,"Not Found")),"")</f>
        <v/>
      </c>
      <c r="G68" s="1" t="str">
        <f t="array" ref="G68">IF(NOT(ISBLANK(A68)), ((_xlfn.XLOOKUP(A68,Index!$B$2:$B$995,Index!$F$2:$F$995,"Not Found"))*B68),"")</f>
        <v/>
      </c>
    </row>
    <row r="69">
      <c r="C69" s="1" t="str">
        <f t="array" ref="C69">IF(NOT(ISBLANK($A69)), (_xlfn.XLOOKUP($A69,Index!$B$2:$B$995,Index!$C$2:$C$995,"Not Found")),"")</f>
        <v/>
      </c>
      <c r="D69" s="1" t="str">
        <f t="array" ref="D69">IF(NOT(ISBLANK(A69)), (_xlfn.XLOOKUP($A69,Index!$B$2:B$995,Index!$A$2:$A$995,"Not Found")),"")</f>
        <v/>
      </c>
      <c r="E69" s="2" t="str">
        <f t="array" ref="E69">IF(NOT(ISBLANK($A69)), (_xlfn.XLOOKUP($A69,Index!$B$2:$B$995,Index!$D$2:$D$995,"Not Found")),"")</f>
        <v/>
      </c>
      <c r="F69" s="1" t="str">
        <f t="array" ref="F69">IF(NOT(ISBLANK($A69)), (_xlfn.XLOOKUP($A69,Index!$B$2:$B$995,Index!$E$2:$E$995,"Not Found")),"")</f>
        <v/>
      </c>
      <c r="G69" s="1" t="str">
        <f t="array" ref="G69">IF(NOT(ISBLANK(A69)), ((_xlfn.XLOOKUP(A69,Index!$B$2:$B$995,Index!$F$2:$F$995,"Not Found"))*B69),"")</f>
        <v/>
      </c>
    </row>
    <row r="70">
      <c r="C70" s="1" t="str">
        <f t="array" ref="C70">IF(NOT(ISBLANK($A70)), (_xlfn.XLOOKUP($A70,Index!$B$2:$B$995,Index!$C$2:$C$995,"Not Found")),"")</f>
        <v/>
      </c>
      <c r="D70" s="1" t="str">
        <f t="array" ref="D70">IF(NOT(ISBLANK(A70)), (_xlfn.XLOOKUP($A70,Index!$B$2:B$995,Index!$A$2:$A$995,"Not Found")),"")</f>
        <v/>
      </c>
      <c r="E70" s="2" t="str">
        <f t="array" ref="E70">IF(NOT(ISBLANK($A70)), (_xlfn.XLOOKUP($A70,Index!$B$2:$B$995,Index!$D$2:$D$995,"Not Found")),"")</f>
        <v/>
      </c>
      <c r="F70" s="1" t="str">
        <f t="array" ref="F70">IF(NOT(ISBLANK($A70)), (_xlfn.XLOOKUP($A70,Index!$B$2:$B$995,Index!$E$2:$E$995,"Not Found")),"")</f>
        <v/>
      </c>
      <c r="G70" s="1" t="str">
        <f t="array" ref="G70">IF(NOT(ISBLANK(A70)), ((_xlfn.XLOOKUP(A70,Index!$B$2:$B$995,Index!$F$2:$F$995,"Not Found"))*B70),"")</f>
        <v/>
      </c>
    </row>
    <row r="71">
      <c r="C71" s="1" t="str">
        <f t="array" ref="C71">IF(NOT(ISBLANK($A71)), (_xlfn.XLOOKUP($A71,Index!$B$2:$B$995,Index!$C$2:$C$995,"Not Found")),"")</f>
        <v/>
      </c>
      <c r="D71" s="1" t="str">
        <f t="array" ref="D71">IF(NOT(ISBLANK(A71)), (_xlfn.XLOOKUP($A71,Index!$B$2:B$995,Index!$A$2:$A$995,"Not Found")),"")</f>
        <v/>
      </c>
      <c r="E71" s="2" t="str">
        <f t="array" ref="E71">IF(NOT(ISBLANK($A71)), (_xlfn.XLOOKUP($A71,Index!$B$2:$B$995,Index!$D$2:$D$995,"Not Found")),"")</f>
        <v/>
      </c>
      <c r="F71" s="1" t="str">
        <f t="array" ref="F71">IF(NOT(ISBLANK($A71)), (_xlfn.XLOOKUP($A71,Index!$B$2:$B$995,Index!$E$2:$E$995,"Not Found")),"")</f>
        <v/>
      </c>
      <c r="G71" s="1" t="str">
        <f t="array" ref="G71">IF(NOT(ISBLANK(A71)), ((_xlfn.XLOOKUP(A71,Index!$B$2:$B$995,Index!$F$2:$F$995,"Not Found"))*B71),"")</f>
        <v/>
      </c>
    </row>
    <row r="72">
      <c r="C72" s="1" t="str">
        <f t="array" ref="C72">IF(NOT(ISBLANK($A72)), (_xlfn.XLOOKUP($A72,Index!$B$2:$B$995,Index!$C$2:$C$995,"Not Found")),"")</f>
        <v/>
      </c>
      <c r="D72" s="1" t="str">
        <f t="array" ref="D72">IF(NOT(ISBLANK(A72)), (_xlfn.XLOOKUP($A72,Index!$B$2:B$995,Index!$A$2:$A$995,"Not Found")),"")</f>
        <v/>
      </c>
      <c r="E72" s="2" t="str">
        <f t="array" ref="E72">IF(NOT(ISBLANK($A72)), (_xlfn.XLOOKUP($A72,Index!$B$2:$B$995,Index!$D$2:$D$995,"Not Found")),"")</f>
        <v/>
      </c>
      <c r="F72" s="1" t="str">
        <f t="array" ref="F72">IF(NOT(ISBLANK($A72)), (_xlfn.XLOOKUP($A72,Index!$B$2:$B$995,Index!$E$2:$E$995,"Not Found")),"")</f>
        <v/>
      </c>
      <c r="G72" s="1" t="str">
        <f t="array" ref="G72">IF(NOT(ISBLANK(A72)), ((_xlfn.XLOOKUP(A72,Index!$B$2:$B$995,Index!$F$2:$F$995,"Not Found"))*B72),"")</f>
        <v/>
      </c>
    </row>
    <row r="73">
      <c r="C73" s="1" t="str">
        <f t="array" ref="C73">IF(NOT(ISBLANK($A73)), (_xlfn.XLOOKUP($A73,Index!$B$2:$B$995,Index!$C$2:$C$995,"Not Found")),"")</f>
        <v/>
      </c>
      <c r="D73" s="1" t="str">
        <f t="array" ref="D73">IF(NOT(ISBLANK(A73)), (_xlfn.XLOOKUP($A73,Index!$B$2:B$995,Index!$A$2:$A$995,"Not Found")),"")</f>
        <v/>
      </c>
      <c r="E73" s="2" t="str">
        <f t="array" ref="E73">IF(NOT(ISBLANK($A73)), (_xlfn.XLOOKUP($A73,Index!$B$2:$B$995,Index!$D$2:$D$995,"Not Found")),"")</f>
        <v/>
      </c>
      <c r="F73" s="1" t="str">
        <f t="array" ref="F73">IF(NOT(ISBLANK($A73)), (_xlfn.XLOOKUP($A73,Index!$B$2:$B$995,Index!$E$2:$E$995,"Not Found")),"")</f>
        <v/>
      </c>
      <c r="G73" s="1" t="str">
        <f t="array" ref="G73">IF(NOT(ISBLANK(A73)), ((_xlfn.XLOOKUP(A73,Index!$B$2:$B$995,Index!$F$2:$F$995,"Not Found"))*B73),"")</f>
        <v/>
      </c>
    </row>
    <row r="74">
      <c r="C74" s="1" t="str">
        <f t="array" ref="C74">IF(NOT(ISBLANK($A74)), (_xlfn.XLOOKUP($A74,Index!$B$2:$B$995,Index!$C$2:$C$995,"Not Found")),"")</f>
        <v/>
      </c>
      <c r="D74" s="1" t="str">
        <f t="array" ref="D74">IF(NOT(ISBLANK(A74)), (_xlfn.XLOOKUP($A74,Index!$B$2:B$995,Index!$A$2:$A$995,"Not Found")),"")</f>
        <v/>
      </c>
      <c r="E74" s="2" t="str">
        <f t="array" ref="E74">IF(NOT(ISBLANK($A74)), (_xlfn.XLOOKUP($A74,Index!$B$2:$B$995,Index!$D$2:$D$995,"Not Found")),"")</f>
        <v/>
      </c>
      <c r="F74" s="1" t="str">
        <f t="array" ref="F74">IF(NOT(ISBLANK($A74)), (_xlfn.XLOOKUP($A74,Index!$B$2:$B$995,Index!$E$2:$E$995,"Not Found")),"")</f>
        <v/>
      </c>
      <c r="G74" s="1" t="str">
        <f t="array" ref="G74">IF(NOT(ISBLANK(A74)), ((_xlfn.XLOOKUP(A74,Index!$B$2:$B$995,Index!$F$2:$F$995,"Not Found"))*B74),"")</f>
        <v/>
      </c>
    </row>
    <row r="75">
      <c r="C75" s="1" t="str">
        <f t="array" ref="C75">IF(NOT(ISBLANK($A75)), (_xlfn.XLOOKUP($A75,Index!$B$2:$B$995,Index!$C$2:$C$995,"Not Found")),"")</f>
        <v/>
      </c>
      <c r="D75" s="1" t="str">
        <f t="array" ref="D75">IF(NOT(ISBLANK(A75)), (_xlfn.XLOOKUP($A75,Index!$B$2:B$995,Index!$A$2:$A$995,"Not Found")),"")</f>
        <v/>
      </c>
      <c r="E75" s="2" t="str">
        <f t="array" ref="E75">IF(NOT(ISBLANK($A75)), (_xlfn.XLOOKUP($A75,Index!$B$2:$B$995,Index!$D$2:$D$995,"Not Found")),"")</f>
        <v/>
      </c>
      <c r="F75" s="1" t="str">
        <f t="array" ref="F75">IF(NOT(ISBLANK($A75)), (_xlfn.XLOOKUP($A75,Index!$B$2:$B$995,Index!$E$2:$E$995,"Not Found")),"")</f>
        <v/>
      </c>
      <c r="G75" s="1" t="str">
        <f t="array" ref="G75">IF(NOT(ISBLANK(A75)), ((_xlfn.XLOOKUP(A75,Index!$B$2:$B$995,Index!$F$2:$F$995,"Not Found"))*B75),"")</f>
        <v/>
      </c>
    </row>
    <row r="76">
      <c r="C76" s="1" t="str">
        <f t="array" ref="C76">IF(NOT(ISBLANK($A76)), (_xlfn.XLOOKUP($A76,Index!$B$2:$B$995,Index!$C$2:$C$995,"Not Found")),"")</f>
        <v/>
      </c>
      <c r="D76" s="1" t="str">
        <f t="array" ref="D76">IF(NOT(ISBLANK(A76)), (_xlfn.XLOOKUP($A76,Index!$B$2:B$995,Index!$A$2:$A$995,"Not Found")),"")</f>
        <v/>
      </c>
      <c r="E76" s="2" t="str">
        <f t="array" ref="E76">IF(NOT(ISBLANK($A76)), (_xlfn.XLOOKUP($A76,Index!$B$2:$B$995,Index!$D$2:$D$995,"Not Found")),"")</f>
        <v/>
      </c>
      <c r="F76" s="1" t="str">
        <f t="array" ref="F76">IF(NOT(ISBLANK($A76)), (_xlfn.XLOOKUP($A76,Index!$B$2:$B$995,Index!$E$2:$E$995,"Not Found")),"")</f>
        <v/>
      </c>
      <c r="G76" s="1" t="str">
        <f t="array" ref="G76">IF(NOT(ISBLANK(A76)), ((_xlfn.XLOOKUP(A76,Index!$B$2:$B$995,Index!$F$2:$F$995,"Not Found"))*B76),"")</f>
        <v/>
      </c>
    </row>
    <row r="77">
      <c r="C77" s="1" t="str">
        <f t="array" ref="C77">IF(NOT(ISBLANK($A77)), (_xlfn.XLOOKUP($A77,Index!$B$2:$B$995,Index!$C$2:$C$995,"Not Found")),"")</f>
        <v/>
      </c>
      <c r="D77" s="1" t="str">
        <f t="array" ref="D77">IF(NOT(ISBLANK(A77)), (_xlfn.XLOOKUP($A77,Index!$B$2:B$995,Index!$A$2:$A$995,"Not Found")),"")</f>
        <v/>
      </c>
      <c r="E77" s="2" t="str">
        <f t="array" ref="E77">IF(NOT(ISBLANK($A77)), (_xlfn.XLOOKUP($A77,Index!$B$2:$B$995,Index!$D$2:$D$995,"Not Found")),"")</f>
        <v/>
      </c>
      <c r="F77" s="1" t="str">
        <f t="array" ref="F77">IF(NOT(ISBLANK($A77)), (_xlfn.XLOOKUP($A77,Index!$B$2:$B$995,Index!$E$2:$E$995,"Not Found")),"")</f>
        <v/>
      </c>
      <c r="G77" s="1" t="str">
        <f t="array" ref="G77">IF(NOT(ISBLANK(A77)), ((_xlfn.XLOOKUP(A77,Index!$B$2:$B$995,Index!$F$2:$F$995,"Not Found"))*B77),"")</f>
        <v/>
      </c>
    </row>
    <row r="78">
      <c r="E78" s="7"/>
    </row>
    <row r="79">
      <c r="E79" s="7"/>
    </row>
    <row r="80">
      <c r="E80" s="7"/>
    </row>
    <row r="81">
      <c r="E81" s="7"/>
    </row>
    <row r="82">
      <c r="E82" s="7"/>
    </row>
    <row r="83">
      <c r="E83" s="7"/>
    </row>
    <row r="84">
      <c r="E84" s="7"/>
    </row>
    <row r="85">
      <c r="E85" s="7"/>
    </row>
    <row r="86">
      <c r="E86" s="7"/>
    </row>
    <row r="87">
      <c r="E87" s="7"/>
    </row>
    <row r="88">
      <c r="E88" s="7"/>
    </row>
    <row r="89">
      <c r="E89" s="7"/>
    </row>
    <row r="90">
      <c r="E90" s="7"/>
    </row>
    <row r="91">
      <c r="E91" s="7"/>
    </row>
    <row r="92">
      <c r="E92" s="7"/>
    </row>
    <row r="93">
      <c r="E93" s="7"/>
    </row>
    <row r="94">
      <c r="E94" s="7"/>
    </row>
    <row r="95">
      <c r="E95" s="7"/>
    </row>
    <row r="96">
      <c r="E96" s="7"/>
    </row>
    <row r="97">
      <c r="E97" s="7"/>
    </row>
    <row r="98">
      <c r="E98" s="7"/>
    </row>
    <row r="99">
      <c r="E99" s="7"/>
    </row>
    <row r="100">
      <c r="E100" s="7"/>
    </row>
    <row r="101">
      <c r="E101" s="7"/>
    </row>
    <row r="102">
      <c r="E102" s="7"/>
    </row>
    <row r="103">
      <c r="E103" s="7"/>
    </row>
    <row r="104">
      <c r="E104" s="7"/>
    </row>
    <row r="105">
      <c r="E105" s="7"/>
    </row>
    <row r="106">
      <c r="E106" s="7"/>
    </row>
    <row r="107">
      <c r="E107" s="7"/>
    </row>
    <row r="108">
      <c r="E108" s="7"/>
    </row>
    <row r="109">
      <c r="E109" s="7"/>
    </row>
    <row r="110">
      <c r="E110" s="7"/>
    </row>
    <row r="111">
      <c r="E111" s="7"/>
    </row>
    <row r="112">
      <c r="E112" s="7"/>
    </row>
    <row r="113">
      <c r="E113" s="7"/>
    </row>
    <row r="114">
      <c r="E114" s="7"/>
    </row>
    <row r="115">
      <c r="E115" s="7"/>
    </row>
    <row r="116">
      <c r="E116" s="7"/>
    </row>
    <row r="117">
      <c r="E117" s="7"/>
    </row>
    <row r="118">
      <c r="E118" s="7"/>
    </row>
    <row r="119">
      <c r="E119" s="7"/>
    </row>
    <row r="120">
      <c r="E120" s="7"/>
    </row>
    <row r="121">
      <c r="E121" s="7"/>
    </row>
    <row r="122">
      <c r="E122" s="7"/>
    </row>
    <row r="123">
      <c r="E123" s="7"/>
    </row>
    <row r="124">
      <c r="E124" s="7"/>
    </row>
    <row r="125">
      <c r="E125" s="7"/>
    </row>
    <row r="126">
      <c r="E126" s="7"/>
    </row>
    <row r="127">
      <c r="E127" s="7"/>
    </row>
    <row r="128">
      <c r="E128" s="7"/>
    </row>
    <row r="129">
      <c r="E129" s="7"/>
    </row>
    <row r="130">
      <c r="E130" s="7"/>
    </row>
    <row r="131">
      <c r="E131" s="7"/>
    </row>
    <row r="132">
      <c r="E132" s="7"/>
    </row>
    <row r="133">
      <c r="E133" s="7"/>
    </row>
    <row r="134">
      <c r="E134" s="7"/>
    </row>
    <row r="135">
      <c r="E135" s="7"/>
    </row>
    <row r="136">
      <c r="E136" s="7"/>
    </row>
    <row r="137">
      <c r="E137" s="7"/>
    </row>
    <row r="138">
      <c r="E138" s="7"/>
    </row>
    <row r="139">
      <c r="E139" s="7"/>
    </row>
    <row r="140">
      <c r="E140" s="7"/>
    </row>
    <row r="141">
      <c r="E141" s="7"/>
    </row>
    <row r="142">
      <c r="E142" s="7"/>
    </row>
    <row r="143">
      <c r="E143" s="7"/>
    </row>
    <row r="144">
      <c r="E144" s="7"/>
    </row>
    <row r="145">
      <c r="E145" s="7"/>
    </row>
    <row r="146">
      <c r="E146" s="7"/>
    </row>
    <row r="147">
      <c r="E147" s="7"/>
    </row>
    <row r="148">
      <c r="E148" s="7"/>
    </row>
    <row r="149">
      <c r="E149" s="7"/>
    </row>
    <row r="150">
      <c r="E150" s="7"/>
    </row>
    <row r="151">
      <c r="E151" s="7"/>
    </row>
    <row r="152">
      <c r="E152" s="7"/>
    </row>
    <row r="153">
      <c r="E153" s="7"/>
    </row>
    <row r="154">
      <c r="E154" s="7"/>
    </row>
    <row r="155">
      <c r="E155" s="7"/>
    </row>
    <row r="156">
      <c r="E156" s="7"/>
    </row>
    <row r="157">
      <c r="E157" s="7"/>
    </row>
    <row r="158">
      <c r="E158" s="7"/>
    </row>
    <row r="159">
      <c r="E159" s="7"/>
    </row>
    <row r="160">
      <c r="E160" s="7"/>
    </row>
    <row r="161">
      <c r="E161" s="7"/>
    </row>
    <row r="162">
      <c r="E162" s="7"/>
    </row>
    <row r="163">
      <c r="E163" s="7"/>
    </row>
    <row r="164">
      <c r="E164" s="7"/>
    </row>
    <row r="165">
      <c r="E165" s="7"/>
    </row>
    <row r="166">
      <c r="E166" s="7"/>
    </row>
    <row r="167">
      <c r="E167" s="7"/>
    </row>
    <row r="168">
      <c r="E168" s="7"/>
    </row>
    <row r="169">
      <c r="E169" s="7"/>
    </row>
    <row r="170">
      <c r="E170" s="7"/>
    </row>
    <row r="171">
      <c r="E171" s="7"/>
    </row>
    <row r="172">
      <c r="E172" s="7"/>
    </row>
    <row r="173">
      <c r="E173" s="7"/>
    </row>
    <row r="174">
      <c r="E174" s="7"/>
    </row>
    <row r="175">
      <c r="E175" s="7"/>
    </row>
    <row r="176">
      <c r="E176" s="7"/>
    </row>
    <row r="177">
      <c r="E177" s="7"/>
    </row>
    <row r="178">
      <c r="E178" s="7"/>
    </row>
    <row r="179">
      <c r="E179" s="7"/>
    </row>
    <row r="180">
      <c r="E180" s="7"/>
    </row>
    <row r="181">
      <c r="E181" s="7"/>
    </row>
    <row r="182">
      <c r="E182" s="7"/>
    </row>
    <row r="183">
      <c r="E183" s="7"/>
    </row>
    <row r="184">
      <c r="E184" s="7"/>
    </row>
    <row r="185">
      <c r="E185" s="7"/>
    </row>
    <row r="186">
      <c r="E186" s="7"/>
    </row>
    <row r="187">
      <c r="E187" s="7"/>
    </row>
    <row r="188">
      <c r="E188" s="7"/>
    </row>
    <row r="189">
      <c r="E189" s="7"/>
    </row>
    <row r="190">
      <c r="E190" s="7"/>
    </row>
    <row r="191">
      <c r="E191" s="7"/>
    </row>
    <row r="192">
      <c r="E192" s="7"/>
    </row>
    <row r="193">
      <c r="E193" s="7"/>
    </row>
    <row r="194">
      <c r="E194" s="7"/>
    </row>
    <row r="195">
      <c r="E195" s="7"/>
    </row>
    <row r="196">
      <c r="E196" s="7"/>
    </row>
    <row r="197">
      <c r="E197" s="7"/>
    </row>
    <row r="198">
      <c r="E198" s="7"/>
    </row>
    <row r="199">
      <c r="E199" s="7"/>
    </row>
    <row r="200">
      <c r="E200" s="7"/>
    </row>
    <row r="201">
      <c r="E201" s="7"/>
    </row>
    <row r="202">
      <c r="E202" s="7"/>
    </row>
    <row r="203">
      <c r="E203" s="7"/>
    </row>
    <row r="204">
      <c r="E204" s="7"/>
    </row>
    <row r="205">
      <c r="E205" s="7"/>
    </row>
    <row r="206">
      <c r="E206" s="7"/>
    </row>
    <row r="207">
      <c r="E207" s="7"/>
    </row>
    <row r="208">
      <c r="E208" s="7"/>
    </row>
    <row r="209">
      <c r="E209" s="7"/>
    </row>
    <row r="210">
      <c r="E210" s="7"/>
    </row>
    <row r="211">
      <c r="E211" s="7"/>
    </row>
    <row r="212">
      <c r="E212" s="7"/>
    </row>
    <row r="213">
      <c r="E213" s="7"/>
    </row>
    <row r="214">
      <c r="E214" s="7"/>
    </row>
    <row r="215">
      <c r="E215" s="7"/>
    </row>
    <row r="216">
      <c r="E216" s="7"/>
    </row>
    <row r="217">
      <c r="E217" s="7"/>
    </row>
    <row r="218">
      <c r="E218" s="7"/>
    </row>
    <row r="219">
      <c r="E219" s="7"/>
    </row>
    <row r="220">
      <c r="E220" s="7"/>
    </row>
    <row r="221">
      <c r="E221" s="7"/>
    </row>
    <row r="222">
      <c r="E222" s="7"/>
    </row>
    <row r="223">
      <c r="E223" s="7"/>
    </row>
    <row r="224">
      <c r="E224" s="7"/>
    </row>
    <row r="225">
      <c r="E225" s="7"/>
    </row>
    <row r="226">
      <c r="E226" s="7"/>
    </row>
    <row r="227">
      <c r="E227" s="7"/>
    </row>
    <row r="228">
      <c r="E228" s="7"/>
    </row>
    <row r="229">
      <c r="E229" s="7"/>
    </row>
    <row r="230">
      <c r="E230" s="7"/>
    </row>
    <row r="231">
      <c r="E231" s="7"/>
    </row>
    <row r="232">
      <c r="E232" s="7"/>
    </row>
    <row r="233">
      <c r="E233" s="7"/>
    </row>
    <row r="234">
      <c r="E234" s="7"/>
    </row>
    <row r="235">
      <c r="E235" s="7"/>
    </row>
    <row r="236">
      <c r="E236" s="7"/>
    </row>
    <row r="237">
      <c r="E237" s="7"/>
    </row>
    <row r="238">
      <c r="E238" s="7"/>
    </row>
    <row r="239">
      <c r="E239" s="7"/>
    </row>
    <row r="240">
      <c r="E240" s="7"/>
    </row>
    <row r="241">
      <c r="E241" s="7"/>
    </row>
    <row r="242">
      <c r="E242" s="7"/>
    </row>
    <row r="243">
      <c r="E243" s="7"/>
    </row>
    <row r="244">
      <c r="E244" s="7"/>
    </row>
    <row r="245">
      <c r="E245" s="7"/>
    </row>
    <row r="246">
      <c r="E246" s="7"/>
    </row>
    <row r="247">
      <c r="E247" s="7"/>
    </row>
    <row r="248">
      <c r="E248" s="7"/>
    </row>
    <row r="249">
      <c r="E249" s="7"/>
    </row>
    <row r="250">
      <c r="E250" s="7"/>
    </row>
    <row r="251">
      <c r="E251" s="7"/>
    </row>
    <row r="252">
      <c r="E252" s="7"/>
    </row>
    <row r="253">
      <c r="E253" s="7"/>
    </row>
    <row r="254">
      <c r="E254" s="7"/>
    </row>
    <row r="255">
      <c r="E255" s="7"/>
    </row>
    <row r="256">
      <c r="E256" s="7"/>
    </row>
    <row r="257">
      <c r="E257" s="7"/>
    </row>
    <row r="258">
      <c r="E258" s="7"/>
    </row>
    <row r="259">
      <c r="E259" s="7"/>
    </row>
    <row r="260">
      <c r="E260" s="7"/>
    </row>
    <row r="261">
      <c r="E261" s="7"/>
    </row>
    <row r="262">
      <c r="E262" s="7"/>
    </row>
    <row r="263">
      <c r="E263" s="7"/>
    </row>
    <row r="264">
      <c r="E264" s="7"/>
    </row>
    <row r="265">
      <c r="E265" s="7"/>
    </row>
    <row r="266">
      <c r="E266" s="7"/>
    </row>
    <row r="267">
      <c r="E267" s="7"/>
    </row>
    <row r="268">
      <c r="E268" s="7"/>
    </row>
    <row r="269">
      <c r="E269" s="7"/>
    </row>
    <row r="270">
      <c r="E270" s="7"/>
    </row>
    <row r="271">
      <c r="E271" s="7"/>
    </row>
    <row r="272">
      <c r="E272" s="7"/>
    </row>
    <row r="273">
      <c r="E273" s="7"/>
    </row>
    <row r="274">
      <c r="E274" s="7"/>
    </row>
    <row r="275">
      <c r="E275" s="7"/>
    </row>
    <row r="276">
      <c r="E276" s="7"/>
    </row>
    <row r="277">
      <c r="E277" s="7"/>
    </row>
    <row r="278">
      <c r="E278" s="7"/>
    </row>
    <row r="279">
      <c r="E279" s="7"/>
    </row>
    <row r="280">
      <c r="E280" s="7"/>
    </row>
    <row r="281">
      <c r="E281" s="7"/>
    </row>
    <row r="282">
      <c r="E282" s="7"/>
    </row>
    <row r="283">
      <c r="E283" s="7"/>
    </row>
    <row r="284">
      <c r="E284" s="7"/>
    </row>
    <row r="285">
      <c r="E285" s="7"/>
    </row>
    <row r="286">
      <c r="E286" s="7"/>
    </row>
    <row r="287">
      <c r="E287" s="7"/>
    </row>
    <row r="288">
      <c r="E288" s="7"/>
    </row>
    <row r="289">
      <c r="E289" s="7"/>
    </row>
    <row r="290">
      <c r="E290" s="7"/>
    </row>
    <row r="291">
      <c r="E291" s="7"/>
    </row>
    <row r="292">
      <c r="E292" s="7"/>
    </row>
    <row r="293">
      <c r="E293" s="7"/>
    </row>
    <row r="294">
      <c r="E294" s="7"/>
    </row>
    <row r="295">
      <c r="E295" s="7"/>
    </row>
    <row r="296">
      <c r="E296" s="7"/>
    </row>
    <row r="297">
      <c r="E297" s="7"/>
    </row>
    <row r="298">
      <c r="E298" s="7"/>
    </row>
    <row r="299">
      <c r="E299" s="7"/>
    </row>
    <row r="300">
      <c r="E300" s="7"/>
    </row>
    <row r="301">
      <c r="E301" s="7"/>
    </row>
    <row r="302">
      <c r="E302" s="7"/>
    </row>
    <row r="303">
      <c r="E303" s="7"/>
    </row>
    <row r="304">
      <c r="E304" s="7"/>
    </row>
    <row r="305">
      <c r="E305" s="7"/>
    </row>
    <row r="306">
      <c r="E306" s="7"/>
    </row>
    <row r="307">
      <c r="E307" s="7"/>
    </row>
    <row r="308">
      <c r="E308" s="7"/>
    </row>
    <row r="309">
      <c r="E309" s="7"/>
    </row>
    <row r="310">
      <c r="E310" s="7"/>
    </row>
    <row r="311">
      <c r="E311" s="7"/>
    </row>
    <row r="312">
      <c r="E312" s="7"/>
    </row>
    <row r="313">
      <c r="E313" s="7"/>
    </row>
    <row r="314">
      <c r="E314" s="7"/>
    </row>
    <row r="315">
      <c r="E315" s="7"/>
    </row>
    <row r="316">
      <c r="E316" s="7"/>
    </row>
    <row r="317">
      <c r="E317" s="7"/>
    </row>
    <row r="318">
      <c r="E318" s="7"/>
    </row>
    <row r="319">
      <c r="E319" s="7"/>
    </row>
    <row r="320">
      <c r="E320" s="7"/>
    </row>
    <row r="321">
      <c r="E321" s="7"/>
    </row>
    <row r="322">
      <c r="E322" s="7"/>
    </row>
    <row r="323">
      <c r="E323" s="7"/>
    </row>
    <row r="324">
      <c r="E324" s="7"/>
    </row>
    <row r="325">
      <c r="E325" s="7"/>
    </row>
    <row r="326">
      <c r="E326" s="7"/>
    </row>
    <row r="327">
      <c r="E327" s="7"/>
    </row>
    <row r="328">
      <c r="E328" s="7"/>
    </row>
    <row r="329">
      <c r="E329" s="7"/>
    </row>
    <row r="330">
      <c r="E330" s="7"/>
    </row>
    <row r="331">
      <c r="E331" s="7"/>
    </row>
    <row r="332">
      <c r="E332" s="7"/>
    </row>
    <row r="333">
      <c r="E333" s="7"/>
    </row>
    <row r="334">
      <c r="E334" s="7"/>
    </row>
    <row r="335">
      <c r="E335" s="7"/>
    </row>
    <row r="336">
      <c r="E336" s="7"/>
    </row>
    <row r="337">
      <c r="E337" s="7"/>
    </row>
    <row r="338">
      <c r="E338" s="7"/>
    </row>
    <row r="339">
      <c r="E339" s="7"/>
    </row>
    <row r="340">
      <c r="E340" s="7"/>
    </row>
    <row r="341">
      <c r="E341" s="7"/>
    </row>
    <row r="342">
      <c r="E342" s="7"/>
    </row>
    <row r="343">
      <c r="E343" s="7"/>
    </row>
    <row r="344">
      <c r="E344" s="7"/>
    </row>
    <row r="345">
      <c r="E345" s="7"/>
    </row>
    <row r="346">
      <c r="E346" s="7"/>
    </row>
    <row r="347">
      <c r="E347" s="7"/>
    </row>
    <row r="348">
      <c r="E348" s="7"/>
    </row>
    <row r="349">
      <c r="E349" s="7"/>
    </row>
    <row r="350">
      <c r="E350" s="7"/>
    </row>
    <row r="351">
      <c r="E351" s="7"/>
    </row>
    <row r="352">
      <c r="E352" s="7"/>
    </row>
    <row r="353">
      <c r="E353" s="7"/>
    </row>
    <row r="354">
      <c r="E354" s="7"/>
    </row>
    <row r="355">
      <c r="E355" s="7"/>
    </row>
    <row r="356">
      <c r="E356" s="7"/>
    </row>
    <row r="357">
      <c r="E357" s="7"/>
    </row>
    <row r="358">
      <c r="E358" s="7"/>
    </row>
    <row r="359">
      <c r="E359" s="7"/>
    </row>
    <row r="360">
      <c r="E360" s="7"/>
    </row>
    <row r="361">
      <c r="E361" s="7"/>
    </row>
    <row r="362">
      <c r="E362" s="7"/>
    </row>
    <row r="363">
      <c r="E363" s="7"/>
    </row>
    <row r="364">
      <c r="E364" s="7"/>
    </row>
    <row r="365">
      <c r="E365" s="7"/>
    </row>
    <row r="366">
      <c r="E366" s="7"/>
    </row>
    <row r="367">
      <c r="E367" s="7"/>
    </row>
    <row r="368">
      <c r="E368" s="7"/>
    </row>
    <row r="369">
      <c r="E369" s="7"/>
    </row>
    <row r="370">
      <c r="E370" s="7"/>
    </row>
    <row r="371">
      <c r="E371" s="7"/>
    </row>
    <row r="372">
      <c r="E372" s="7"/>
    </row>
    <row r="373">
      <c r="E373" s="7"/>
    </row>
    <row r="374">
      <c r="E374" s="7"/>
    </row>
    <row r="375">
      <c r="E375" s="7"/>
    </row>
    <row r="376">
      <c r="E376" s="7"/>
    </row>
    <row r="377">
      <c r="E377" s="7"/>
    </row>
    <row r="378">
      <c r="E378" s="7"/>
    </row>
    <row r="379">
      <c r="E379" s="7"/>
    </row>
    <row r="380">
      <c r="E380" s="7"/>
    </row>
    <row r="381">
      <c r="E381" s="7"/>
    </row>
    <row r="382">
      <c r="E382" s="7"/>
    </row>
    <row r="383">
      <c r="E383" s="7"/>
    </row>
    <row r="384">
      <c r="E384" s="7"/>
    </row>
    <row r="385">
      <c r="E385" s="7"/>
    </row>
    <row r="386">
      <c r="E386" s="7"/>
    </row>
    <row r="387">
      <c r="E387" s="7"/>
    </row>
    <row r="388">
      <c r="E388" s="7"/>
    </row>
    <row r="389">
      <c r="E389" s="7"/>
    </row>
    <row r="390">
      <c r="E390" s="7"/>
    </row>
    <row r="391">
      <c r="E391" s="7"/>
    </row>
    <row r="392">
      <c r="E392" s="7"/>
    </row>
    <row r="393">
      <c r="E393" s="7"/>
    </row>
    <row r="394">
      <c r="E394" s="7"/>
    </row>
    <row r="395">
      <c r="E395" s="7"/>
    </row>
    <row r="396">
      <c r="E396" s="7"/>
    </row>
    <row r="397">
      <c r="E397" s="7"/>
    </row>
    <row r="398">
      <c r="E398" s="7"/>
    </row>
    <row r="399">
      <c r="E399" s="7"/>
    </row>
    <row r="400">
      <c r="E400" s="7"/>
    </row>
    <row r="401">
      <c r="E401" s="7"/>
    </row>
    <row r="402">
      <c r="E402" s="7"/>
    </row>
    <row r="403">
      <c r="E403" s="7"/>
    </row>
    <row r="404">
      <c r="E404" s="7"/>
    </row>
    <row r="405">
      <c r="E405" s="7"/>
    </row>
    <row r="406">
      <c r="E406" s="7"/>
    </row>
    <row r="407">
      <c r="E407" s="7"/>
    </row>
    <row r="408">
      <c r="E408" s="7"/>
    </row>
    <row r="409">
      <c r="E409" s="7"/>
    </row>
    <row r="410">
      <c r="E410" s="7"/>
    </row>
    <row r="411">
      <c r="E411" s="7"/>
    </row>
    <row r="412">
      <c r="E412" s="7"/>
    </row>
    <row r="413">
      <c r="E413" s="7"/>
    </row>
    <row r="414">
      <c r="E414" s="7"/>
    </row>
    <row r="415">
      <c r="E415" s="7"/>
    </row>
    <row r="416">
      <c r="E416" s="7"/>
    </row>
    <row r="417">
      <c r="E417" s="7"/>
    </row>
    <row r="418">
      <c r="E418" s="7"/>
    </row>
    <row r="419">
      <c r="E419" s="7"/>
    </row>
    <row r="420">
      <c r="E420" s="7"/>
    </row>
    <row r="421">
      <c r="E421" s="7"/>
    </row>
    <row r="422">
      <c r="E422" s="7"/>
    </row>
    <row r="423">
      <c r="E423" s="7"/>
    </row>
    <row r="424">
      <c r="E424" s="7"/>
    </row>
    <row r="425">
      <c r="E425" s="7"/>
    </row>
    <row r="426">
      <c r="E426" s="7"/>
    </row>
    <row r="427">
      <c r="E427" s="7"/>
    </row>
    <row r="428">
      <c r="E428" s="7"/>
    </row>
    <row r="429">
      <c r="E429" s="7"/>
    </row>
    <row r="430">
      <c r="E430" s="7"/>
    </row>
    <row r="431">
      <c r="E431" s="7"/>
    </row>
    <row r="432">
      <c r="E432" s="7"/>
    </row>
    <row r="433">
      <c r="E433" s="7"/>
    </row>
    <row r="434">
      <c r="E434" s="7"/>
    </row>
    <row r="435">
      <c r="E435" s="7"/>
    </row>
    <row r="436">
      <c r="E436" s="7"/>
    </row>
    <row r="437">
      <c r="E437" s="7"/>
    </row>
    <row r="438">
      <c r="E438" s="7"/>
    </row>
    <row r="439">
      <c r="E439" s="7"/>
    </row>
    <row r="440">
      <c r="E440" s="7"/>
    </row>
    <row r="441">
      <c r="E441" s="7"/>
    </row>
    <row r="442">
      <c r="E442" s="7"/>
    </row>
    <row r="443">
      <c r="E443" s="7"/>
    </row>
    <row r="444">
      <c r="E444" s="7"/>
    </row>
    <row r="445">
      <c r="E445" s="7"/>
    </row>
    <row r="446">
      <c r="E446" s="7"/>
    </row>
    <row r="447">
      <c r="E447" s="7"/>
    </row>
    <row r="448">
      <c r="E448" s="7"/>
    </row>
    <row r="449">
      <c r="E449" s="7"/>
    </row>
    <row r="450">
      <c r="E450" s="7"/>
    </row>
    <row r="451">
      <c r="E451" s="7"/>
    </row>
    <row r="452">
      <c r="E452" s="7"/>
    </row>
    <row r="453">
      <c r="E453" s="7"/>
    </row>
    <row r="454">
      <c r="E454" s="7"/>
    </row>
    <row r="455">
      <c r="E455" s="7"/>
    </row>
    <row r="456">
      <c r="E456" s="7"/>
    </row>
    <row r="457">
      <c r="E457" s="7"/>
    </row>
    <row r="458">
      <c r="E458" s="7"/>
    </row>
    <row r="459">
      <c r="E459" s="7"/>
    </row>
    <row r="460">
      <c r="E460" s="7"/>
    </row>
    <row r="461">
      <c r="E461" s="7"/>
    </row>
    <row r="462">
      <c r="E462" s="7"/>
    </row>
    <row r="463">
      <c r="E463" s="7"/>
    </row>
    <row r="464">
      <c r="E464" s="7"/>
    </row>
    <row r="465">
      <c r="E465" s="7"/>
    </row>
    <row r="466">
      <c r="E466" s="7"/>
    </row>
    <row r="467">
      <c r="E467" s="7"/>
    </row>
    <row r="468">
      <c r="E468" s="7"/>
    </row>
    <row r="469">
      <c r="E469" s="7"/>
    </row>
    <row r="470">
      <c r="E470" s="7"/>
    </row>
    <row r="471">
      <c r="E471" s="7"/>
    </row>
    <row r="472">
      <c r="E472" s="7"/>
    </row>
    <row r="473">
      <c r="E473" s="7"/>
    </row>
    <row r="474">
      <c r="E474" s="7"/>
    </row>
    <row r="475">
      <c r="E475" s="7"/>
    </row>
    <row r="476">
      <c r="E476" s="7"/>
    </row>
    <row r="477">
      <c r="E477" s="7"/>
    </row>
    <row r="478">
      <c r="E478" s="7"/>
    </row>
    <row r="479">
      <c r="E479" s="7"/>
    </row>
    <row r="480">
      <c r="E480" s="7"/>
    </row>
    <row r="481">
      <c r="E481" s="7"/>
    </row>
    <row r="482">
      <c r="E482" s="7"/>
    </row>
    <row r="483">
      <c r="E483" s="7"/>
    </row>
    <row r="484">
      <c r="E484" s="7"/>
    </row>
    <row r="485">
      <c r="E485" s="7"/>
    </row>
    <row r="486">
      <c r="E486" s="7"/>
    </row>
    <row r="487">
      <c r="E487" s="7"/>
    </row>
    <row r="488">
      <c r="E488" s="7"/>
    </row>
    <row r="489">
      <c r="E489" s="7"/>
    </row>
    <row r="490">
      <c r="E490" s="7"/>
    </row>
    <row r="491">
      <c r="E491" s="7"/>
    </row>
    <row r="492">
      <c r="E492" s="7"/>
    </row>
    <row r="493">
      <c r="E493" s="7"/>
    </row>
    <row r="494">
      <c r="E494" s="7"/>
    </row>
    <row r="495">
      <c r="E495" s="7"/>
    </row>
    <row r="496">
      <c r="E496" s="7"/>
    </row>
    <row r="497">
      <c r="E497" s="7"/>
    </row>
    <row r="498">
      <c r="E498" s="7"/>
    </row>
    <row r="499">
      <c r="E499" s="7"/>
    </row>
    <row r="500">
      <c r="E500" s="7"/>
    </row>
    <row r="501">
      <c r="E501" s="7"/>
    </row>
    <row r="502">
      <c r="E502" s="7"/>
    </row>
    <row r="503">
      <c r="E503" s="7"/>
    </row>
    <row r="504">
      <c r="E504" s="7"/>
    </row>
    <row r="505">
      <c r="E505" s="7"/>
    </row>
    <row r="506">
      <c r="E506" s="7"/>
    </row>
    <row r="507">
      <c r="E507" s="7"/>
    </row>
    <row r="508">
      <c r="E508" s="7"/>
    </row>
    <row r="509">
      <c r="E509" s="7"/>
    </row>
    <row r="510">
      <c r="E510" s="7"/>
    </row>
    <row r="511">
      <c r="E511" s="7"/>
    </row>
    <row r="512">
      <c r="E512" s="7"/>
    </row>
    <row r="513">
      <c r="E513" s="7"/>
    </row>
    <row r="514">
      <c r="E514" s="7"/>
    </row>
    <row r="515">
      <c r="E515" s="7"/>
    </row>
    <row r="516">
      <c r="E516" s="7"/>
    </row>
    <row r="517">
      <c r="E517" s="7"/>
    </row>
    <row r="518">
      <c r="E518" s="7"/>
    </row>
    <row r="519">
      <c r="E519" s="7"/>
    </row>
    <row r="520">
      <c r="E520" s="7"/>
    </row>
    <row r="521">
      <c r="E521" s="7"/>
    </row>
    <row r="522">
      <c r="E522" s="7"/>
    </row>
    <row r="523">
      <c r="E523" s="7"/>
    </row>
    <row r="524">
      <c r="E524" s="7"/>
    </row>
    <row r="525">
      <c r="E525" s="7"/>
    </row>
    <row r="526">
      <c r="E526" s="7"/>
    </row>
    <row r="527">
      <c r="E527" s="7"/>
    </row>
    <row r="528">
      <c r="E528" s="7"/>
    </row>
    <row r="529">
      <c r="E529" s="7"/>
    </row>
    <row r="530">
      <c r="E530" s="7"/>
    </row>
    <row r="531">
      <c r="E531" s="7"/>
    </row>
    <row r="532">
      <c r="E532" s="7"/>
    </row>
    <row r="533">
      <c r="E533" s="7"/>
    </row>
    <row r="534">
      <c r="E534" s="7"/>
    </row>
    <row r="535">
      <c r="E535" s="7"/>
    </row>
    <row r="536">
      <c r="E536" s="7"/>
    </row>
    <row r="537">
      <c r="E537" s="7"/>
    </row>
    <row r="538">
      <c r="E538" s="7"/>
    </row>
    <row r="539">
      <c r="E539" s="7"/>
    </row>
    <row r="540">
      <c r="E540" s="7"/>
    </row>
    <row r="541">
      <c r="E541" s="7"/>
    </row>
    <row r="542">
      <c r="E542" s="7"/>
    </row>
    <row r="543">
      <c r="E543" s="7"/>
    </row>
    <row r="544">
      <c r="E544" s="7"/>
    </row>
    <row r="545">
      <c r="E545" s="7"/>
    </row>
    <row r="546">
      <c r="E546" s="7"/>
    </row>
    <row r="547">
      <c r="E547" s="7"/>
    </row>
    <row r="548">
      <c r="E548" s="7"/>
    </row>
    <row r="549">
      <c r="E549" s="7"/>
    </row>
    <row r="550">
      <c r="E550" s="7"/>
    </row>
    <row r="551">
      <c r="E551" s="7"/>
    </row>
    <row r="552">
      <c r="E552" s="7"/>
    </row>
    <row r="553">
      <c r="E553" s="7"/>
    </row>
    <row r="554">
      <c r="E554" s="7"/>
    </row>
    <row r="555">
      <c r="E555" s="7"/>
    </row>
    <row r="556">
      <c r="E556" s="7"/>
    </row>
    <row r="557">
      <c r="E557" s="7"/>
    </row>
    <row r="558">
      <c r="E558" s="7"/>
    </row>
    <row r="559">
      <c r="E559" s="7"/>
    </row>
    <row r="560">
      <c r="E560" s="7"/>
    </row>
    <row r="561">
      <c r="E561" s="7"/>
    </row>
    <row r="562">
      <c r="E562" s="7"/>
    </row>
    <row r="563">
      <c r="E563" s="7"/>
    </row>
    <row r="564">
      <c r="E564" s="7"/>
    </row>
    <row r="565">
      <c r="E565" s="7"/>
    </row>
    <row r="566">
      <c r="E566" s="7"/>
    </row>
    <row r="567">
      <c r="E567" s="7"/>
    </row>
    <row r="568">
      <c r="E568" s="7"/>
    </row>
    <row r="569">
      <c r="E569" s="7"/>
    </row>
    <row r="570">
      <c r="E570" s="7"/>
    </row>
    <row r="571">
      <c r="E571" s="7"/>
    </row>
    <row r="572">
      <c r="E572" s="7"/>
    </row>
    <row r="573">
      <c r="E573" s="7"/>
    </row>
    <row r="574">
      <c r="E574" s="7"/>
    </row>
    <row r="575">
      <c r="E575" s="7"/>
    </row>
    <row r="576">
      <c r="E576" s="7"/>
    </row>
    <row r="577">
      <c r="E577" s="7"/>
    </row>
    <row r="578">
      <c r="E578" s="7"/>
    </row>
    <row r="579">
      <c r="E579" s="7"/>
    </row>
    <row r="580">
      <c r="E580" s="7"/>
    </row>
    <row r="581">
      <c r="E581" s="7"/>
    </row>
    <row r="582">
      <c r="E582" s="7"/>
    </row>
    <row r="583">
      <c r="E583" s="7"/>
    </row>
    <row r="584">
      <c r="E584" s="7"/>
    </row>
    <row r="585">
      <c r="E585" s="7"/>
    </row>
    <row r="586">
      <c r="E586" s="7"/>
    </row>
    <row r="587">
      <c r="E587" s="7"/>
    </row>
    <row r="588">
      <c r="E588" s="7"/>
    </row>
    <row r="589">
      <c r="E589" s="7"/>
    </row>
    <row r="590">
      <c r="E590" s="7"/>
    </row>
    <row r="591">
      <c r="E591" s="7"/>
    </row>
    <row r="592">
      <c r="E592" s="7"/>
    </row>
    <row r="593">
      <c r="E593" s="7"/>
    </row>
    <row r="594">
      <c r="E594" s="7"/>
    </row>
    <row r="595">
      <c r="E595" s="7"/>
    </row>
    <row r="596">
      <c r="E596" s="7"/>
    </row>
    <row r="597">
      <c r="E597" s="7"/>
    </row>
    <row r="598">
      <c r="E598" s="7"/>
    </row>
    <row r="599">
      <c r="E599" s="7"/>
    </row>
    <row r="600">
      <c r="E600" s="7"/>
    </row>
    <row r="601">
      <c r="E601" s="7"/>
    </row>
    <row r="602">
      <c r="E602" s="7"/>
    </row>
    <row r="603">
      <c r="E603" s="7"/>
    </row>
    <row r="604">
      <c r="E604" s="7"/>
    </row>
    <row r="605">
      <c r="E605" s="7"/>
    </row>
    <row r="606">
      <c r="E606" s="7"/>
    </row>
    <row r="607">
      <c r="E607" s="7"/>
    </row>
    <row r="608">
      <c r="E608" s="7"/>
    </row>
    <row r="609">
      <c r="E609" s="7"/>
    </row>
    <row r="610">
      <c r="E610" s="7"/>
    </row>
    <row r="611">
      <c r="E611" s="7"/>
    </row>
    <row r="612">
      <c r="E612" s="7"/>
    </row>
    <row r="613">
      <c r="E613" s="7"/>
    </row>
    <row r="614">
      <c r="E614" s="7"/>
    </row>
    <row r="615">
      <c r="E615" s="7"/>
    </row>
    <row r="616">
      <c r="E616" s="7"/>
    </row>
    <row r="617">
      <c r="E617" s="7"/>
    </row>
    <row r="618">
      <c r="E618" s="7"/>
    </row>
    <row r="619">
      <c r="E619" s="7"/>
    </row>
    <row r="620">
      <c r="E620" s="7"/>
    </row>
    <row r="621">
      <c r="E621" s="7"/>
    </row>
    <row r="622">
      <c r="E622" s="7"/>
    </row>
    <row r="623">
      <c r="E623" s="7"/>
    </row>
    <row r="624">
      <c r="E624" s="7"/>
    </row>
    <row r="625">
      <c r="E625" s="7"/>
    </row>
    <row r="626">
      <c r="E626" s="7"/>
    </row>
    <row r="627">
      <c r="E627" s="7"/>
    </row>
    <row r="628">
      <c r="E628" s="7"/>
    </row>
    <row r="629">
      <c r="E629" s="7"/>
    </row>
    <row r="630">
      <c r="E630" s="7"/>
    </row>
    <row r="631">
      <c r="E631" s="7"/>
    </row>
    <row r="632">
      <c r="E632" s="7"/>
    </row>
    <row r="633">
      <c r="E633" s="7"/>
    </row>
    <row r="634">
      <c r="E634" s="7"/>
    </row>
    <row r="635">
      <c r="E635" s="7"/>
    </row>
    <row r="636">
      <c r="E636" s="7"/>
    </row>
    <row r="637">
      <c r="E637" s="7"/>
    </row>
    <row r="638">
      <c r="E638" s="7"/>
    </row>
    <row r="639">
      <c r="E639" s="7"/>
    </row>
    <row r="640">
      <c r="E640" s="7"/>
    </row>
    <row r="641">
      <c r="E641" s="7"/>
    </row>
    <row r="642">
      <c r="E642" s="7"/>
    </row>
    <row r="643">
      <c r="E643" s="7"/>
    </row>
    <row r="644">
      <c r="E644" s="7"/>
    </row>
    <row r="645">
      <c r="E645" s="7"/>
    </row>
    <row r="646">
      <c r="E646" s="7"/>
    </row>
    <row r="647">
      <c r="E647" s="7"/>
    </row>
    <row r="648">
      <c r="E648" s="7"/>
    </row>
    <row r="649">
      <c r="E649" s="7"/>
    </row>
    <row r="650">
      <c r="E650" s="7"/>
    </row>
    <row r="651">
      <c r="E651" s="7"/>
    </row>
    <row r="652">
      <c r="E652" s="7"/>
    </row>
    <row r="653">
      <c r="E653" s="7"/>
    </row>
    <row r="654">
      <c r="E654" s="7"/>
    </row>
    <row r="655">
      <c r="E655" s="7"/>
    </row>
    <row r="656">
      <c r="E656" s="7"/>
    </row>
    <row r="657">
      <c r="E657" s="7"/>
    </row>
    <row r="658">
      <c r="E658" s="7"/>
    </row>
    <row r="659">
      <c r="E659" s="7"/>
    </row>
    <row r="660">
      <c r="E660" s="7"/>
    </row>
    <row r="661">
      <c r="E661" s="7"/>
    </row>
    <row r="662">
      <c r="E662" s="7"/>
    </row>
    <row r="663">
      <c r="E663" s="7"/>
    </row>
    <row r="664">
      <c r="E664" s="7"/>
    </row>
    <row r="665">
      <c r="E665" s="7"/>
    </row>
    <row r="666">
      <c r="E666" s="7"/>
    </row>
    <row r="667">
      <c r="E667" s="7"/>
    </row>
    <row r="668">
      <c r="E668" s="7"/>
    </row>
    <row r="669">
      <c r="E669" s="7"/>
    </row>
    <row r="670">
      <c r="E670" s="7"/>
    </row>
    <row r="671">
      <c r="E671" s="7"/>
    </row>
    <row r="672">
      <c r="E672" s="7"/>
    </row>
    <row r="673">
      <c r="E673" s="7"/>
    </row>
    <row r="674">
      <c r="E674" s="7"/>
    </row>
    <row r="675">
      <c r="E675" s="7"/>
    </row>
    <row r="676">
      <c r="E676" s="7"/>
    </row>
    <row r="677">
      <c r="E677" s="7"/>
    </row>
    <row r="678">
      <c r="E678" s="7"/>
    </row>
    <row r="679">
      <c r="E679" s="7"/>
    </row>
    <row r="680">
      <c r="E680" s="7"/>
    </row>
    <row r="681">
      <c r="E681" s="7"/>
    </row>
    <row r="682">
      <c r="E682" s="7"/>
    </row>
    <row r="683">
      <c r="E683" s="7"/>
    </row>
    <row r="684">
      <c r="E684" s="7"/>
    </row>
    <row r="685">
      <c r="E685" s="7"/>
    </row>
    <row r="686">
      <c r="E686" s="7"/>
    </row>
    <row r="687">
      <c r="E687" s="7"/>
    </row>
    <row r="688">
      <c r="E688" s="7"/>
    </row>
    <row r="689">
      <c r="E689" s="7"/>
    </row>
    <row r="690">
      <c r="E690" s="7"/>
    </row>
    <row r="691">
      <c r="E691" s="7"/>
    </row>
    <row r="692">
      <c r="E692" s="7"/>
    </row>
    <row r="693">
      <c r="E693" s="7"/>
    </row>
    <row r="694">
      <c r="E694" s="7"/>
    </row>
    <row r="695">
      <c r="E695" s="7"/>
    </row>
    <row r="696">
      <c r="E696" s="7"/>
    </row>
    <row r="697">
      <c r="E697" s="7"/>
    </row>
    <row r="698">
      <c r="E698" s="7"/>
    </row>
    <row r="699">
      <c r="E699" s="7"/>
    </row>
    <row r="700">
      <c r="E700" s="7"/>
    </row>
    <row r="701">
      <c r="E701" s="7"/>
    </row>
    <row r="702">
      <c r="E702" s="7"/>
    </row>
    <row r="703">
      <c r="E703" s="7"/>
    </row>
    <row r="704">
      <c r="E704" s="7"/>
    </row>
    <row r="705">
      <c r="E705" s="7"/>
    </row>
    <row r="706">
      <c r="E706" s="7"/>
    </row>
    <row r="707">
      <c r="E707" s="7"/>
    </row>
    <row r="708">
      <c r="E708" s="7"/>
    </row>
    <row r="709">
      <c r="E709" s="7"/>
    </row>
    <row r="710">
      <c r="E710" s="7"/>
    </row>
    <row r="711">
      <c r="E711" s="7"/>
    </row>
    <row r="712">
      <c r="E712" s="7"/>
    </row>
    <row r="713">
      <c r="E713" s="7"/>
    </row>
    <row r="714">
      <c r="E714" s="7"/>
    </row>
    <row r="715">
      <c r="E715" s="7"/>
    </row>
    <row r="716">
      <c r="E716" s="7"/>
    </row>
    <row r="717">
      <c r="E717" s="7"/>
    </row>
    <row r="718">
      <c r="E718" s="7"/>
    </row>
    <row r="719">
      <c r="E719" s="7"/>
    </row>
    <row r="720">
      <c r="E720" s="7"/>
    </row>
    <row r="721">
      <c r="E721" s="7"/>
    </row>
    <row r="722">
      <c r="E722" s="7"/>
    </row>
    <row r="723">
      <c r="E723" s="7"/>
    </row>
    <row r="724">
      <c r="E724" s="7"/>
    </row>
    <row r="725">
      <c r="E725" s="7"/>
    </row>
    <row r="726">
      <c r="E726" s="7"/>
    </row>
    <row r="727">
      <c r="E727" s="7"/>
    </row>
    <row r="728">
      <c r="E728" s="7"/>
    </row>
    <row r="729">
      <c r="E729" s="7"/>
    </row>
    <row r="730">
      <c r="E730" s="7"/>
    </row>
    <row r="731">
      <c r="E731" s="7"/>
    </row>
    <row r="732">
      <c r="E732" s="7"/>
    </row>
    <row r="733">
      <c r="E733" s="7"/>
    </row>
    <row r="734">
      <c r="E734" s="7"/>
    </row>
    <row r="735">
      <c r="E735" s="7"/>
    </row>
    <row r="736">
      <c r="E736" s="7"/>
    </row>
    <row r="737">
      <c r="E737" s="7"/>
    </row>
    <row r="738">
      <c r="E738" s="7"/>
    </row>
    <row r="739">
      <c r="E739" s="7"/>
    </row>
    <row r="740">
      <c r="E740" s="7"/>
    </row>
    <row r="741">
      <c r="E741" s="7"/>
    </row>
    <row r="742">
      <c r="E742" s="7"/>
    </row>
    <row r="743">
      <c r="E743" s="7"/>
    </row>
    <row r="744">
      <c r="E744" s="7"/>
    </row>
    <row r="745">
      <c r="E745" s="7"/>
    </row>
    <row r="746">
      <c r="E746" s="7"/>
    </row>
    <row r="747">
      <c r="E747" s="7"/>
    </row>
    <row r="748">
      <c r="E748" s="7"/>
    </row>
    <row r="749">
      <c r="E749" s="7"/>
    </row>
    <row r="750">
      <c r="E750" s="7"/>
    </row>
    <row r="751">
      <c r="E751" s="7"/>
    </row>
    <row r="752">
      <c r="E752" s="7"/>
    </row>
    <row r="753">
      <c r="E753" s="7"/>
    </row>
    <row r="754">
      <c r="E754" s="7"/>
    </row>
    <row r="755">
      <c r="E755" s="7"/>
    </row>
    <row r="756">
      <c r="E756" s="7"/>
    </row>
    <row r="757">
      <c r="E757" s="7"/>
    </row>
    <row r="758">
      <c r="E758" s="7"/>
    </row>
    <row r="759">
      <c r="E759" s="7"/>
    </row>
    <row r="760">
      <c r="E760" s="7"/>
    </row>
    <row r="761">
      <c r="E761" s="7"/>
    </row>
    <row r="762">
      <c r="E762" s="7"/>
    </row>
    <row r="763">
      <c r="E763" s="7"/>
    </row>
    <row r="764">
      <c r="E764" s="7"/>
    </row>
    <row r="765">
      <c r="E765" s="7"/>
    </row>
    <row r="766">
      <c r="E766" s="7"/>
    </row>
    <row r="767">
      <c r="E767" s="7"/>
    </row>
    <row r="768">
      <c r="E768" s="7"/>
    </row>
    <row r="769">
      <c r="E769" s="7"/>
    </row>
    <row r="770">
      <c r="E770" s="7"/>
    </row>
    <row r="771">
      <c r="E771" s="7"/>
    </row>
    <row r="772">
      <c r="E772" s="7"/>
    </row>
    <row r="773">
      <c r="E773" s="7"/>
    </row>
    <row r="774">
      <c r="E774" s="7"/>
    </row>
    <row r="775">
      <c r="E775" s="7"/>
    </row>
    <row r="776">
      <c r="E776" s="7"/>
    </row>
    <row r="777">
      <c r="E777" s="7"/>
    </row>
    <row r="778">
      <c r="E778" s="7"/>
    </row>
    <row r="779">
      <c r="E779" s="7"/>
    </row>
    <row r="780">
      <c r="E780" s="7"/>
    </row>
    <row r="781">
      <c r="E781" s="7"/>
    </row>
    <row r="782">
      <c r="E782" s="7"/>
    </row>
    <row r="783">
      <c r="E783" s="7"/>
    </row>
    <row r="784">
      <c r="E784" s="7"/>
    </row>
    <row r="785">
      <c r="E785" s="7"/>
    </row>
    <row r="786">
      <c r="E786" s="7"/>
    </row>
    <row r="787">
      <c r="E787" s="7"/>
    </row>
    <row r="788">
      <c r="E788" s="7"/>
    </row>
    <row r="789">
      <c r="E789" s="7"/>
    </row>
    <row r="790">
      <c r="E790" s="7"/>
    </row>
    <row r="791">
      <c r="E791" s="7"/>
    </row>
    <row r="792">
      <c r="E792" s="7"/>
    </row>
    <row r="793">
      <c r="E793" s="7"/>
    </row>
    <row r="794">
      <c r="E794" s="7"/>
    </row>
    <row r="795">
      <c r="E795" s="7"/>
    </row>
    <row r="796">
      <c r="E796" s="7"/>
    </row>
    <row r="797">
      <c r="E797" s="7"/>
    </row>
    <row r="798">
      <c r="E798" s="7"/>
    </row>
    <row r="799">
      <c r="E799" s="7"/>
    </row>
    <row r="800">
      <c r="E800" s="7"/>
    </row>
    <row r="801">
      <c r="E801" s="7"/>
    </row>
    <row r="802">
      <c r="E802" s="7"/>
    </row>
    <row r="803">
      <c r="E803" s="7"/>
    </row>
    <row r="804">
      <c r="E804" s="7"/>
    </row>
    <row r="805">
      <c r="E805" s="7"/>
    </row>
    <row r="806">
      <c r="E806" s="7"/>
    </row>
    <row r="807">
      <c r="E807" s="7"/>
    </row>
    <row r="808">
      <c r="E808" s="7"/>
    </row>
    <row r="809">
      <c r="E809" s="7"/>
    </row>
    <row r="810">
      <c r="E810" s="7"/>
    </row>
    <row r="811">
      <c r="E811" s="7"/>
    </row>
    <row r="812">
      <c r="E812" s="7"/>
    </row>
    <row r="813">
      <c r="E813" s="7"/>
    </row>
    <row r="814">
      <c r="E814" s="7"/>
    </row>
    <row r="815">
      <c r="E815" s="7"/>
    </row>
    <row r="816">
      <c r="E816" s="7"/>
    </row>
    <row r="817">
      <c r="E817" s="7"/>
    </row>
    <row r="818">
      <c r="E818" s="7"/>
    </row>
    <row r="819">
      <c r="E819" s="7"/>
    </row>
    <row r="820">
      <c r="E820" s="7"/>
    </row>
    <row r="821">
      <c r="E821" s="7"/>
    </row>
    <row r="822">
      <c r="E822" s="7"/>
    </row>
    <row r="823">
      <c r="E823" s="7"/>
    </row>
    <row r="824">
      <c r="E824" s="7"/>
    </row>
    <row r="825">
      <c r="E825" s="7"/>
    </row>
    <row r="826">
      <c r="E826" s="7"/>
    </row>
    <row r="827">
      <c r="E827" s="7"/>
    </row>
    <row r="828">
      <c r="E828" s="7"/>
    </row>
    <row r="829">
      <c r="E829" s="7"/>
    </row>
    <row r="830">
      <c r="E830" s="7"/>
    </row>
    <row r="831">
      <c r="E831" s="7"/>
    </row>
    <row r="832">
      <c r="E832" s="7"/>
    </row>
    <row r="833">
      <c r="E833" s="7"/>
    </row>
    <row r="834">
      <c r="E834" s="7"/>
    </row>
    <row r="835">
      <c r="E835" s="7"/>
    </row>
    <row r="836">
      <c r="E836" s="7"/>
    </row>
    <row r="837">
      <c r="E837" s="7"/>
    </row>
    <row r="838">
      <c r="E838" s="7"/>
    </row>
    <row r="839">
      <c r="E839" s="7"/>
    </row>
    <row r="840">
      <c r="E840" s="7"/>
    </row>
    <row r="841">
      <c r="E841" s="7"/>
    </row>
    <row r="842">
      <c r="E842" s="7"/>
    </row>
    <row r="843">
      <c r="E843" s="7"/>
    </row>
    <row r="844">
      <c r="E844" s="7"/>
    </row>
    <row r="845">
      <c r="E845" s="7"/>
    </row>
    <row r="846">
      <c r="E846" s="7"/>
    </row>
    <row r="847">
      <c r="E847" s="7"/>
    </row>
    <row r="848">
      <c r="E848" s="7"/>
    </row>
    <row r="849">
      <c r="E849" s="7"/>
    </row>
    <row r="850">
      <c r="E850" s="7"/>
    </row>
    <row r="851">
      <c r="E851" s="7"/>
    </row>
    <row r="852">
      <c r="E852" s="7"/>
    </row>
    <row r="853">
      <c r="E853" s="7"/>
    </row>
    <row r="854">
      <c r="E854" s="7"/>
    </row>
    <row r="855">
      <c r="E855" s="7"/>
    </row>
    <row r="856">
      <c r="E856" s="7"/>
    </row>
    <row r="857">
      <c r="E857" s="7"/>
    </row>
    <row r="858">
      <c r="E858" s="7"/>
    </row>
    <row r="859">
      <c r="E859" s="7"/>
    </row>
    <row r="860">
      <c r="E860" s="7"/>
    </row>
    <row r="861">
      <c r="E861" s="7"/>
    </row>
    <row r="862">
      <c r="E862" s="7"/>
    </row>
    <row r="863">
      <c r="E863" s="7"/>
    </row>
    <row r="864">
      <c r="E864" s="7"/>
    </row>
    <row r="865">
      <c r="E865" s="7"/>
    </row>
    <row r="866">
      <c r="E866" s="7"/>
    </row>
    <row r="867">
      <c r="E867" s="7"/>
    </row>
    <row r="868">
      <c r="E868" s="7"/>
    </row>
    <row r="869">
      <c r="E869" s="7"/>
    </row>
    <row r="870">
      <c r="E870" s="7"/>
    </row>
    <row r="871">
      <c r="E871" s="7"/>
    </row>
    <row r="872">
      <c r="E872" s="7"/>
    </row>
    <row r="873">
      <c r="E873" s="7"/>
    </row>
    <row r="874">
      <c r="E874" s="7"/>
    </row>
    <row r="875">
      <c r="E875" s="7"/>
    </row>
    <row r="876">
      <c r="E876" s="7"/>
    </row>
    <row r="877">
      <c r="E877" s="7"/>
    </row>
    <row r="878">
      <c r="E878" s="7"/>
    </row>
    <row r="879">
      <c r="E879" s="7"/>
    </row>
    <row r="880">
      <c r="E880" s="7"/>
    </row>
    <row r="881">
      <c r="E881" s="7"/>
    </row>
    <row r="882">
      <c r="E882" s="7"/>
    </row>
    <row r="883">
      <c r="E883" s="7"/>
    </row>
    <row r="884">
      <c r="E884" s="7"/>
    </row>
    <row r="885">
      <c r="E885" s="7"/>
    </row>
    <row r="886">
      <c r="E886" s="7"/>
    </row>
    <row r="887">
      <c r="E887" s="7"/>
    </row>
    <row r="888">
      <c r="E888" s="7"/>
    </row>
    <row r="889">
      <c r="E889" s="7"/>
    </row>
    <row r="890">
      <c r="E890" s="7"/>
    </row>
    <row r="891">
      <c r="E891" s="7"/>
    </row>
    <row r="892">
      <c r="E892" s="7"/>
    </row>
    <row r="893">
      <c r="E893" s="7"/>
    </row>
    <row r="894">
      <c r="E894" s="7"/>
    </row>
    <row r="895">
      <c r="E895" s="7"/>
    </row>
    <row r="896">
      <c r="E896" s="7"/>
    </row>
    <row r="897">
      <c r="E897" s="7"/>
    </row>
    <row r="898">
      <c r="E898" s="7"/>
    </row>
    <row r="899">
      <c r="E899" s="7"/>
    </row>
    <row r="900">
      <c r="E900" s="7"/>
    </row>
    <row r="901">
      <c r="E901" s="7"/>
    </row>
    <row r="902">
      <c r="E902" s="7"/>
    </row>
    <row r="903">
      <c r="E903" s="7"/>
    </row>
    <row r="904">
      <c r="E904" s="7"/>
    </row>
    <row r="905">
      <c r="E905" s="7"/>
    </row>
    <row r="906">
      <c r="E906" s="7"/>
    </row>
    <row r="907">
      <c r="E907" s="7"/>
    </row>
    <row r="908">
      <c r="E908" s="7"/>
    </row>
    <row r="909">
      <c r="E909" s="7"/>
    </row>
    <row r="910">
      <c r="E910" s="7"/>
    </row>
    <row r="911">
      <c r="E911" s="7"/>
    </row>
    <row r="912">
      <c r="E912" s="7"/>
    </row>
    <row r="913">
      <c r="E913" s="7"/>
    </row>
    <row r="914">
      <c r="E914" s="7"/>
    </row>
    <row r="915">
      <c r="E915" s="7"/>
    </row>
    <row r="916">
      <c r="E916" s="7"/>
    </row>
    <row r="917">
      <c r="E917" s="7"/>
    </row>
    <row r="918">
      <c r="E918" s="7"/>
    </row>
    <row r="919">
      <c r="E919" s="7"/>
    </row>
    <row r="920">
      <c r="E920" s="7"/>
    </row>
    <row r="921">
      <c r="E921" s="7"/>
    </row>
    <row r="922">
      <c r="E922" s="7"/>
    </row>
    <row r="923">
      <c r="E923" s="7"/>
    </row>
    <row r="924">
      <c r="E924" s="7"/>
    </row>
    <row r="925">
      <c r="E925" s="7"/>
    </row>
    <row r="926">
      <c r="E926" s="7"/>
    </row>
    <row r="927">
      <c r="E927" s="7"/>
    </row>
    <row r="928">
      <c r="E928" s="7"/>
    </row>
    <row r="929">
      <c r="E929" s="7"/>
    </row>
    <row r="930">
      <c r="E930" s="7"/>
    </row>
    <row r="931">
      <c r="E931" s="7"/>
    </row>
    <row r="932">
      <c r="E932" s="7"/>
    </row>
    <row r="933">
      <c r="E933" s="7"/>
    </row>
    <row r="934">
      <c r="E934" s="7"/>
    </row>
    <row r="935">
      <c r="E935" s="7"/>
    </row>
    <row r="936">
      <c r="E936" s="7"/>
    </row>
    <row r="937">
      <c r="E937" s="7"/>
    </row>
    <row r="938">
      <c r="E938" s="7"/>
    </row>
    <row r="939">
      <c r="E939" s="7"/>
    </row>
    <row r="940">
      <c r="E940" s="7"/>
    </row>
    <row r="941">
      <c r="E941" s="7"/>
    </row>
    <row r="942">
      <c r="E942" s="7"/>
    </row>
    <row r="943">
      <c r="E943" s="7"/>
    </row>
    <row r="944">
      <c r="E944" s="7"/>
    </row>
    <row r="945">
      <c r="E945" s="7"/>
    </row>
    <row r="946">
      <c r="E946" s="7"/>
    </row>
    <row r="947">
      <c r="E947" s="7"/>
    </row>
    <row r="948">
      <c r="E948" s="7"/>
    </row>
    <row r="949">
      <c r="E949" s="7"/>
    </row>
    <row r="950">
      <c r="E950" s="7"/>
    </row>
    <row r="951">
      <c r="E951" s="7"/>
    </row>
    <row r="952">
      <c r="E952" s="7"/>
    </row>
    <row r="953">
      <c r="E953" s="7"/>
    </row>
    <row r="954">
      <c r="E954" s="7"/>
    </row>
    <row r="955">
      <c r="E955" s="7"/>
    </row>
    <row r="956">
      <c r="E956" s="7"/>
    </row>
    <row r="957">
      <c r="E957" s="7"/>
    </row>
    <row r="958">
      <c r="E958" s="7"/>
    </row>
    <row r="959">
      <c r="E959" s="7"/>
    </row>
    <row r="960">
      <c r="E960" s="7"/>
    </row>
    <row r="961">
      <c r="E961" s="7"/>
    </row>
    <row r="962">
      <c r="E962" s="7"/>
    </row>
    <row r="963">
      <c r="E963" s="7"/>
    </row>
    <row r="964">
      <c r="E964" s="7"/>
    </row>
    <row r="965">
      <c r="E965" s="7"/>
    </row>
    <row r="966">
      <c r="E966" s="7"/>
    </row>
    <row r="967">
      <c r="E967" s="7"/>
    </row>
    <row r="968">
      <c r="E968" s="7"/>
    </row>
    <row r="969">
      <c r="E969" s="7"/>
    </row>
    <row r="970">
      <c r="E970" s="7"/>
    </row>
    <row r="971">
      <c r="E971" s="7"/>
    </row>
    <row r="972">
      <c r="E972" s="7"/>
    </row>
    <row r="973">
      <c r="E973" s="7"/>
    </row>
    <row r="974">
      <c r="E974" s="7"/>
    </row>
    <row r="975">
      <c r="E975" s="7"/>
    </row>
    <row r="976">
      <c r="E976" s="7"/>
    </row>
    <row r="977">
      <c r="E977" s="7"/>
    </row>
    <row r="978">
      <c r="E978" s="7"/>
    </row>
    <row r="979">
      <c r="E979" s="7"/>
    </row>
    <row r="980">
      <c r="E980" s="7"/>
    </row>
    <row r="981">
      <c r="E981" s="7"/>
    </row>
    <row r="982">
      <c r="E982" s="7"/>
    </row>
    <row r="983">
      <c r="E983" s="7"/>
    </row>
    <row r="984">
      <c r="E984" s="7"/>
    </row>
    <row r="985">
      <c r="E985" s="7"/>
    </row>
    <row r="986">
      <c r="E986" s="7"/>
    </row>
    <row r="987">
      <c r="E987" s="7"/>
    </row>
    <row r="988">
      <c r="E988" s="7"/>
    </row>
    <row r="989">
      <c r="E989" s="7"/>
    </row>
    <row r="990">
      <c r="E990" s="7"/>
    </row>
    <row r="991">
      <c r="E991" s="7"/>
    </row>
    <row r="992">
      <c r="E992" s="7"/>
    </row>
    <row r="993">
      <c r="E993" s="7"/>
    </row>
    <row r="994">
      <c r="E994" s="7"/>
    </row>
    <row r="995">
      <c r="E995" s="7"/>
    </row>
    <row r="996">
      <c r="E996" s="7"/>
    </row>
    <row r="997">
      <c r="E997" s="7"/>
    </row>
    <row r="998">
      <c r="E998" s="7"/>
    </row>
    <row r="999">
      <c r="E999" s="7"/>
    </row>
    <row r="1000">
      <c r="E1000" s="7"/>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0</v>
      </c>
      <c r="B1" s="1" t="s">
        <v>2</v>
      </c>
      <c r="C1" s="1" t="s">
        <v>3</v>
      </c>
      <c r="D1" s="1" t="s">
        <v>1</v>
      </c>
      <c r="E1" s="2" t="s">
        <v>4</v>
      </c>
      <c r="F1" s="1" t="s">
        <v>6</v>
      </c>
      <c r="G1" s="1" t="s">
        <v>7</v>
      </c>
      <c r="I1" s="1" t="s">
        <v>9</v>
      </c>
      <c r="K1" s="1" t="s">
        <v>3</v>
      </c>
      <c r="L1" s="1" t="s">
        <v>11</v>
      </c>
      <c r="M1" s="1" t="s">
        <v>13</v>
      </c>
      <c r="N1" s="1" t="s">
        <v>14</v>
      </c>
      <c r="O1" s="1" t="s">
        <v>15</v>
      </c>
      <c r="P1" s="1" t="s">
        <v>16</v>
      </c>
      <c r="Q1" s="1" t="s">
        <v>17</v>
      </c>
    </row>
    <row r="2">
      <c r="A2" s="1" t="s">
        <v>288</v>
      </c>
      <c r="B2" s="1">
        <v>4.0</v>
      </c>
      <c r="C2" s="1" t="str">
        <f t="array" ref="C2">IF(NOT(ISBLANK($A2)), (_xlfn.XLOOKUP($A2,Index!$B$2:$B$995,Index!$C$2:$C$995,"Not Found")),"")</f>
        <v>Energy</v>
      </c>
      <c r="D2" s="1" t="str">
        <f t="array" ref="D2">IF(NOT(ISBLANK(A2)), (_xlfn.XLOOKUP($A2,Index!$B$2:B$995,Index!$A$2:$A$995,"Not Found")),"")</f>
        <v>base1-96</v>
      </c>
      <c r="E2" s="2" t="str">
        <f t="array" ref="E2">IF(NOT(ISBLANK($A2)), (_xlfn.XLOOKUP($A2,Index!$B$2:$B$995,Index!$D$2:$D$995,"Not Found")),"")</f>
        <v/>
      </c>
      <c r="F2" s="1" t="str">
        <f t="array" ref="F2">IF(NOT(ISBLANK($A2)), (_xlfn.XLOOKUP($A2,Index!$B$2:$B$995,Index!$E$2:$E$995,"Not Found")),"")</f>
        <v/>
      </c>
      <c r="G2" s="1">
        <f t="array" ref="G2">IF(NOT(ISBLANK(A2)), ((_xlfn.XLOOKUP(A2,Index!$B$2:$B$995,Index!$F$2:$F$995,"Not Found"))*B2),"")</f>
        <v>0</v>
      </c>
      <c r="I2" s="6">
        <f>SUM(B2:B38)</f>
        <v>60</v>
      </c>
      <c r="K2" s="1" t="s">
        <v>26</v>
      </c>
      <c r="L2" s="6">
        <f t="shared" ref="L2:L6" si="1">IF(NOT(ISBLANK(K2)), SUM(M2:P2), "")</f>
        <v>22</v>
      </c>
      <c r="M2" s="1">
        <f t="shared" ref="M2:M5" si="2">IF(NOT(ISBLANK($K2)), SUMIFS($B$2:$B$32, $E$2:$E$32, "B", $C$2:$C$32,$K2), "")</f>
        <v>12</v>
      </c>
      <c r="N2" s="1">
        <f t="shared" ref="N2:N5" si="3">IF(NOT(ISBLANK($K2)),SUMIFS($B$2:$B$32,$E$2:$E$32, "1", $C$2:$C$32,$K2,$F$2:$F$32,"N"), "")</f>
        <v>2</v>
      </c>
      <c r="O2" s="1">
        <f t="shared" ref="O2:O5" si="4">IF(NOT(ISBLANK($K2)),SUMIFS($B$2:$B$32,$E$2:$E$32, "1", $C$2:$C$32,$K2,$F$2:$F$32,"Y"), "")</f>
        <v>5</v>
      </c>
      <c r="P2" s="1">
        <f t="shared" ref="P2:P5" si="5">IF(NOT(ISBLANK($K2)),SUMIFS($B$2:$B$32,$E$2:$E$32, "2", $C$2:$C$32,$K2), "")</f>
        <v>3</v>
      </c>
      <c r="Q2" s="1">
        <f t="shared" ref="Q2:Q5" si="6">IF(NOT(ISBLANK($K2)),SUMIFS($B$2:$B$32,$E$2:$E$32, "B", $C$2:$C$32,$K2,$F$2:$F$32,"N"), "")</f>
        <v>2</v>
      </c>
    </row>
    <row r="3">
      <c r="A3" s="1" t="s">
        <v>297</v>
      </c>
      <c r="B3" s="1">
        <v>18.0</v>
      </c>
      <c r="C3" s="1" t="str">
        <f t="array" ref="C3">IF(NOT(ISBLANK($A3)), (_xlfn.XLOOKUP($A3,Index!$B$2:$B$995,Index!$C$2:$C$995,"Not Found")),"")</f>
        <v>Energy</v>
      </c>
      <c r="D3" s="1" t="str">
        <f t="array" ref="D3">IF(NOT(ISBLANK(A3)), (_xlfn.XLOOKUP($A3,Index!$B$2:B$995,Index!$A$2:$A$995,"Not Found")),"")</f>
        <v>base1-98</v>
      </c>
      <c r="E3" s="2" t="str">
        <f t="array" ref="E3">IF(NOT(ISBLANK($A3)), (_xlfn.XLOOKUP($A3,Index!$B$2:$B$995,Index!$D$2:$D$995,"Not Found")),"")</f>
        <v/>
      </c>
      <c r="F3" s="1" t="str">
        <f t="array" ref="F3">IF(NOT(ISBLANK($A3)), (_xlfn.XLOOKUP($A3,Index!$B$2:$B$995,Index!$E$2:$E$995,"Not Found")),"")</f>
        <v/>
      </c>
      <c r="G3" s="1">
        <f t="array" ref="G3">IF(NOT(ISBLANK(A3)), ((_xlfn.XLOOKUP(A3,Index!$B$2:$B$995,Index!$F$2:$F$995,"Not Found"))*B3),"")</f>
        <v>0</v>
      </c>
      <c r="L3" s="6" t="str">
        <f t="shared" si="1"/>
        <v/>
      </c>
      <c r="M3" s="1" t="str">
        <f t="shared" si="2"/>
        <v/>
      </c>
      <c r="N3" s="1" t="str">
        <f t="shared" si="3"/>
        <v/>
      </c>
      <c r="O3" s="1" t="str">
        <f t="shared" si="4"/>
        <v/>
      </c>
      <c r="P3" s="1" t="str">
        <f t="shared" si="5"/>
        <v/>
      </c>
      <c r="Q3" s="1" t="str">
        <f t="shared" si="6"/>
        <v/>
      </c>
    </row>
    <row r="4">
      <c r="A4" s="1" t="s">
        <v>87</v>
      </c>
      <c r="B4" s="1">
        <v>4.0</v>
      </c>
      <c r="C4" s="1" t="str">
        <f t="array" ref="C4">IF(NOT(ISBLANK($A4)), (_xlfn.XLOOKUP($A4,Index!$B$2:$B$995,Index!$C$2:$C$995,"Not Found")),"")</f>
        <v>C</v>
      </c>
      <c r="D4" s="1" t="str">
        <f t="array" ref="D4">IF(NOT(ISBLANK(A4)), (_xlfn.XLOOKUP($A4,Index!$B$2:B$995,Index!$A$2:$A$995,"Not Found")),"")</f>
        <v>base1-26</v>
      </c>
      <c r="E4" s="2" t="str">
        <f t="array" ref="E4">IF(NOT(ISBLANK($A4)), (_xlfn.XLOOKUP($A4,Index!$B$2:$B$995,Index!$D$2:$D$995,"Not Found")),"")</f>
        <v>b</v>
      </c>
      <c r="F4" s="1" t="str">
        <f t="array" ref="F4">IF(NOT(ISBLANK($A4)), (_xlfn.XLOOKUP($A4,Index!$B$2:$B$995,Index!$E$2:$E$995,"Not Found")),"")</f>
        <v>y</v>
      </c>
      <c r="G4" s="1">
        <f t="array" ref="G4">IF(NOT(ISBLANK(A4)), ((_xlfn.XLOOKUP(A4,Index!$B$2:$B$995,Index!$F$2:$F$995,"Not Found"))*B4),"")</f>
        <v>0</v>
      </c>
      <c r="L4" s="6" t="str">
        <f t="shared" si="1"/>
        <v/>
      </c>
      <c r="M4" s="1" t="str">
        <f t="shared" si="2"/>
        <v/>
      </c>
      <c r="N4" s="1" t="str">
        <f t="shared" si="3"/>
        <v/>
      </c>
      <c r="O4" s="1" t="str">
        <f t="shared" si="4"/>
        <v/>
      </c>
      <c r="P4" s="1" t="str">
        <f t="shared" si="5"/>
        <v/>
      </c>
      <c r="Q4" s="1" t="str">
        <f t="shared" si="6"/>
        <v/>
      </c>
    </row>
    <row r="5">
      <c r="A5" s="1" t="s">
        <v>70</v>
      </c>
      <c r="B5" s="1">
        <v>3.0</v>
      </c>
      <c r="C5" s="1" t="str">
        <f t="array" ref="C5">IF(NOT(ISBLANK($A5)), (_xlfn.XLOOKUP($A5,Index!$B$2:$B$995,Index!$C$2:$C$995,"Not Found")),"")</f>
        <v>C</v>
      </c>
      <c r="D5" s="1" t="str">
        <f t="array" ref="D5">IF(NOT(ISBLANK(A5)), (_xlfn.XLOOKUP($A5,Index!$B$2:B$995,Index!$A$2:$A$995,"Not Found")),"")</f>
        <v>base1-18</v>
      </c>
      <c r="E5" s="2">
        <f t="array" ref="E5">IF(NOT(ISBLANK($A5)), (_xlfn.XLOOKUP($A5,Index!$B$2:$B$995,Index!$D$2:$D$995,"Not Found")),"")</f>
        <v>1</v>
      </c>
      <c r="F5" s="1" t="str">
        <f t="array" ref="F5">IF(NOT(ISBLANK($A5)), (_xlfn.XLOOKUP($A5,Index!$B$2:$B$995,Index!$E$2:$E$995,"Not Found")),"")</f>
        <v>y</v>
      </c>
      <c r="G5" s="1">
        <f t="array" ref="G5">IF(NOT(ISBLANK(A5)), ((_xlfn.XLOOKUP(A5,Index!$B$2:$B$995,Index!$F$2:$F$995,"Not Found"))*B5),"")</f>
        <v>3</v>
      </c>
      <c r="L5" s="6" t="str">
        <f t="shared" si="1"/>
        <v/>
      </c>
      <c r="M5" s="1" t="str">
        <f t="shared" si="2"/>
        <v/>
      </c>
      <c r="N5" s="1" t="str">
        <f t="shared" si="3"/>
        <v/>
      </c>
      <c r="O5" s="1" t="str">
        <f t="shared" si="4"/>
        <v/>
      </c>
      <c r="P5" s="1" t="str">
        <f t="shared" si="5"/>
        <v/>
      </c>
      <c r="Q5" s="1" t="str">
        <f t="shared" si="6"/>
        <v/>
      </c>
    </row>
    <row r="6">
      <c r="A6" s="1" t="s">
        <v>73</v>
      </c>
      <c r="B6" s="1">
        <v>2.0</v>
      </c>
      <c r="C6" s="1" t="str">
        <f t="array" ref="C6">IF(NOT(ISBLANK($A6)), (_xlfn.XLOOKUP($A6,Index!$B$2:$B$995,Index!$C$2:$C$995,"Not Found")),"")</f>
        <v>C</v>
      </c>
      <c r="D6" s="1" t="str">
        <f t="array" ref="D6">IF(NOT(ISBLANK(A6)), (_xlfn.XLOOKUP($A6,Index!$B$2:B$995,Index!$A$2:$A$995,"Not Found")),"")</f>
        <v>base3-4</v>
      </c>
      <c r="E6" s="2">
        <f t="array" ref="E6">IF(NOT(ISBLANK($A6)), (_xlfn.XLOOKUP($A6,Index!$B$2:$B$995,Index!$D$2:$D$995,"Not Found")),"")</f>
        <v>2</v>
      </c>
      <c r="F6" s="1" t="str">
        <f t="array" ref="F6">IF(NOT(ISBLANK($A6)), (_xlfn.XLOOKUP($A6,Index!$B$2:$B$995,Index!$E$2:$E$995,"Not Found")),"")</f>
        <v/>
      </c>
      <c r="G6" s="1">
        <f t="array" ref="G6">IF(NOT(ISBLANK(A6)), ((_xlfn.XLOOKUP(A6,Index!$B$2:$B$995,Index!$F$2:$F$995,"Not Found"))*B6),"")</f>
        <v>6</v>
      </c>
      <c r="L6" s="6"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148</v>
      </c>
      <c r="B7" s="1">
        <v>3.0</v>
      </c>
      <c r="C7" s="1" t="str">
        <f t="array" ref="C7">IF(NOT(ISBLANK($A7)), (_xlfn.XLOOKUP($A7,Index!$B$2:$B$995,Index!$C$2:$C$995,"Not Found")),"")</f>
        <v>C</v>
      </c>
      <c r="D7" s="1" t="str">
        <f t="array" ref="D7">IF(NOT(ISBLANK(A7)), (_xlfn.XLOOKUP($A7,Index!$B$2:B$995,Index!$A$2:$A$995,"Not Found")),"")</f>
        <v>base1-57</v>
      </c>
      <c r="E7" s="2" t="str">
        <f t="array" ref="E7">IF(NOT(ISBLANK($A7)), (_xlfn.XLOOKUP($A7,Index!$B$2:$B$995,Index!$D$2:$D$995,"Not Found")),"")</f>
        <v>b</v>
      </c>
      <c r="F7" s="1" t="str">
        <f t="array" ref="F7">IF(NOT(ISBLANK($A7)), (_xlfn.XLOOKUP($A7,Index!$B$2:$B$995,Index!$E$2:$E$995,"Not Found")),"")</f>
        <v>y</v>
      </c>
      <c r="G7" s="1">
        <f t="array" ref="G7">IF(NOT(ISBLANK(A7)), ((_xlfn.XLOOKUP(A7,Index!$B$2:$B$995,Index!$F$2:$F$995,"Not Found"))*B7),"")</f>
        <v>0</v>
      </c>
      <c r="K7" s="1" t="s">
        <v>724</v>
      </c>
      <c r="L7" s="6">
        <f t="shared" ref="L7:Q7" si="7">SUM(L2:L6)</f>
        <v>22</v>
      </c>
      <c r="M7" s="6">
        <f t="shared" si="7"/>
        <v>12</v>
      </c>
      <c r="N7" s="6">
        <f t="shared" si="7"/>
        <v>2</v>
      </c>
      <c r="O7" s="6">
        <f t="shared" si="7"/>
        <v>5</v>
      </c>
      <c r="P7" s="6">
        <f t="shared" si="7"/>
        <v>3</v>
      </c>
      <c r="Q7" s="6">
        <f t="shared" si="7"/>
        <v>2</v>
      </c>
    </row>
    <row r="8">
      <c r="A8" s="1" t="s">
        <v>146</v>
      </c>
      <c r="B8" s="1">
        <v>2.0</v>
      </c>
      <c r="C8" s="1" t="str">
        <f t="array" ref="C8">IF(NOT(ISBLANK($A8)), (_xlfn.XLOOKUP($A8,Index!$B$2:$B$995,Index!$C$2:$C$995,"Not Found")),"")</f>
        <v>C</v>
      </c>
      <c r="D8" s="1" t="str">
        <f t="array" ref="D8">IF(NOT(ISBLANK(A8)), (_xlfn.XLOOKUP($A8,Index!$B$2:B$995,Index!$A$2:$A$995,"Not Found")),"")</f>
        <v>base1-22</v>
      </c>
      <c r="E8" s="2">
        <f t="array" ref="E8">IF(NOT(ISBLANK($A8)), (_xlfn.XLOOKUP($A8,Index!$B$2:$B$995,Index!$D$2:$D$995,"Not Found")),"")</f>
        <v>1</v>
      </c>
      <c r="F8" s="1" t="str">
        <f t="array" ref="F8">IF(NOT(ISBLANK($A8)), (_xlfn.XLOOKUP($A8,Index!$B$2:$B$995,Index!$E$2:$E$995,"Not Found")),"")</f>
        <v>y</v>
      </c>
      <c r="G8" s="1">
        <f t="array" ref="G8">IF(NOT(ISBLANK(A8)), ((_xlfn.XLOOKUP(A8,Index!$B$2:$B$995,Index!$F$2:$F$995,"Not Found"))*B8),"")</f>
        <v>0</v>
      </c>
    </row>
    <row r="9">
      <c r="A9" s="1" t="s">
        <v>141</v>
      </c>
      <c r="B9" s="1">
        <v>1.0</v>
      </c>
      <c r="C9" s="1" t="str">
        <f t="array" ref="C9">IF(NOT(ISBLANK($A9)), (_xlfn.XLOOKUP($A9,Index!$B$2:$B$995,Index!$C$2:$C$995,"Not Found")),"")</f>
        <v>C</v>
      </c>
      <c r="D9" s="1" t="str">
        <f t="array" ref="D9">IF(NOT(ISBLANK(A9)), (_xlfn.XLOOKUP($A9,Index!$B$2:B$995,Index!$A$2:$A$995,"Not Found")),"")</f>
        <v>base2-8</v>
      </c>
      <c r="E9" s="2">
        <f t="array" ref="E9">IF(NOT(ISBLANK($A9)), (_xlfn.XLOOKUP($A9,Index!$B$2:$B$995,Index!$D$2:$D$995,"Not Found")),"")</f>
        <v>2</v>
      </c>
      <c r="F9" s="1" t="str">
        <f t="array" ref="F9">IF(NOT(ISBLANK($A9)), (_xlfn.XLOOKUP($A9,Index!$B$2:$B$995,Index!$E$2:$E$995,"Not Found")),"")</f>
        <v/>
      </c>
      <c r="G9" s="1">
        <f t="array" ref="G9">IF(NOT(ISBLANK(A9)), ((_xlfn.XLOOKUP(A9,Index!$B$2:$B$995,Index!$F$2:$F$995,"Not Found"))*B9),"")</f>
        <v>3</v>
      </c>
      <c r="M9" s="1" t="s">
        <v>725</v>
      </c>
      <c r="N9" s="1" t="s">
        <v>726</v>
      </c>
      <c r="O9" s="1" t="s">
        <v>727</v>
      </c>
    </row>
    <row r="10">
      <c r="A10" s="1" t="s">
        <v>112</v>
      </c>
      <c r="B10" s="1">
        <v>2.0</v>
      </c>
      <c r="C10" s="1" t="str">
        <f t="array" ref="C10">IF(NOT(ISBLANK($A10)), (_xlfn.XLOOKUP($A10,Index!$B$2:$B$995,Index!$C$2:$C$995,"Not Found")),"")</f>
        <v>C</v>
      </c>
      <c r="D10" s="1" t="str">
        <f t="array" ref="D10">IF(NOT(ISBLANK(A10)), (_xlfn.XLOOKUP($A10,Index!$B$2:B$995,Index!$A$2:$A$995,"Not Found")),"")</f>
        <v>base2-5</v>
      </c>
      <c r="E10" s="2" t="str">
        <f t="array" ref="E10">IF(NOT(ISBLANK($A10)), (_xlfn.XLOOKUP($A10,Index!$B$2:$B$995,Index!$D$2:$D$995,"Not Found")),"")</f>
        <v>b</v>
      </c>
      <c r="F10" s="1" t="str">
        <f t="array" ref="F10">IF(NOT(ISBLANK($A10)), (_xlfn.XLOOKUP($A10,Index!$B$2:$B$995,Index!$E$2:$E$995,"Not Found")),"")</f>
        <v>n</v>
      </c>
      <c r="G10" s="1">
        <f t="array" ref="G10">IF(NOT(ISBLANK(A10)), ((_xlfn.XLOOKUP(A10,Index!$B$2:$B$995,Index!$F$2:$F$995,"Not Found"))*B10),"")</f>
        <v>3</v>
      </c>
      <c r="K10" s="1" t="s">
        <v>728</v>
      </c>
      <c r="L10" s="6">
        <f>SUM(M10:P10)</f>
        <v>16</v>
      </c>
      <c r="M10" s="6">
        <f>IF(NOT(ISBLANK($K10)), SUMIFS($B$2:$B$32,$E$2:$E$32, "C", $C$2:$C$32,"T"), "")</f>
        <v>7</v>
      </c>
      <c r="N10" s="6">
        <f>IF(NOT(ISBLANK($K10)), SUMIFS($B$2:$B$32,$E$2:$E$32, "U", $C$2:$C$32,"T"), "")</f>
        <v>5</v>
      </c>
      <c r="O10" s="6">
        <f>IF(NOT(ISBLANK($K$2)), SUMIFS($B$2:$B$32,$E$2:$E$32, "R", $C$2:$C$32,"T"), "")</f>
        <v>4</v>
      </c>
    </row>
    <row r="11">
      <c r="A11" s="1" t="s">
        <v>105</v>
      </c>
      <c r="B11" s="1">
        <v>3.0</v>
      </c>
      <c r="C11" s="1" t="str">
        <f t="array" ref="C11">IF(NOT(ISBLANK($A11)), (_xlfn.XLOOKUP($A11,Index!$B$2:$B$995,Index!$C$2:$C$995,"Not Found")),"")</f>
        <v>C</v>
      </c>
      <c r="D11" s="1" t="str">
        <f t="array" ref="D11">IF(NOT(ISBLANK(A11)), (_xlfn.XLOOKUP($A11,Index!$B$2:B$995,Index!$A$2:$A$995,"Not Found")),"")</f>
        <v>base2-54</v>
      </c>
      <c r="E11" s="2" t="str">
        <f t="array" ref="E11">IF(NOT(ISBLANK($A11)), (_xlfn.XLOOKUP($A11,Index!$B$2:$B$995,Index!$D$2:$D$995,"Not Found")),"")</f>
        <v>b</v>
      </c>
      <c r="F11" s="1" t="str">
        <f t="array" ref="F11">IF(NOT(ISBLANK($A11)), (_xlfn.XLOOKUP($A11,Index!$B$2:$B$995,Index!$E$2:$E$995,"Not Found")),"")</f>
        <v>y</v>
      </c>
      <c r="G11" s="1">
        <f t="array" ref="G11">IF(NOT(ISBLANK(A11)), ((_xlfn.XLOOKUP(A11,Index!$B$2:$B$995,Index!$F$2:$F$995,"Not Found"))*B11),"")</f>
        <v>0</v>
      </c>
      <c r="K11" s="1" t="s">
        <v>289</v>
      </c>
      <c r="L11" s="1">
        <f>IF(NOT(ISBLANK($K$2)), SUMIFS($B$2:$B$32, $C$2:$C$32,"Energy"), "")</f>
        <v>22</v>
      </c>
    </row>
    <row r="12">
      <c r="A12" s="1" t="s">
        <v>184</v>
      </c>
      <c r="B12" s="1">
        <v>2.0</v>
      </c>
      <c r="C12" s="1" t="str">
        <f t="array" ref="C12">IF(NOT(ISBLANK($A12)), (_xlfn.XLOOKUP($A12,Index!$B$2:$B$995,Index!$C$2:$C$995,"Not Found")),"")</f>
        <v>C</v>
      </c>
      <c r="D12" s="1" t="str">
        <f t="array" ref="D12">IF(NOT(ISBLANK(A12)), (_xlfn.XLOOKUP($A12,Index!$B$2:B$995,Index!$A$2:$A$995,"Not Found")),"")</f>
        <v>base2-16</v>
      </c>
      <c r="E12" s="2">
        <f t="array" ref="E12">IF(NOT(ISBLANK($A12)), (_xlfn.XLOOKUP($A12,Index!$B$2:$B$995,Index!$D$2:$D$995,"Not Found")),"")</f>
        <v>1</v>
      </c>
      <c r="F12" s="1" t="str">
        <f t="array" ref="F12">IF(NOT(ISBLANK($A12)), (_xlfn.XLOOKUP($A12,Index!$B$2:$B$995,Index!$E$2:$E$995,"Not Found")),"")</f>
        <v>n</v>
      </c>
      <c r="G12" s="1">
        <f t="array" ref="G12">IF(NOT(ISBLANK(A12)), ((_xlfn.XLOOKUP(A12,Index!$B$2:$B$995,Index!$F$2:$F$995,"Not Found"))*B12),"")</f>
        <v>6</v>
      </c>
      <c r="K12" s="1" t="s">
        <v>729</v>
      </c>
      <c r="L12" s="6">
        <f>L7</f>
        <v>22</v>
      </c>
    </row>
    <row r="13">
      <c r="A13" s="1" t="s">
        <v>610</v>
      </c>
      <c r="B13" s="1">
        <v>1.0</v>
      </c>
      <c r="C13" s="1" t="str">
        <f t="array" ref="C13">IF(NOT(ISBLANK($A13)), (_xlfn.XLOOKUP($A13,Index!$B$2:$B$995,Index!$C$2:$C$995,"Not Found")),"")</f>
        <v>T</v>
      </c>
      <c r="D13" s="1" t="str">
        <f t="array" ref="D13">IF(NOT(ISBLANK(A13)), (_xlfn.XLOOKUP($A13,Index!$B$2:B$995,Index!$A$2:$A$995,"Not Found")),"")</f>
        <v>base1-76</v>
      </c>
      <c r="E13" s="2" t="str">
        <f t="array" ref="E13">IF(NOT(ISBLANK($A13)), (_xlfn.XLOOKUP($A13,Index!$B$2:$B$995,Index!$D$2:$D$995,"Not Found")),"")</f>
        <v>r</v>
      </c>
      <c r="F13" s="1" t="str">
        <f t="array" ref="F13">IF(NOT(ISBLANK($A13)), (_xlfn.XLOOKUP($A13,Index!$B$2:$B$995,Index!$E$2:$E$995,"Not Found")),"")</f>
        <v/>
      </c>
      <c r="G13" s="1" t="str">
        <f t="array" ref="G13">IF(NOT(ISBLANK(A13)), ((_xlfn.XLOOKUP(A13,Index!$B$2:$B$995,Index!$F$2:$F$995,"Not Found"))*B13),"")</f>
        <v>#VALUE!</v>
      </c>
    </row>
    <row r="14">
      <c r="A14" s="1" t="s">
        <v>606</v>
      </c>
      <c r="B14" s="1">
        <v>1.0</v>
      </c>
      <c r="C14" s="1" t="str">
        <f t="array" ref="C14">IF(NOT(ISBLANK($A14)), (_xlfn.XLOOKUP($A14,Index!$B$2:$B$995,Index!$C$2:$C$995,"Not Found")),"")</f>
        <v>T</v>
      </c>
      <c r="D14" s="1" t="str">
        <f t="array" ref="D14">IF(NOT(ISBLANK(A14)), (_xlfn.XLOOKUP($A14,Index!$B$2:B$995,Index!$A$2:$A$995,"Not Found")),"")</f>
        <v>base1-74</v>
      </c>
      <c r="E14" s="2" t="str">
        <f t="array" ref="E14">IF(NOT(ISBLANK($A14)), (_xlfn.XLOOKUP($A14,Index!$B$2:$B$995,Index!$D$2:$D$995,"Not Found")),"")</f>
        <v>r</v>
      </c>
      <c r="F14" s="1" t="str">
        <f t="array" ref="F14">IF(NOT(ISBLANK($A14)), (_xlfn.XLOOKUP($A14,Index!$B$2:$B$995,Index!$E$2:$E$995,"Not Found")),"")</f>
        <v/>
      </c>
      <c r="G14" s="1" t="str">
        <f t="array" ref="G14">IF(NOT(ISBLANK(A14)), ((_xlfn.XLOOKUP(A14,Index!$B$2:$B$995,Index!$F$2:$F$995,"Not Found"))*B14),"")</f>
        <v>#VALUE!</v>
      </c>
    </row>
    <row r="15">
      <c r="A15" s="1" t="s">
        <v>612</v>
      </c>
      <c r="B15" s="1">
        <v>2.0</v>
      </c>
      <c r="C15" s="1" t="str">
        <f t="array" ref="C15">IF(NOT(ISBLANK($A15)), (_xlfn.XLOOKUP($A15,Index!$B$2:$B$995,Index!$C$2:$C$995,"Not Found")),"")</f>
        <v>T</v>
      </c>
      <c r="D15" s="1" t="str">
        <f t="array" ref="D15">IF(NOT(ISBLANK(A15)), (_xlfn.XLOOKUP($A15,Index!$B$2:B$995,Index!$A$2:$A$995,"Not Found")),"")</f>
        <v>base1-77</v>
      </c>
      <c r="E15" s="2" t="str">
        <f t="array" ref="E15">IF(NOT(ISBLANK($A15)), (_xlfn.XLOOKUP($A15,Index!$B$2:$B$995,Index!$D$2:$D$995,"Not Found")),"")</f>
        <v>r</v>
      </c>
      <c r="F15" s="1" t="str">
        <f t="array" ref="F15">IF(NOT(ISBLANK($A15)), (_xlfn.XLOOKUP($A15,Index!$B$2:$B$995,Index!$E$2:$E$995,"Not Found")),"")</f>
        <v/>
      </c>
      <c r="G15" s="1" t="str">
        <f t="array" ref="G15">IF(NOT(ISBLANK(A15)), ((_xlfn.XLOOKUP(A15,Index!$B$2:$B$995,Index!$F$2:$F$995,"Not Found"))*B15),"")</f>
        <v>#VALUE!</v>
      </c>
      <c r="K15" s="1" t="s">
        <v>730</v>
      </c>
    </row>
    <row r="16">
      <c r="A16" s="1" t="s">
        <v>570</v>
      </c>
      <c r="B16" s="1">
        <v>3.0</v>
      </c>
      <c r="C16" s="1" t="str">
        <f t="array" ref="C16">IF(NOT(ISBLANK($A16)), (_xlfn.XLOOKUP($A16,Index!$B$2:$B$995,Index!$C$2:$C$995,"Not Found")),"")</f>
        <v>T</v>
      </c>
      <c r="D16" s="1" t="str">
        <f t="array" ref="D16">IF(NOT(ISBLANK(A16)), (_xlfn.XLOOKUP($A16,Index!$B$2:B$995,Index!$A$2:$A$995,"Not Found")),"")</f>
        <v>base1-91</v>
      </c>
      <c r="E16" s="2" t="str">
        <f t="array" ref="E16">IF(NOT(ISBLANK($A16)), (_xlfn.XLOOKUP($A16,Index!$B$2:$B$995,Index!$D$2:$D$995,"Not Found")),"")</f>
        <v>c</v>
      </c>
      <c r="F16" s="1" t="str">
        <f t="array" ref="F16">IF(NOT(ISBLANK($A16)), (_xlfn.XLOOKUP($A16,Index!$B$2:$B$995,Index!$E$2:$E$995,"Not Found")),"")</f>
        <v/>
      </c>
      <c r="G16" s="1" t="str">
        <f t="array" ref="G16">IF(NOT(ISBLANK(A16)), ((_xlfn.XLOOKUP(A16,Index!$B$2:$B$995,Index!$F$2:$F$995,"Not Found"))*B16),"")</f>
        <v>#VALUE!</v>
      </c>
      <c r="K16" s="6" t="str">
        <f t="shared" ref="K16:K20" si="8">K2</f>
        <v>C</v>
      </c>
      <c r="L16" s="1">
        <f t="shared" ref="L16:L19" si="9">IF(NOT(ISBLANK($K2)), SUMIFS($G$2:$G$32, $C$2:$C$32,$K2), "")</f>
        <v>21</v>
      </c>
    </row>
    <row r="17">
      <c r="A17" s="1" t="s">
        <v>638</v>
      </c>
      <c r="B17" s="1">
        <v>2.0</v>
      </c>
      <c r="C17" s="1" t="str">
        <f t="array" ref="C17">IF(NOT(ISBLANK($A17)), (_xlfn.XLOOKUP($A17,Index!$B$2:$B$995,Index!$C$2:$C$995,"Not Found")),"")</f>
        <v>T</v>
      </c>
      <c r="D17" s="1" t="str">
        <f t="array" ref="D17">IF(NOT(ISBLANK(A17)), (_xlfn.XLOOKUP($A17,Index!$B$2:B$995,Index!$A$2:$A$995,"Not Found")),"")</f>
        <v>base1-88</v>
      </c>
      <c r="E17" s="2" t="str">
        <f t="array" ref="E17">IF(NOT(ISBLANK($A17)), (_xlfn.XLOOKUP($A17,Index!$B$2:$B$995,Index!$D$2:$D$995,"Not Found")),"")</f>
        <v>u</v>
      </c>
      <c r="F17" s="1" t="str">
        <f t="array" ref="F17">IF(NOT(ISBLANK($A17)), (_xlfn.XLOOKUP($A17,Index!$B$2:$B$995,Index!$E$2:$E$995,"Not Found")),"")</f>
        <v/>
      </c>
      <c r="G17" s="1" t="str">
        <f t="array" ref="G17">IF(NOT(ISBLANK(A17)), ((_xlfn.XLOOKUP(A17,Index!$B$2:$B$995,Index!$F$2:$F$995,"Not Found"))*B17),"")</f>
        <v>#VALUE!</v>
      </c>
      <c r="K17" s="6" t="str">
        <f t="shared" si="8"/>
        <v/>
      </c>
      <c r="L17" s="1" t="str">
        <f t="shared" si="9"/>
        <v/>
      </c>
    </row>
    <row r="18">
      <c r="A18" s="1" t="s">
        <v>582</v>
      </c>
      <c r="B18" s="1">
        <v>3.0</v>
      </c>
      <c r="C18" s="1" t="str">
        <f t="array" ref="C18">IF(NOT(ISBLANK($A18)), (_xlfn.XLOOKUP($A18,Index!$B$2:$B$995,Index!$C$2:$C$995,"Not Found")),"")</f>
        <v>T</v>
      </c>
      <c r="D18" s="1" t="str">
        <f t="array" ref="D18">IF(NOT(ISBLANK(A18)), (_xlfn.XLOOKUP($A18,Index!$B$2:B$995,Index!$A$2:$A$995,"Not Found")),"")</f>
        <v>base1-93</v>
      </c>
      <c r="E18" s="2" t="str">
        <f t="array" ref="E18">IF(NOT(ISBLANK($A18)), (_xlfn.XLOOKUP($A18,Index!$B$2:$B$995,Index!$D$2:$D$995,"Not Found")),"")</f>
        <v>c</v>
      </c>
      <c r="F18" s="1" t="str">
        <f t="array" ref="F18">IF(NOT(ISBLANK($A18)), (_xlfn.XLOOKUP($A18,Index!$B$2:$B$995,Index!$E$2:$E$995,"Not Found")),"")</f>
        <v/>
      </c>
      <c r="G18" s="1" t="str">
        <f t="array" ref="G18">IF(NOT(ISBLANK(A18)), ((_xlfn.XLOOKUP(A18,Index!$B$2:$B$995,Index!$F$2:$F$995,"Not Found"))*B18),"")</f>
        <v>#VALUE!</v>
      </c>
      <c r="K18" s="6" t="str">
        <f t="shared" si="8"/>
        <v/>
      </c>
      <c r="L18" s="1" t="str">
        <f t="shared" si="9"/>
        <v/>
      </c>
    </row>
    <row r="19">
      <c r="A19" s="1" t="s">
        <v>574</v>
      </c>
      <c r="B19" s="1">
        <v>1.0</v>
      </c>
      <c r="C19" s="1" t="str">
        <f t="array" ref="C19">IF(NOT(ISBLANK($A19)), (_xlfn.XLOOKUP($A19,Index!$B$2:$B$995,Index!$C$2:$C$995,"Not Found")),"")</f>
        <v>T</v>
      </c>
      <c r="D19" s="1" t="str">
        <f t="array" ref="D19">IF(NOT(ISBLANK(A19)), (_xlfn.XLOOKUP($A19,Index!$B$2:B$995,Index!$A$2:$A$995,"Not Found")),"")</f>
        <v>base1-92</v>
      </c>
      <c r="E19" s="2" t="str">
        <f t="array" ref="E19">IF(NOT(ISBLANK($A19)), (_xlfn.XLOOKUP($A19,Index!$B$2:$B$995,Index!$D$2:$D$995,"Not Found")),"")</f>
        <v>c</v>
      </c>
      <c r="F19" s="1" t="str">
        <f t="array" ref="F19">IF(NOT(ISBLANK($A19)), (_xlfn.XLOOKUP($A19,Index!$B$2:$B$995,Index!$E$2:$E$995,"Not Found")),"")</f>
        <v/>
      </c>
      <c r="G19" s="1" t="str">
        <f t="array" ref="G19">IF(NOT(ISBLANK(A19)), ((_xlfn.XLOOKUP(A19,Index!$B$2:$B$995,Index!$F$2:$F$995,"Not Found"))*B19),"")</f>
        <v>#VALUE!</v>
      </c>
      <c r="K19" s="6" t="str">
        <f t="shared" si="8"/>
        <v/>
      </c>
      <c r="L19" s="1" t="str">
        <f t="shared" si="9"/>
        <v/>
      </c>
    </row>
    <row r="20">
      <c r="A20" s="1" t="s">
        <v>618</v>
      </c>
      <c r="B20" s="1">
        <v>1.0</v>
      </c>
      <c r="C20" s="1" t="str">
        <f t="array" ref="C20">IF(NOT(ISBLANK($A20)), (_xlfn.XLOOKUP($A20,Index!$B$2:$B$995,Index!$C$2:$C$995,"Not Found")),"")</f>
        <v>T</v>
      </c>
      <c r="D20" s="1" t="str">
        <f t="array" ref="D20">IF(NOT(ISBLANK(A20)), (_xlfn.XLOOKUP($A20,Index!$B$2:B$995,Index!$A$2:$A$995,"Not Found")),"")</f>
        <v>base1-80</v>
      </c>
      <c r="E20" s="2" t="str">
        <f t="array" ref="E20">IF(NOT(ISBLANK($A20)), (_xlfn.XLOOKUP($A20,Index!$B$2:$B$995,Index!$D$2:$D$995,"Not Found")),"")</f>
        <v>u</v>
      </c>
      <c r="F20" s="1" t="str">
        <f t="array" ref="F20">IF(NOT(ISBLANK($A20)), (_xlfn.XLOOKUP($A20,Index!$B$2:$B$995,Index!$E$2:$E$995,"Not Found")),"")</f>
        <v/>
      </c>
      <c r="G20" s="1" t="str">
        <f t="array" ref="G20">IF(NOT(ISBLANK(A20)), ((_xlfn.XLOOKUP(A20,Index!$B$2:$B$995,Index!$F$2:$F$995,"Not Found"))*B20),"")</f>
        <v>#VALUE!</v>
      </c>
      <c r="K20" s="6" t="str">
        <f t="shared" si="8"/>
        <v/>
      </c>
    </row>
    <row r="21">
      <c r="A21" s="1" t="s">
        <v>623</v>
      </c>
      <c r="B21" s="1">
        <v>2.0</v>
      </c>
      <c r="C21" s="1" t="str">
        <f t="array" ref="C21">IF(NOT(ISBLANK($A21)), (_xlfn.XLOOKUP($A21,Index!$B$2:$B$995,Index!$C$2:$C$995,"Not Found")),"")</f>
        <v>T</v>
      </c>
      <c r="D21" s="1" t="str">
        <f t="array" ref="D21">IF(NOT(ISBLANK(A21)), (_xlfn.XLOOKUP($A21,Index!$B$2:B$995,Index!$A$2:$A$995,"Not Found")),"")</f>
        <v>base1-82</v>
      </c>
      <c r="E21" s="2" t="str">
        <f t="array" ref="E21">IF(NOT(ISBLANK($A21)), (_xlfn.XLOOKUP($A21,Index!$B$2:$B$995,Index!$D$2:$D$995,"Not Found")),"")</f>
        <v>u</v>
      </c>
      <c r="F21" s="1" t="str">
        <f t="array" ref="F21">IF(NOT(ISBLANK($A21)), (_xlfn.XLOOKUP($A21,Index!$B$2:$B$995,Index!$E$2:$E$995,"Not Found")),"")</f>
        <v/>
      </c>
      <c r="G21" s="1" t="str">
        <f t="array" ref="G21">IF(NOT(ISBLANK(A21)), ((_xlfn.XLOOKUP(A21,Index!$B$2:$B$995,Index!$F$2:$F$995,"Not Found"))*B21),"")</f>
        <v>#VALUE!</v>
      </c>
      <c r="K21" s="1" t="s">
        <v>731</v>
      </c>
      <c r="L21" s="6">
        <f>SUM(L15:L19)</f>
        <v>21</v>
      </c>
    </row>
    <row r="22">
      <c r="C22" s="1" t="str">
        <f t="array" ref="C22">IF(NOT(ISBLANK($A22)), (_xlfn.XLOOKUP($A22,Index!$B$2:$B$995,Index!$C$2:$C$995,"Not Found")),"")</f>
        <v/>
      </c>
      <c r="D22" s="1" t="str">
        <f t="array" ref="D22">IF(NOT(ISBLANK(A22)), (_xlfn.XLOOKUP($A22,Index!$B$2:B$995,Index!$A$2:$A$995,"Not Found")),"")</f>
        <v/>
      </c>
      <c r="E22" s="2" t="str">
        <f t="array" ref="E22">IF(NOT(ISBLANK($A22)), (_xlfn.XLOOKUP($A22,Index!$B$2:$B$995,Index!$D$2:$D$995,"Not Found")),"")</f>
        <v/>
      </c>
      <c r="F22" s="1" t="str">
        <f t="array" ref="F22">IF(NOT(ISBLANK($A22)), (_xlfn.XLOOKUP($A22,Index!$B$2:$B$995,Index!$E$2:$E$995,"Not Found")),"")</f>
        <v/>
      </c>
      <c r="G22" s="1" t="str">
        <f t="array" ref="G22">IF(NOT(ISBLANK(A22)), ((_xlfn.XLOOKUP(A22,Index!$B$2:$B$995,Index!$F$2:$F$995,"Not Found"))*B22),"")</f>
        <v/>
      </c>
    </row>
    <row r="23">
      <c r="C23" s="1" t="str">
        <f t="array" ref="C23">IF(NOT(ISBLANK($A23)), (_xlfn.XLOOKUP($A23,Index!$B$2:$B$995,Index!$C$2:$C$995,"Not Found")),"")</f>
        <v/>
      </c>
      <c r="D23" s="1" t="str">
        <f t="array" ref="D23">IF(NOT(ISBLANK(A23)), (_xlfn.XLOOKUP($A23,Index!$B$2:B$995,Index!$A$2:$A$995,"Not Found")),"")</f>
        <v/>
      </c>
      <c r="E23" s="2" t="str">
        <f t="array" ref="E23">IF(NOT(ISBLANK($A23)), (_xlfn.XLOOKUP($A23,Index!$B$2:$B$995,Index!$D$2:$D$995,"Not Found")),"")</f>
        <v/>
      </c>
      <c r="F23" s="1" t="str">
        <f t="array" ref="F23">IF(NOT(ISBLANK($A23)), (_xlfn.XLOOKUP($A23,Index!$B$2:$B$995,Index!$E$2:$E$995,"Not Found")),"")</f>
        <v/>
      </c>
      <c r="G23" s="1" t="str">
        <f t="array" ref="G23">IF(NOT(ISBLANK(A23)), ((_xlfn.XLOOKUP(A23,Index!$B$2:$B$995,Index!$F$2:$F$995,"Not Found"))*B23),"")</f>
        <v/>
      </c>
    </row>
    <row r="24">
      <c r="C24" s="1" t="str">
        <f t="array" ref="C24">IF(NOT(ISBLANK($A24)), (_xlfn.XLOOKUP($A24,Index!$B$2:$B$995,Index!$C$2:$C$995,"Not Found")),"")</f>
        <v/>
      </c>
      <c r="D24" s="1" t="str">
        <f t="array" ref="D24">IF(NOT(ISBLANK(A24)), (_xlfn.XLOOKUP($A24,Index!$B$2:B$995,Index!$A$2:$A$995,"Not Found")),"")</f>
        <v/>
      </c>
      <c r="E24" s="2" t="str">
        <f t="array" ref="E24">IF(NOT(ISBLANK($A24)), (_xlfn.XLOOKUP($A24,Index!$B$2:$B$995,Index!$D$2:$D$995,"Not Found")),"")</f>
        <v/>
      </c>
      <c r="F24" s="1" t="str">
        <f t="array" ref="F24">IF(NOT(ISBLANK($A24)), (_xlfn.XLOOKUP($A24,Index!$B$2:$B$995,Index!$E$2:$E$995,"Not Found")),"")</f>
        <v/>
      </c>
      <c r="G24" s="1" t="str">
        <f t="array" ref="G24">IF(NOT(ISBLANK(A24)), ((_xlfn.XLOOKUP(A24,Index!$B$2:$B$995,Index!$F$2:$F$995,"Not Found"))*B24),"")</f>
        <v/>
      </c>
      <c r="K24" s="1" t="s">
        <v>732</v>
      </c>
      <c r="L24" s="1" t="s">
        <v>184</v>
      </c>
    </row>
    <row r="25">
      <c r="C25" s="1" t="str">
        <f t="array" ref="C25">IF(NOT(ISBLANK($A25)), (_xlfn.XLOOKUP($A25,Index!$B$2:$B$995,Index!$C$2:$C$995,"Not Found")),"")</f>
        <v/>
      </c>
      <c r="D25" s="1" t="str">
        <f t="array" ref="D25">IF(NOT(ISBLANK(A25)), (_xlfn.XLOOKUP($A25,Index!$B$2:B$995,Index!$A$2:$A$995,"Not Found")),"")</f>
        <v/>
      </c>
      <c r="E25" s="2" t="str">
        <f t="array" ref="E25">IF(NOT(ISBLANK($A25)), (_xlfn.XLOOKUP($A25,Index!$B$2:$B$995,Index!$D$2:$D$995,"Not Found")),"")</f>
        <v/>
      </c>
      <c r="F25" s="1" t="str">
        <f t="array" ref="F25">IF(NOT(ISBLANK($A25)), (_xlfn.XLOOKUP($A25,Index!$B$2:$B$995,Index!$E$2:$E$995,"Not Found")),"")</f>
        <v/>
      </c>
      <c r="G25" s="1" t="str">
        <f t="array" ref="G25">IF(NOT(ISBLANK(A25)), ((_xlfn.XLOOKUP(A25,Index!$B$2:$B$995,Index!$F$2:$F$995,"Not Found"))*B25),"")</f>
        <v/>
      </c>
    </row>
    <row r="26">
      <c r="C26" s="1" t="str">
        <f t="array" ref="C26">IF(NOT(ISBLANK($A26)), (_xlfn.XLOOKUP($A26,Index!$B$2:$B$995,Index!$C$2:$C$995,"Not Found")),"")</f>
        <v/>
      </c>
      <c r="D26" s="1" t="str">
        <f t="array" ref="D26">IF(NOT(ISBLANK(A26)), (_xlfn.XLOOKUP($A26,Index!$B$2:B$995,Index!$A$2:$A$995,"Not Found")),"")</f>
        <v/>
      </c>
      <c r="E26" s="2" t="str">
        <f t="array" ref="E26">IF(NOT(ISBLANK($A26)), (_xlfn.XLOOKUP($A26,Index!$B$2:$B$995,Index!$D$2:$D$995,"Not Found")),"")</f>
        <v/>
      </c>
      <c r="F26" s="1" t="str">
        <f t="array" ref="F26">IF(NOT(ISBLANK($A26)), (_xlfn.XLOOKUP($A26,Index!$B$2:$B$995,Index!$E$2:$E$995,"Not Found")),"")</f>
        <v/>
      </c>
      <c r="G26" s="1" t="str">
        <f t="array" ref="G26">IF(NOT(ISBLANK(A26)), ((_xlfn.XLOOKUP(A26,Index!$B$2:$B$995,Index!$F$2:$F$995,"Not Found"))*B26),"")</f>
        <v/>
      </c>
    </row>
    <row r="27">
      <c r="C27" s="1" t="str">
        <f t="array" ref="C27">IF(NOT(ISBLANK($A27)), (_xlfn.XLOOKUP($A27,Index!$B$2:$B$995,Index!$C$2:$C$995,"Not Found")),"")</f>
        <v/>
      </c>
      <c r="D27" s="1" t="str">
        <f t="array" ref="D27">IF(NOT(ISBLANK(A27)), (_xlfn.XLOOKUP($A27,Index!$B$2:B$995,Index!$A$2:$A$995,"Not Found")),"")</f>
        <v/>
      </c>
      <c r="E27" s="2" t="str">
        <f t="array" ref="E27">IF(NOT(ISBLANK($A27)), (_xlfn.XLOOKUP($A27,Index!$B$2:$B$995,Index!$D$2:$D$995,"Not Found")),"")</f>
        <v/>
      </c>
      <c r="F27" s="1" t="str">
        <f t="array" ref="F27">IF(NOT(ISBLANK($A27)), (_xlfn.XLOOKUP($A27,Index!$B$2:$B$995,Index!$E$2:$E$995,"Not Found")),"")</f>
        <v/>
      </c>
      <c r="G27" s="1" t="str">
        <f t="array" ref="G27">IF(NOT(ISBLANK(A27)), ((_xlfn.XLOOKUP(A27,Index!$B$2:$B$995,Index!$F$2:$F$995,"Not Found"))*B27),"")</f>
        <v/>
      </c>
    </row>
    <row r="28">
      <c r="C28" s="1" t="str">
        <f t="array" ref="C28">IF(NOT(ISBLANK($A28)), (_xlfn.XLOOKUP($A28,Index!$B$2:$B$995,Index!$C$2:$C$995,"Not Found")),"")</f>
        <v/>
      </c>
      <c r="D28" s="1" t="str">
        <f t="array" ref="D28">IF(NOT(ISBLANK(A28)), (_xlfn.XLOOKUP($A28,Index!$B$2:B$995,Index!$A$2:$A$995,"Not Found")),"")</f>
        <v/>
      </c>
      <c r="E28" s="2" t="str">
        <f t="array" ref="E28">IF(NOT(ISBLANK($A28)), (_xlfn.XLOOKUP($A28,Index!$B$2:$B$995,Index!$D$2:$D$995,"Not Found")),"")</f>
        <v/>
      </c>
      <c r="F28" s="1" t="str">
        <f t="array" ref="F28">IF(NOT(ISBLANK($A28)), (_xlfn.XLOOKUP($A28,Index!$B$2:$B$995,Index!$E$2:$E$995,"Not Found")),"")</f>
        <v/>
      </c>
      <c r="G28" s="1" t="str">
        <f t="array" ref="G28">IF(NOT(ISBLANK(A28)), ((_xlfn.XLOOKUP(A28,Index!$B$2:$B$995,Index!$F$2:$F$995,"Not Found"))*B28),"")</f>
        <v/>
      </c>
    </row>
    <row r="29">
      <c r="C29" s="1" t="str">
        <f t="array" ref="C29">IF(NOT(ISBLANK($A29)), (_xlfn.XLOOKUP($A29,Index!$B$2:$B$995,Index!$C$2:$C$995,"Not Found")),"")</f>
        <v/>
      </c>
      <c r="D29" s="1" t="str">
        <f t="array" ref="D29">IF(NOT(ISBLANK(A29)), (_xlfn.XLOOKUP($A29,Index!$B$2:B$995,Index!$A$2:$A$995,"Not Found")),"")</f>
        <v/>
      </c>
      <c r="E29" s="2" t="str">
        <f t="array" ref="E29">IF(NOT(ISBLANK($A29)), (_xlfn.XLOOKUP($A29,Index!$B$2:$B$995,Index!$D$2:$D$995,"Not Found")),"")</f>
        <v/>
      </c>
      <c r="F29" s="1" t="str">
        <f t="array" ref="F29">IF(NOT(ISBLANK($A29)), (_xlfn.XLOOKUP($A29,Index!$B$2:$B$995,Index!$E$2:$E$995,"Not Found")),"")</f>
        <v/>
      </c>
      <c r="G29" s="1" t="str">
        <f t="array" ref="G29">IF(NOT(ISBLANK(A29)), ((_xlfn.XLOOKUP(A29,Index!$B$2:$B$995,Index!$F$2:$F$995,"Not Found"))*B29),"")</f>
        <v/>
      </c>
    </row>
    <row r="30">
      <c r="C30" s="1" t="str">
        <f t="array" ref="C30">IF(NOT(ISBLANK($A30)), (_xlfn.XLOOKUP($A30,Index!$B$2:$B$995,Index!$C$2:$C$995,"Not Found")),"")</f>
        <v/>
      </c>
      <c r="D30" s="1" t="str">
        <f t="array" ref="D30">IF(NOT(ISBLANK(A30)), (_xlfn.XLOOKUP($A30,Index!$B$2:B$995,Index!$A$2:$A$995,"Not Found")),"")</f>
        <v/>
      </c>
      <c r="E30" s="2" t="str">
        <f t="array" ref="E30">IF(NOT(ISBLANK($A30)), (_xlfn.XLOOKUP($A30,Index!$B$2:$B$995,Index!$D$2:$D$995,"Not Found")),"")</f>
        <v/>
      </c>
      <c r="F30" s="1" t="str">
        <f t="array" ref="F30">IF(NOT(ISBLANK($A30)), (_xlfn.XLOOKUP($A30,Index!$B$2:$B$995,Index!$E$2:$E$995,"Not Found")),"")</f>
        <v/>
      </c>
      <c r="G30" s="1" t="str">
        <f t="array" ref="G30">IF(NOT(ISBLANK(A30)), ((_xlfn.XLOOKUP(A30,Index!$B$2:$B$995,Index!$F$2:$F$995,"Not Found"))*B30),"")</f>
        <v/>
      </c>
    </row>
    <row r="31">
      <c r="C31" s="1" t="str">
        <f t="array" ref="C31">IF(NOT(ISBLANK($A31)), (_xlfn.XLOOKUP($A31,Index!$B$2:$B$995,Index!$C$2:$C$995,"Not Found")),"")</f>
        <v/>
      </c>
      <c r="D31" s="1" t="str">
        <f t="array" ref="D31">IF(NOT(ISBLANK(A31)), (_xlfn.XLOOKUP($A31,Index!$B$2:B$995,Index!$A$2:$A$995,"Not Found")),"")</f>
        <v/>
      </c>
      <c r="E31" s="2" t="str">
        <f t="array" ref="E31">IF(NOT(ISBLANK($A31)), (_xlfn.XLOOKUP($A31,Index!$B$2:$B$995,Index!$D$2:$D$995,"Not Found")),"")</f>
        <v/>
      </c>
      <c r="F31" s="1" t="str">
        <f t="array" ref="F31">IF(NOT(ISBLANK($A31)), (_xlfn.XLOOKUP($A31,Index!$B$2:$B$995,Index!$E$2:$E$995,"Not Found")),"")</f>
        <v/>
      </c>
      <c r="G31" s="1" t="str">
        <f t="array" ref="G31">IF(NOT(ISBLANK(A31)), ((_xlfn.XLOOKUP(A31,Index!$B$2:$B$995,Index!$F$2:$F$995,"Not Found"))*B31),"")</f>
        <v/>
      </c>
    </row>
    <row r="32">
      <c r="C32" s="1" t="str">
        <f t="array" ref="C32">IF(NOT(ISBLANK($A32)), (_xlfn.XLOOKUP($A32,Index!$B$2:$B$995,Index!$C$2:$C$995,"Not Found")),"")</f>
        <v/>
      </c>
      <c r="D32" s="1" t="str">
        <f t="array" ref="D32">IF(NOT(ISBLANK(A32)), (_xlfn.XLOOKUP($A32,Index!$B$2:B$995,Index!$A$2:$A$995,"Not Found")),"")</f>
        <v/>
      </c>
      <c r="E32" s="2" t="str">
        <f t="array" ref="E32">IF(NOT(ISBLANK($A32)), (_xlfn.XLOOKUP($A32,Index!$B$2:$B$995,Index!$D$2:$D$995,"Not Found")),"")</f>
        <v/>
      </c>
      <c r="F32" s="1" t="str">
        <f t="array" ref="F32">IF(NOT(ISBLANK($A32)), (_xlfn.XLOOKUP($A32,Index!$B$2:$B$995,Index!$E$2:$E$995,"Not Found")),"")</f>
        <v/>
      </c>
      <c r="G32" s="1" t="str">
        <f t="array" ref="G32">IF(NOT(ISBLANK(A32)), ((_xlfn.XLOOKUP(A32,Index!$B$2:$B$995,Index!$F$2:$F$995,"Not Found"))*B32),"")</f>
        <v/>
      </c>
    </row>
    <row r="33">
      <c r="C33" s="1" t="str">
        <f t="array" ref="C33">IF(NOT(ISBLANK($A33)), (_xlfn.XLOOKUP($A33,Index!$B$2:$B$995,Index!$C$2:$C$995,"Not Found")),"")</f>
        <v/>
      </c>
      <c r="D33" s="1" t="str">
        <f t="array" ref="D33">IF(NOT(ISBLANK(A33)), (_xlfn.XLOOKUP($A33,Index!$B$2:B$995,Index!$A$2:$A$995,"Not Found")),"")</f>
        <v/>
      </c>
      <c r="E33" s="2" t="str">
        <f t="array" ref="E33">IF(NOT(ISBLANK($A33)), (_xlfn.XLOOKUP($A33,Index!$B$2:$B$995,Index!$D$2:$D$995,"Not Found")),"")</f>
        <v/>
      </c>
      <c r="F33" s="1" t="str">
        <f t="array" ref="F33">IF(NOT(ISBLANK($A33)), (_xlfn.XLOOKUP($A33,Index!$B$2:$B$995,Index!$E$2:$E$995,"Not Found")),"")</f>
        <v/>
      </c>
      <c r="G33" s="1" t="str">
        <f t="array" ref="G33">IF(NOT(ISBLANK(A33)), ((_xlfn.XLOOKUP(A33,Index!$B$2:$B$995,Index!$F$2:$F$995,"Not Found"))*B33),"")</f>
        <v/>
      </c>
    </row>
    <row r="34">
      <c r="C34" s="1" t="str">
        <f t="array" ref="C34">IF(NOT(ISBLANK($A34)), (_xlfn.XLOOKUP($A34,Index!$B$2:$B$995,Index!$C$2:$C$995,"Not Found")),"")</f>
        <v/>
      </c>
      <c r="D34" s="1" t="str">
        <f t="array" ref="D34">IF(NOT(ISBLANK(A34)), (_xlfn.XLOOKUP($A34,Index!$B$2:B$995,Index!$A$2:$A$995,"Not Found")),"")</f>
        <v/>
      </c>
      <c r="E34" s="2" t="str">
        <f t="array" ref="E34">IF(NOT(ISBLANK($A34)), (_xlfn.XLOOKUP($A34,Index!$B$2:$B$995,Index!$D$2:$D$995,"Not Found")),"")</f>
        <v/>
      </c>
      <c r="F34" s="1" t="str">
        <f t="array" ref="F34">IF(NOT(ISBLANK($A34)), (_xlfn.XLOOKUP($A34,Index!$B$2:$B$995,Index!$E$2:$E$995,"Not Found")),"")</f>
        <v/>
      </c>
      <c r="G34" s="1" t="str">
        <f t="array" ref="G34">IF(NOT(ISBLANK(A34)), ((_xlfn.XLOOKUP(A34,Index!$B$2:$B$995,Index!$F$2:$F$995,"Not Found"))*B34),"")</f>
        <v/>
      </c>
    </row>
    <row r="35">
      <c r="C35" s="1" t="str">
        <f t="array" ref="C35">IF(NOT(ISBLANK($A35)), (_xlfn.XLOOKUP($A35,Index!$B$2:$B$995,Index!$C$2:$C$995,"Not Found")),"")</f>
        <v/>
      </c>
      <c r="D35" s="1" t="str">
        <f t="array" ref="D35">IF(NOT(ISBLANK(A35)), (_xlfn.XLOOKUP($A35,Index!$B$2:B$995,Index!$A$2:$A$995,"Not Found")),"")</f>
        <v/>
      </c>
      <c r="E35" s="2" t="str">
        <f t="array" ref="E35">IF(NOT(ISBLANK($A35)), (_xlfn.XLOOKUP($A35,Index!$B$2:$B$995,Index!$D$2:$D$995,"Not Found")),"")</f>
        <v/>
      </c>
      <c r="F35" s="1" t="str">
        <f t="array" ref="F35">IF(NOT(ISBLANK($A35)), (_xlfn.XLOOKUP($A35,Index!$B$2:$B$995,Index!$E$2:$E$995,"Not Found")),"")</f>
        <v/>
      </c>
      <c r="G35" s="1" t="str">
        <f t="array" ref="G35">IF(NOT(ISBLANK(A35)), ((_xlfn.XLOOKUP(A35,Index!$B$2:$B$995,Index!$F$2:$F$995,"Not Found"))*B35),"")</f>
        <v/>
      </c>
    </row>
    <row r="36">
      <c r="C36" s="1" t="str">
        <f t="array" ref="C36">IF(NOT(ISBLANK($A36)), (_xlfn.XLOOKUP($A36,Index!$B$2:$B$995,Index!$C$2:$C$995,"Not Found")),"")</f>
        <v/>
      </c>
      <c r="D36" s="1" t="str">
        <f t="array" ref="D36">IF(NOT(ISBLANK(A36)), (_xlfn.XLOOKUP($A36,Index!$B$2:B$995,Index!$A$2:$A$995,"Not Found")),"")</f>
        <v/>
      </c>
      <c r="E36" s="2" t="str">
        <f t="array" ref="E36">IF(NOT(ISBLANK($A36)), (_xlfn.XLOOKUP($A36,Index!$B$2:$B$995,Index!$D$2:$D$995,"Not Found")),"")</f>
        <v/>
      </c>
      <c r="F36" s="1" t="str">
        <f t="array" ref="F36">IF(NOT(ISBLANK($A36)), (_xlfn.XLOOKUP($A36,Index!$B$2:$B$995,Index!$E$2:$E$995,"Not Found")),"")</f>
        <v/>
      </c>
      <c r="G36" s="1" t="str">
        <f t="array" ref="G36">IF(NOT(ISBLANK(A36)), ((_xlfn.XLOOKUP(A36,Index!$B$2:$B$995,Index!$F$2:$F$995,"Not Found"))*B36),"")</f>
        <v/>
      </c>
    </row>
    <row r="37">
      <c r="C37" s="1" t="str">
        <f t="array" ref="C37">IF(NOT(ISBLANK($A37)), (_xlfn.XLOOKUP($A37,Index!$B$2:$B$995,Index!$C$2:$C$995,"Not Found")),"")</f>
        <v/>
      </c>
      <c r="D37" s="1" t="str">
        <f t="array" ref="D37">IF(NOT(ISBLANK(A37)), (_xlfn.XLOOKUP($A37,Index!$B$2:B$995,Index!$A$2:$A$995,"Not Found")),"")</f>
        <v/>
      </c>
      <c r="E37" s="2" t="str">
        <f t="array" ref="E37">IF(NOT(ISBLANK($A37)), (_xlfn.XLOOKUP($A37,Index!$B$2:$B$995,Index!$D$2:$D$995,"Not Found")),"")</f>
        <v/>
      </c>
      <c r="F37" s="1" t="str">
        <f t="array" ref="F37">IF(NOT(ISBLANK($A37)), (_xlfn.XLOOKUP($A37,Index!$B$2:$B$995,Index!$E$2:$E$995,"Not Found")),"")</f>
        <v/>
      </c>
      <c r="G37" s="1" t="str">
        <f t="array" ref="G37">IF(NOT(ISBLANK(A37)), ((_xlfn.XLOOKUP(A37,Index!$B$2:$B$995,Index!$F$2:$F$995,"Not Found"))*B37),"")</f>
        <v/>
      </c>
    </row>
    <row r="38">
      <c r="C38" s="1" t="str">
        <f t="array" ref="C38">IF(NOT(ISBLANK($A38)), (_xlfn.XLOOKUP($A38,Index!$B$2:$B$995,Index!$C$2:$C$995,"Not Found")),"")</f>
        <v/>
      </c>
      <c r="D38" s="1" t="str">
        <f t="array" ref="D38">IF(NOT(ISBLANK(A38)), (_xlfn.XLOOKUP($A38,Index!$B$2:B$995,Index!$A$2:$A$995,"Not Found")),"")</f>
        <v/>
      </c>
      <c r="E38" s="2" t="str">
        <f t="array" ref="E38">IF(NOT(ISBLANK($A38)), (_xlfn.XLOOKUP($A38,Index!$B$2:$B$995,Index!$D$2:$D$995,"Not Found")),"")</f>
        <v/>
      </c>
      <c r="F38" s="1" t="str">
        <f t="array" ref="F38">IF(NOT(ISBLANK($A38)), (_xlfn.XLOOKUP($A38,Index!$B$2:$B$995,Index!$E$2:$E$995,"Not Found")),"")</f>
        <v/>
      </c>
      <c r="G38" s="1" t="str">
        <f t="array" ref="G38">IF(NOT(ISBLANK(A38)), ((_xlfn.XLOOKUP(A38,Index!$B$2:$B$995,Index!$F$2:$F$995,"Not Found"))*B38),"")</f>
        <v/>
      </c>
    </row>
    <row r="39">
      <c r="C39" s="1" t="str">
        <f t="array" ref="C39">IF(NOT(ISBLANK($A39)), (_xlfn.XLOOKUP($A39,Index!$B$2:$B$995,Index!$C$2:$C$995,"Not Found")),"")</f>
        <v/>
      </c>
      <c r="D39" s="1" t="str">
        <f t="array" ref="D39">IF(NOT(ISBLANK(A39)), (_xlfn.XLOOKUP($A39,Index!$B$2:B$995,Index!$A$2:$A$995,"Not Found")),"")</f>
        <v/>
      </c>
      <c r="E39" s="2" t="str">
        <f t="array" ref="E39">IF(NOT(ISBLANK($A39)), (_xlfn.XLOOKUP($A39,Index!$B$2:$B$995,Index!$D$2:$D$995,"Not Found")),"")</f>
        <v/>
      </c>
      <c r="F39" s="1" t="str">
        <f t="array" ref="F39">IF(NOT(ISBLANK($A39)), (_xlfn.XLOOKUP($A39,Index!$B$2:$B$995,Index!$E$2:$E$995,"Not Found")),"")</f>
        <v/>
      </c>
      <c r="G39" s="1" t="str">
        <f t="array" ref="G39">IF(NOT(ISBLANK(A39)), ((_xlfn.XLOOKUP(A39,Index!$B$2:$B$995,Index!$F$2:$F$995,"Not Found"))*B39),"")</f>
        <v/>
      </c>
    </row>
    <row r="40">
      <c r="C40" s="1" t="str">
        <f t="array" ref="C40">IF(NOT(ISBLANK($A40)), (_xlfn.XLOOKUP($A40,Index!$B$2:$B$995,Index!$C$2:$C$995,"Not Found")),"")</f>
        <v/>
      </c>
      <c r="D40" s="1" t="str">
        <f t="array" ref="D40">IF(NOT(ISBLANK(A40)), (_xlfn.XLOOKUP($A40,Index!$B$2:B$995,Index!$A$2:$A$995,"Not Found")),"")</f>
        <v/>
      </c>
      <c r="E40" s="2" t="str">
        <f t="array" ref="E40">IF(NOT(ISBLANK($A40)), (_xlfn.XLOOKUP($A40,Index!$B$2:$B$995,Index!$D$2:$D$995,"Not Found")),"")</f>
        <v/>
      </c>
      <c r="F40" s="1" t="str">
        <f t="array" ref="F40">IF(NOT(ISBLANK($A40)), (_xlfn.XLOOKUP($A40,Index!$B$2:$B$995,Index!$E$2:$E$995,"Not Found")),"")</f>
        <v/>
      </c>
      <c r="G40" s="1" t="str">
        <f t="array" ref="G40">IF(NOT(ISBLANK(A40)), ((_xlfn.XLOOKUP(A40,Index!$B$2:$B$995,Index!$F$2:$F$995,"Not Found"))*B40),"")</f>
        <v/>
      </c>
    </row>
    <row r="41">
      <c r="C41" s="1" t="str">
        <f t="array" ref="C41">IF(NOT(ISBLANK($A41)), (_xlfn.XLOOKUP($A41,Index!$B$2:$B$995,Index!$C$2:$C$995,"Not Found")),"")</f>
        <v/>
      </c>
      <c r="D41" s="1" t="str">
        <f t="array" ref="D41">IF(NOT(ISBLANK(A41)), (_xlfn.XLOOKUP($A41,Index!$B$2:B$995,Index!$A$2:$A$995,"Not Found")),"")</f>
        <v/>
      </c>
      <c r="E41" s="2" t="str">
        <f t="array" ref="E41">IF(NOT(ISBLANK($A41)), (_xlfn.XLOOKUP($A41,Index!$B$2:$B$995,Index!$D$2:$D$995,"Not Found")),"")</f>
        <v/>
      </c>
      <c r="F41" s="1" t="str">
        <f t="array" ref="F41">IF(NOT(ISBLANK($A41)), (_xlfn.XLOOKUP($A41,Index!$B$2:$B$995,Index!$E$2:$E$995,"Not Found")),"")</f>
        <v/>
      </c>
      <c r="G41" s="1" t="str">
        <f t="array" ref="G41">IF(NOT(ISBLANK(A41)), ((_xlfn.XLOOKUP(A41,Index!$B$2:$B$995,Index!$F$2:$F$995,"Not Found"))*B41),"")</f>
        <v/>
      </c>
    </row>
    <row r="42">
      <c r="C42" s="1" t="str">
        <f t="array" ref="C42">IF(NOT(ISBLANK($A42)), (_xlfn.XLOOKUP($A42,Index!$B$2:$B$995,Index!$C$2:$C$995,"Not Found")),"")</f>
        <v/>
      </c>
      <c r="D42" s="1" t="str">
        <f t="array" ref="D42">IF(NOT(ISBLANK(A42)), (_xlfn.XLOOKUP($A42,Index!$B$2:B$995,Index!$A$2:$A$995,"Not Found")),"")</f>
        <v/>
      </c>
      <c r="E42" s="2" t="str">
        <f t="array" ref="E42">IF(NOT(ISBLANK($A42)), (_xlfn.XLOOKUP($A42,Index!$B$2:$B$995,Index!$D$2:$D$995,"Not Found")),"")</f>
        <v/>
      </c>
      <c r="F42" s="1" t="str">
        <f t="array" ref="F42">IF(NOT(ISBLANK($A42)), (_xlfn.XLOOKUP($A42,Index!$B$2:$B$995,Index!$E$2:$E$995,"Not Found")),"")</f>
        <v/>
      </c>
      <c r="G42" s="1" t="str">
        <f t="array" ref="G42">IF(NOT(ISBLANK(A42)), ((_xlfn.XLOOKUP(A42,Index!$B$2:$B$995,Index!$F$2:$F$995,"Not Found"))*B42),"")</f>
        <v/>
      </c>
    </row>
    <row r="43">
      <c r="C43" s="1" t="str">
        <f t="array" ref="C43">IF(NOT(ISBLANK($A43)), (_xlfn.XLOOKUP($A43,Index!$B$2:$B$995,Index!$C$2:$C$995,"Not Found")),"")</f>
        <v/>
      </c>
      <c r="D43" s="1" t="str">
        <f t="array" ref="D43">IF(NOT(ISBLANK(A43)), (_xlfn.XLOOKUP($A43,Index!$B$2:B$995,Index!$A$2:$A$995,"Not Found")),"")</f>
        <v/>
      </c>
      <c r="E43" s="2" t="str">
        <f t="array" ref="E43">IF(NOT(ISBLANK($A43)), (_xlfn.XLOOKUP($A43,Index!$B$2:$B$995,Index!$D$2:$D$995,"Not Found")),"")</f>
        <v/>
      </c>
      <c r="F43" s="1" t="str">
        <f t="array" ref="F43">IF(NOT(ISBLANK($A43)), (_xlfn.XLOOKUP($A43,Index!$B$2:$B$995,Index!$E$2:$E$995,"Not Found")),"")</f>
        <v/>
      </c>
      <c r="G43" s="1" t="str">
        <f t="array" ref="G43">IF(NOT(ISBLANK(A43)), ((_xlfn.XLOOKUP(A43,Index!$B$2:$B$995,Index!$F$2:$F$995,"Not Found"))*B43),"")</f>
        <v/>
      </c>
    </row>
    <row r="44">
      <c r="C44" s="1" t="str">
        <f t="array" ref="C44">IF(NOT(ISBLANK($A44)), (_xlfn.XLOOKUP($A44,Index!$B$2:$B$995,Index!$C$2:$C$995,"Not Found")),"")</f>
        <v/>
      </c>
      <c r="D44" s="1" t="str">
        <f t="array" ref="D44">IF(NOT(ISBLANK(A44)), (_xlfn.XLOOKUP($A44,Index!$B$2:B$995,Index!$A$2:$A$995,"Not Found")),"")</f>
        <v/>
      </c>
      <c r="E44" s="2" t="str">
        <f t="array" ref="E44">IF(NOT(ISBLANK($A44)), (_xlfn.XLOOKUP($A44,Index!$B$2:$B$995,Index!$D$2:$D$995,"Not Found")),"")</f>
        <v/>
      </c>
      <c r="F44" s="1" t="str">
        <f t="array" ref="F44">IF(NOT(ISBLANK($A44)), (_xlfn.XLOOKUP($A44,Index!$B$2:$B$995,Index!$E$2:$E$995,"Not Found")),"")</f>
        <v/>
      </c>
      <c r="G44" s="1" t="str">
        <f t="array" ref="G44">IF(NOT(ISBLANK(A44)), ((_xlfn.XLOOKUP(A44,Index!$B$2:$B$995,Index!$F$2:$F$995,"Not Found"))*B44),"")</f>
        <v/>
      </c>
    </row>
    <row r="45">
      <c r="C45" s="1" t="str">
        <f t="array" ref="C45">IF(NOT(ISBLANK($A45)), (_xlfn.XLOOKUP($A45,Index!$B$2:$B$995,Index!$C$2:$C$995,"Not Found")),"")</f>
        <v/>
      </c>
      <c r="D45" s="1" t="str">
        <f t="array" ref="D45">IF(NOT(ISBLANK(A45)), (_xlfn.XLOOKUP($A45,Index!$B$2:B$995,Index!$A$2:$A$995,"Not Found")),"")</f>
        <v/>
      </c>
      <c r="E45" s="2" t="str">
        <f t="array" ref="E45">IF(NOT(ISBLANK($A45)), (_xlfn.XLOOKUP($A45,Index!$B$2:$B$995,Index!$D$2:$D$995,"Not Found")),"")</f>
        <v/>
      </c>
      <c r="F45" s="1" t="str">
        <f t="array" ref="F45">IF(NOT(ISBLANK($A45)), (_xlfn.XLOOKUP($A45,Index!$B$2:$B$995,Index!$E$2:$E$995,"Not Found")),"")</f>
        <v/>
      </c>
      <c r="G45" s="1" t="str">
        <f t="array" ref="G45">IF(NOT(ISBLANK(A45)), ((_xlfn.XLOOKUP(A45,Index!$B$2:$B$995,Index!$F$2:$F$995,"Not Found"))*B45),"")</f>
        <v/>
      </c>
    </row>
    <row r="46">
      <c r="C46" s="1" t="str">
        <f t="array" ref="C46">IF(NOT(ISBLANK($A46)), (_xlfn.XLOOKUP($A46,Index!$B$2:$B$995,Index!$C$2:$C$995,"Not Found")),"")</f>
        <v/>
      </c>
      <c r="D46" s="1" t="str">
        <f t="array" ref="D46">IF(NOT(ISBLANK(A46)), (_xlfn.XLOOKUP($A46,Index!$B$2:B$995,Index!$A$2:$A$995,"Not Found")),"")</f>
        <v/>
      </c>
      <c r="E46" s="2" t="str">
        <f t="array" ref="E46">IF(NOT(ISBLANK($A46)), (_xlfn.XLOOKUP($A46,Index!$B$2:$B$995,Index!$D$2:$D$995,"Not Found")),"")</f>
        <v/>
      </c>
      <c r="F46" s="1" t="str">
        <f t="array" ref="F46">IF(NOT(ISBLANK($A46)), (_xlfn.XLOOKUP($A46,Index!$B$2:$B$995,Index!$E$2:$E$995,"Not Found")),"")</f>
        <v/>
      </c>
      <c r="G46" s="1" t="str">
        <f t="array" ref="G46">IF(NOT(ISBLANK(A46)), ((_xlfn.XLOOKUP(A46,Index!$B$2:$B$995,Index!$F$2:$F$995,"Not Found"))*B46),"")</f>
        <v/>
      </c>
    </row>
    <row r="47">
      <c r="C47" s="1" t="str">
        <f t="array" ref="C47">IF(NOT(ISBLANK($A47)), (_xlfn.XLOOKUP($A47,Index!$B$2:$B$995,Index!$C$2:$C$995,"Not Found")),"")</f>
        <v/>
      </c>
      <c r="D47" s="1" t="str">
        <f t="array" ref="D47">IF(NOT(ISBLANK(A47)), (_xlfn.XLOOKUP($A47,Index!$B$2:B$995,Index!$A$2:$A$995,"Not Found")),"")</f>
        <v/>
      </c>
      <c r="E47" s="2" t="str">
        <f t="array" ref="E47">IF(NOT(ISBLANK($A47)), (_xlfn.XLOOKUP($A47,Index!$B$2:$B$995,Index!$D$2:$D$995,"Not Found")),"")</f>
        <v/>
      </c>
      <c r="F47" s="1" t="str">
        <f t="array" ref="F47">IF(NOT(ISBLANK($A47)), (_xlfn.XLOOKUP($A47,Index!$B$2:$B$995,Index!$E$2:$E$995,"Not Found")),"")</f>
        <v/>
      </c>
      <c r="G47" s="1" t="str">
        <f t="array" ref="G47">IF(NOT(ISBLANK(A47)), ((_xlfn.XLOOKUP(A47,Index!$B$2:$B$995,Index!$F$2:$F$995,"Not Found"))*B47),"")</f>
        <v/>
      </c>
    </row>
    <row r="48">
      <c r="C48" s="1" t="str">
        <f t="array" ref="C48">IF(NOT(ISBLANK($A48)), (_xlfn.XLOOKUP($A48,Index!$B$2:$B$995,Index!$C$2:$C$995,"Not Found")),"")</f>
        <v/>
      </c>
      <c r="D48" s="1" t="str">
        <f t="array" ref="D48">IF(NOT(ISBLANK(A48)), (_xlfn.XLOOKUP($A48,Index!$B$2:B$995,Index!$A$2:$A$995,"Not Found")),"")</f>
        <v/>
      </c>
      <c r="E48" s="2" t="str">
        <f t="array" ref="E48">IF(NOT(ISBLANK($A48)), (_xlfn.XLOOKUP($A48,Index!$B$2:$B$995,Index!$D$2:$D$995,"Not Found")),"")</f>
        <v/>
      </c>
      <c r="F48" s="1" t="str">
        <f t="array" ref="F48">IF(NOT(ISBLANK($A48)), (_xlfn.XLOOKUP($A48,Index!$B$2:$B$995,Index!$E$2:$E$995,"Not Found")),"")</f>
        <v/>
      </c>
      <c r="G48" s="1" t="str">
        <f t="array" ref="G48">IF(NOT(ISBLANK(A48)), ((_xlfn.XLOOKUP(A48,Index!$B$2:$B$995,Index!$F$2:$F$995,"Not Found"))*B48),"")</f>
        <v/>
      </c>
    </row>
    <row r="49">
      <c r="C49" s="1" t="str">
        <f t="array" ref="C49">IF(NOT(ISBLANK($A49)), (_xlfn.XLOOKUP($A49,Index!$B$2:$B$995,Index!$C$2:$C$995,"Not Found")),"")</f>
        <v/>
      </c>
      <c r="D49" s="1" t="str">
        <f t="array" ref="D49">IF(NOT(ISBLANK(A49)), (_xlfn.XLOOKUP($A49,Index!$B$2:B$995,Index!$A$2:$A$995,"Not Found")),"")</f>
        <v/>
      </c>
      <c r="E49" s="2" t="str">
        <f t="array" ref="E49">IF(NOT(ISBLANK($A49)), (_xlfn.XLOOKUP($A49,Index!$B$2:$B$995,Index!$D$2:$D$995,"Not Found")),"")</f>
        <v/>
      </c>
      <c r="F49" s="1" t="str">
        <f t="array" ref="F49">IF(NOT(ISBLANK($A49)), (_xlfn.XLOOKUP($A49,Index!$B$2:$B$995,Index!$E$2:$E$995,"Not Found")),"")</f>
        <v/>
      </c>
      <c r="G49" s="1" t="str">
        <f t="array" ref="G49">IF(NOT(ISBLANK(A49)), ((_xlfn.XLOOKUP(A49,Index!$B$2:$B$995,Index!$F$2:$F$995,"Not Found"))*B49),"")</f>
        <v/>
      </c>
    </row>
    <row r="50">
      <c r="C50" s="1" t="str">
        <f t="array" ref="C50">IF(NOT(ISBLANK($A50)), (_xlfn.XLOOKUP($A50,Index!$B$2:$B$995,Index!$C$2:$C$995,"Not Found")),"")</f>
        <v/>
      </c>
      <c r="D50" s="1" t="str">
        <f t="array" ref="D50">IF(NOT(ISBLANK(A50)), (_xlfn.XLOOKUP($A50,Index!$B$2:B$995,Index!$A$2:$A$995,"Not Found")),"")</f>
        <v/>
      </c>
      <c r="E50" s="2" t="str">
        <f t="array" ref="E50">IF(NOT(ISBLANK($A50)), (_xlfn.XLOOKUP($A50,Index!$B$2:$B$995,Index!$D$2:$D$995,"Not Found")),"")</f>
        <v/>
      </c>
      <c r="F50" s="1" t="str">
        <f t="array" ref="F50">IF(NOT(ISBLANK($A50)), (_xlfn.XLOOKUP($A50,Index!$B$2:$B$995,Index!$E$2:$E$995,"Not Found")),"")</f>
        <v/>
      </c>
      <c r="G50" s="1" t="str">
        <f t="array" ref="G50">IF(NOT(ISBLANK(A50)), ((_xlfn.XLOOKUP(A50,Index!$B$2:$B$995,Index!$F$2:$F$995,"Not Found"))*B50),"")</f>
        <v/>
      </c>
    </row>
    <row r="51">
      <c r="C51" s="1" t="str">
        <f t="array" ref="C51">IF(NOT(ISBLANK($A51)), (_xlfn.XLOOKUP($A51,Index!$B$2:$B$995,Index!$C$2:$C$995,"Not Found")),"")</f>
        <v/>
      </c>
      <c r="D51" s="1" t="str">
        <f t="array" ref="D51">IF(NOT(ISBLANK(A51)), (_xlfn.XLOOKUP($A51,Index!$B$2:B$995,Index!$A$2:$A$995,"Not Found")),"")</f>
        <v/>
      </c>
      <c r="E51" s="2" t="str">
        <f t="array" ref="E51">IF(NOT(ISBLANK($A51)), (_xlfn.XLOOKUP($A51,Index!$B$2:$B$995,Index!$D$2:$D$995,"Not Found")),"")</f>
        <v/>
      </c>
      <c r="F51" s="1" t="str">
        <f t="array" ref="F51">IF(NOT(ISBLANK($A51)), (_xlfn.XLOOKUP($A51,Index!$B$2:$B$995,Index!$E$2:$E$995,"Not Found")),"")</f>
        <v/>
      </c>
      <c r="G51" s="1" t="str">
        <f t="array" ref="G51">IF(NOT(ISBLANK(A51)), ((_xlfn.XLOOKUP(A51,Index!$B$2:$B$995,Index!$F$2:$F$995,"Not Found"))*B51),"")</f>
        <v/>
      </c>
    </row>
    <row r="52">
      <c r="C52" s="1" t="str">
        <f t="array" ref="C52">IF(NOT(ISBLANK($A52)), (_xlfn.XLOOKUP($A52,Index!$B$2:$B$995,Index!$C$2:$C$995,"Not Found")),"")</f>
        <v/>
      </c>
      <c r="D52" s="1" t="str">
        <f t="array" ref="D52">IF(NOT(ISBLANK(A52)), (_xlfn.XLOOKUP($A52,Index!$B$2:B$995,Index!$A$2:$A$995,"Not Found")),"")</f>
        <v/>
      </c>
      <c r="E52" s="2" t="str">
        <f t="array" ref="E52">IF(NOT(ISBLANK($A52)), (_xlfn.XLOOKUP($A52,Index!$B$2:$B$995,Index!$D$2:$D$995,"Not Found")),"")</f>
        <v/>
      </c>
      <c r="F52" s="1" t="str">
        <f t="array" ref="F52">IF(NOT(ISBLANK($A52)), (_xlfn.XLOOKUP($A52,Index!$B$2:$B$995,Index!$E$2:$E$995,"Not Found")),"")</f>
        <v/>
      </c>
      <c r="G52" s="1" t="str">
        <f t="array" ref="G52">IF(NOT(ISBLANK(A52)), ((_xlfn.XLOOKUP(A52,Index!$B$2:$B$995,Index!$F$2:$F$995,"Not Found"))*B52),"")</f>
        <v/>
      </c>
    </row>
    <row r="53">
      <c r="C53" s="1" t="str">
        <f t="array" ref="C53">IF(NOT(ISBLANK($A53)), (_xlfn.XLOOKUP($A53,Index!$B$2:$B$995,Index!$C$2:$C$995,"Not Found")),"")</f>
        <v/>
      </c>
      <c r="D53" s="1" t="str">
        <f t="array" ref="D53">IF(NOT(ISBLANK(A53)), (_xlfn.XLOOKUP($A53,Index!$B$2:B$995,Index!$A$2:$A$995,"Not Found")),"")</f>
        <v/>
      </c>
      <c r="E53" s="2" t="str">
        <f t="array" ref="E53">IF(NOT(ISBLANK($A53)), (_xlfn.XLOOKUP($A53,Index!$B$2:$B$995,Index!$D$2:$D$995,"Not Found")),"")</f>
        <v/>
      </c>
      <c r="F53" s="1" t="str">
        <f t="array" ref="F53">IF(NOT(ISBLANK($A53)), (_xlfn.XLOOKUP($A53,Index!$B$2:$B$995,Index!$E$2:$E$995,"Not Found")),"")</f>
        <v/>
      </c>
      <c r="G53" s="1" t="str">
        <f t="array" ref="G53">IF(NOT(ISBLANK(A53)), ((_xlfn.XLOOKUP(A53,Index!$B$2:$B$995,Index!$F$2:$F$995,"Not Found"))*B53),"")</f>
        <v/>
      </c>
    </row>
    <row r="54">
      <c r="C54" s="1" t="str">
        <f t="array" ref="C54">IF(NOT(ISBLANK($A54)), (_xlfn.XLOOKUP($A54,Index!$B$2:$B$995,Index!$C$2:$C$995,"Not Found")),"")</f>
        <v/>
      </c>
      <c r="D54" s="1" t="str">
        <f t="array" ref="D54">IF(NOT(ISBLANK(A54)), (_xlfn.XLOOKUP($A54,Index!$B$2:B$995,Index!$A$2:$A$995,"Not Found")),"")</f>
        <v/>
      </c>
      <c r="E54" s="2" t="str">
        <f t="array" ref="E54">IF(NOT(ISBLANK($A54)), (_xlfn.XLOOKUP($A54,Index!$B$2:$B$995,Index!$D$2:$D$995,"Not Found")),"")</f>
        <v/>
      </c>
      <c r="F54" s="1" t="str">
        <f t="array" ref="F54">IF(NOT(ISBLANK($A54)), (_xlfn.XLOOKUP($A54,Index!$B$2:$B$995,Index!$E$2:$E$995,"Not Found")),"")</f>
        <v/>
      </c>
      <c r="G54" s="1" t="str">
        <f t="array" ref="G54">IF(NOT(ISBLANK(A54)), ((_xlfn.XLOOKUP(A54,Index!$B$2:$B$995,Index!$F$2:$F$995,"Not Found"))*B54),"")</f>
        <v/>
      </c>
    </row>
    <row r="55">
      <c r="C55" s="1" t="str">
        <f t="array" ref="C55">IF(NOT(ISBLANK($A55)), (_xlfn.XLOOKUP($A55,Index!$B$2:$B$995,Index!$C$2:$C$995,"Not Found")),"")</f>
        <v/>
      </c>
      <c r="D55" s="1" t="str">
        <f t="array" ref="D55">IF(NOT(ISBLANK(A55)), (_xlfn.XLOOKUP($A55,Index!$B$2:B$995,Index!$A$2:$A$995,"Not Found")),"")</f>
        <v/>
      </c>
      <c r="E55" s="2" t="str">
        <f t="array" ref="E55">IF(NOT(ISBLANK($A55)), (_xlfn.XLOOKUP($A55,Index!$B$2:$B$995,Index!$D$2:$D$995,"Not Found")),"")</f>
        <v/>
      </c>
      <c r="F55" s="1" t="str">
        <f t="array" ref="F55">IF(NOT(ISBLANK($A55)), (_xlfn.XLOOKUP($A55,Index!$B$2:$B$995,Index!$E$2:$E$995,"Not Found")),"")</f>
        <v/>
      </c>
      <c r="G55" s="1" t="str">
        <f t="array" ref="G55">IF(NOT(ISBLANK(A55)), ((_xlfn.XLOOKUP(A55,Index!$B$2:$B$995,Index!$F$2:$F$995,"Not Found"))*B55),"")</f>
        <v/>
      </c>
    </row>
    <row r="56">
      <c r="C56" s="1" t="str">
        <f t="array" ref="C56">IF(NOT(ISBLANK($A56)), (_xlfn.XLOOKUP($A56,Index!$B$2:$B$995,Index!$C$2:$C$995,"Not Found")),"")</f>
        <v/>
      </c>
      <c r="D56" s="1" t="str">
        <f t="array" ref="D56">IF(NOT(ISBLANK(A56)), (_xlfn.XLOOKUP($A56,Index!$B$2:B$995,Index!$A$2:$A$995,"Not Found")),"")</f>
        <v/>
      </c>
      <c r="E56" s="2" t="str">
        <f t="array" ref="E56">IF(NOT(ISBLANK($A56)), (_xlfn.XLOOKUP($A56,Index!$B$2:$B$995,Index!$D$2:$D$995,"Not Found")),"")</f>
        <v/>
      </c>
      <c r="F56" s="1" t="str">
        <f t="array" ref="F56">IF(NOT(ISBLANK($A56)), (_xlfn.XLOOKUP($A56,Index!$B$2:$B$995,Index!$E$2:$E$995,"Not Found")),"")</f>
        <v/>
      </c>
      <c r="G56" s="1" t="str">
        <f t="array" ref="G56">IF(NOT(ISBLANK(A56)), ((_xlfn.XLOOKUP(A56,Index!$B$2:$B$995,Index!$F$2:$F$995,"Not Found"))*B56),"")</f>
        <v/>
      </c>
    </row>
    <row r="57">
      <c r="C57" s="1" t="str">
        <f t="array" ref="C57">IF(NOT(ISBLANK($A57)), (_xlfn.XLOOKUP($A57,Index!$B$2:$B$995,Index!$C$2:$C$995,"Not Found")),"")</f>
        <v/>
      </c>
      <c r="D57" s="1" t="str">
        <f t="array" ref="D57">IF(NOT(ISBLANK(A57)), (_xlfn.XLOOKUP($A57,Index!$B$2:B$995,Index!$A$2:$A$995,"Not Found")),"")</f>
        <v/>
      </c>
      <c r="E57" s="2" t="str">
        <f t="array" ref="E57">IF(NOT(ISBLANK($A57)), (_xlfn.XLOOKUP($A57,Index!$B$2:$B$995,Index!$D$2:$D$995,"Not Found")),"")</f>
        <v/>
      </c>
      <c r="F57" s="1" t="str">
        <f t="array" ref="F57">IF(NOT(ISBLANK($A57)), (_xlfn.XLOOKUP($A57,Index!$B$2:$B$995,Index!$E$2:$E$995,"Not Found")),"")</f>
        <v/>
      </c>
      <c r="G57" s="1" t="str">
        <f t="array" ref="G57">IF(NOT(ISBLANK(A57)), ((_xlfn.XLOOKUP(A57,Index!$B$2:$B$995,Index!$F$2:$F$995,"Not Found"))*B57),"")</f>
        <v/>
      </c>
    </row>
    <row r="58">
      <c r="C58" s="1" t="str">
        <f t="array" ref="C58">IF(NOT(ISBLANK($A58)), (_xlfn.XLOOKUP($A58,Index!$B$2:$B$995,Index!$C$2:$C$995,"Not Found")),"")</f>
        <v/>
      </c>
      <c r="D58" s="1" t="str">
        <f t="array" ref="D58">IF(NOT(ISBLANK(A58)), (_xlfn.XLOOKUP($A58,Index!$B$2:B$995,Index!$A$2:$A$995,"Not Found")),"")</f>
        <v/>
      </c>
      <c r="E58" s="2" t="str">
        <f t="array" ref="E58">IF(NOT(ISBLANK($A58)), (_xlfn.XLOOKUP($A58,Index!$B$2:$B$995,Index!$D$2:$D$995,"Not Found")),"")</f>
        <v/>
      </c>
      <c r="F58" s="1" t="str">
        <f t="array" ref="F58">IF(NOT(ISBLANK($A58)), (_xlfn.XLOOKUP($A58,Index!$B$2:$B$995,Index!$E$2:$E$995,"Not Found")),"")</f>
        <v/>
      </c>
      <c r="G58" s="1" t="str">
        <f t="array" ref="G58">IF(NOT(ISBLANK(A58)), ((_xlfn.XLOOKUP(A58,Index!$B$2:$B$995,Index!$F$2:$F$995,"Not Found"))*B58),"")</f>
        <v/>
      </c>
    </row>
    <row r="59">
      <c r="C59" s="1" t="str">
        <f t="array" ref="C59">IF(NOT(ISBLANK($A59)), (_xlfn.XLOOKUP($A59,Index!$B$2:$B$995,Index!$C$2:$C$995,"Not Found")),"")</f>
        <v/>
      </c>
      <c r="D59" s="1" t="str">
        <f t="array" ref="D59">IF(NOT(ISBLANK(A59)), (_xlfn.XLOOKUP($A59,Index!$B$2:B$995,Index!$A$2:$A$995,"Not Found")),"")</f>
        <v/>
      </c>
      <c r="E59" s="2" t="str">
        <f t="array" ref="E59">IF(NOT(ISBLANK($A59)), (_xlfn.XLOOKUP($A59,Index!$B$2:$B$995,Index!$D$2:$D$995,"Not Found")),"")</f>
        <v/>
      </c>
      <c r="F59" s="1" t="str">
        <f t="array" ref="F59">IF(NOT(ISBLANK($A59)), (_xlfn.XLOOKUP($A59,Index!$B$2:$B$995,Index!$E$2:$E$995,"Not Found")),"")</f>
        <v/>
      </c>
      <c r="G59" s="1" t="str">
        <f t="array" ref="G59">IF(NOT(ISBLANK(A59)), ((_xlfn.XLOOKUP(A59,Index!$B$2:$B$995,Index!$F$2:$F$995,"Not Found"))*B59),"")</f>
        <v/>
      </c>
    </row>
    <row r="60">
      <c r="C60" s="1" t="str">
        <f t="array" ref="C60">IF(NOT(ISBLANK($A60)), (_xlfn.XLOOKUP($A60,Index!$B$2:$B$995,Index!$C$2:$C$995,"Not Found")),"")</f>
        <v/>
      </c>
      <c r="D60" s="1" t="str">
        <f t="array" ref="D60">IF(NOT(ISBLANK(A60)), (_xlfn.XLOOKUP($A60,Index!$B$2:B$995,Index!$A$2:$A$995,"Not Found")),"")</f>
        <v/>
      </c>
      <c r="E60" s="2" t="str">
        <f t="array" ref="E60">IF(NOT(ISBLANK($A60)), (_xlfn.XLOOKUP($A60,Index!$B$2:$B$995,Index!$D$2:$D$995,"Not Found")),"")</f>
        <v/>
      </c>
      <c r="F60" s="1" t="str">
        <f t="array" ref="F60">IF(NOT(ISBLANK($A60)), (_xlfn.XLOOKUP($A60,Index!$B$2:$B$995,Index!$E$2:$E$995,"Not Found")),"")</f>
        <v/>
      </c>
      <c r="G60" s="1" t="str">
        <f t="array" ref="G60">IF(NOT(ISBLANK(A60)), ((_xlfn.XLOOKUP(A60,Index!$B$2:$B$995,Index!$F$2:$F$995,"Not Found"))*B60),"")</f>
        <v/>
      </c>
    </row>
    <row r="61">
      <c r="C61" s="1" t="str">
        <f t="array" ref="C61">IF(NOT(ISBLANK($A61)), (_xlfn.XLOOKUP($A61,Index!$B$2:$B$995,Index!$C$2:$C$995,"Not Found")),"")</f>
        <v/>
      </c>
      <c r="D61" s="1" t="str">
        <f t="array" ref="D61">IF(NOT(ISBLANK(A61)), (_xlfn.XLOOKUP($A61,Index!$B$2:B$995,Index!$A$2:$A$995,"Not Found")),"")</f>
        <v/>
      </c>
      <c r="E61" s="2" t="str">
        <f t="array" ref="E61">IF(NOT(ISBLANK($A61)), (_xlfn.XLOOKUP($A61,Index!$B$2:$B$995,Index!$D$2:$D$995,"Not Found")),"")</f>
        <v/>
      </c>
      <c r="F61" s="1" t="str">
        <f t="array" ref="F61">IF(NOT(ISBLANK($A61)), (_xlfn.XLOOKUP($A61,Index!$B$2:$B$995,Index!$E$2:$E$995,"Not Found")),"")</f>
        <v/>
      </c>
      <c r="G61" s="1" t="str">
        <f t="array" ref="G61">IF(NOT(ISBLANK(A61)), ((_xlfn.XLOOKUP(A61,Index!$B$2:$B$995,Index!$F$2:$F$995,"Not Found"))*B61),"")</f>
        <v/>
      </c>
    </row>
    <row r="62">
      <c r="C62" s="1" t="str">
        <f t="array" ref="C62">IF(NOT(ISBLANK($A62)), (_xlfn.XLOOKUP($A62,Index!$B$2:$B$995,Index!$C$2:$C$995,"Not Found")),"")</f>
        <v/>
      </c>
      <c r="D62" s="1" t="str">
        <f t="array" ref="D62">IF(NOT(ISBLANK(A62)), (_xlfn.XLOOKUP($A62,Index!$B$2:B$995,Index!$A$2:$A$995,"Not Found")),"")</f>
        <v/>
      </c>
      <c r="E62" s="2" t="str">
        <f t="array" ref="E62">IF(NOT(ISBLANK($A62)), (_xlfn.XLOOKUP($A62,Index!$B$2:$B$995,Index!$D$2:$D$995,"Not Found")),"")</f>
        <v/>
      </c>
      <c r="F62" s="1" t="str">
        <f t="array" ref="F62">IF(NOT(ISBLANK($A62)), (_xlfn.XLOOKUP($A62,Index!$B$2:$B$995,Index!$E$2:$E$995,"Not Found")),"")</f>
        <v/>
      </c>
      <c r="G62" s="1" t="str">
        <f t="array" ref="G62">IF(NOT(ISBLANK(A62)), ((_xlfn.XLOOKUP(A62,Index!$B$2:$B$995,Index!$F$2:$F$995,"Not Found"))*B62),"")</f>
        <v/>
      </c>
    </row>
    <row r="63">
      <c r="C63" s="1" t="str">
        <f t="array" ref="C63">IF(NOT(ISBLANK($A63)), (_xlfn.XLOOKUP($A63,Index!$B$2:$B$995,Index!$C$2:$C$995,"Not Found")),"")</f>
        <v/>
      </c>
      <c r="D63" s="1" t="str">
        <f t="array" ref="D63">IF(NOT(ISBLANK(A63)), (_xlfn.XLOOKUP($A63,Index!$B$2:B$995,Index!$A$2:$A$995,"Not Found")),"")</f>
        <v/>
      </c>
      <c r="E63" s="2" t="str">
        <f t="array" ref="E63">IF(NOT(ISBLANK($A63)), (_xlfn.XLOOKUP($A63,Index!$B$2:$B$995,Index!$D$2:$D$995,"Not Found")),"")</f>
        <v/>
      </c>
      <c r="F63" s="1" t="str">
        <f t="array" ref="F63">IF(NOT(ISBLANK($A63)), (_xlfn.XLOOKUP($A63,Index!$B$2:$B$995,Index!$E$2:$E$995,"Not Found")),"")</f>
        <v/>
      </c>
      <c r="G63" s="1" t="str">
        <f t="array" ref="G63">IF(NOT(ISBLANK(A63)), ((_xlfn.XLOOKUP(A63,Index!$B$2:$B$995,Index!$F$2:$F$995,"Not Found"))*B63),"")</f>
        <v/>
      </c>
    </row>
    <row r="64">
      <c r="C64" s="1" t="str">
        <f t="array" ref="C64">IF(NOT(ISBLANK($A64)), (_xlfn.XLOOKUP($A64,Index!$B$2:$B$995,Index!$C$2:$C$995,"Not Found")),"")</f>
        <v/>
      </c>
      <c r="D64" s="1" t="str">
        <f t="array" ref="D64">IF(NOT(ISBLANK(A64)), (_xlfn.XLOOKUP($A64,Index!$B$2:B$995,Index!$A$2:$A$995,"Not Found")),"")</f>
        <v/>
      </c>
      <c r="E64" s="2" t="str">
        <f t="array" ref="E64">IF(NOT(ISBLANK($A64)), (_xlfn.XLOOKUP($A64,Index!$B$2:$B$995,Index!$D$2:$D$995,"Not Found")),"")</f>
        <v/>
      </c>
      <c r="F64" s="1" t="str">
        <f t="array" ref="F64">IF(NOT(ISBLANK($A64)), (_xlfn.XLOOKUP($A64,Index!$B$2:$B$995,Index!$E$2:$E$995,"Not Found")),"")</f>
        <v/>
      </c>
      <c r="G64" s="1" t="str">
        <f t="array" ref="G64">IF(NOT(ISBLANK(A64)), ((_xlfn.XLOOKUP(A64,Index!$B$2:$B$995,Index!$F$2:$F$995,"Not Found"))*B64),"")</f>
        <v/>
      </c>
    </row>
    <row r="65">
      <c r="C65" s="1" t="str">
        <f t="array" ref="C65">IF(NOT(ISBLANK($A65)), (_xlfn.XLOOKUP($A65,Index!$B$2:$B$995,Index!$C$2:$C$995,"Not Found")),"")</f>
        <v/>
      </c>
      <c r="D65" s="1" t="str">
        <f t="array" ref="D65">IF(NOT(ISBLANK(A65)), (_xlfn.XLOOKUP($A65,Index!$B$2:B$995,Index!$A$2:$A$995,"Not Found")),"")</f>
        <v/>
      </c>
      <c r="E65" s="2" t="str">
        <f t="array" ref="E65">IF(NOT(ISBLANK($A65)), (_xlfn.XLOOKUP($A65,Index!$B$2:$B$995,Index!$D$2:$D$995,"Not Found")),"")</f>
        <v/>
      </c>
      <c r="F65" s="1" t="str">
        <f t="array" ref="F65">IF(NOT(ISBLANK($A65)), (_xlfn.XLOOKUP($A65,Index!$B$2:$B$995,Index!$E$2:$E$995,"Not Found")),"")</f>
        <v/>
      </c>
      <c r="G65" s="1" t="str">
        <f t="array" ref="G65">IF(NOT(ISBLANK(A65)), ((_xlfn.XLOOKUP(A65,Index!$B$2:$B$995,Index!$F$2:$F$995,"Not Found"))*B65),"")</f>
        <v/>
      </c>
    </row>
    <row r="66">
      <c r="C66" s="1" t="str">
        <f t="array" ref="C66">IF(NOT(ISBLANK($A66)), (_xlfn.XLOOKUP($A66,Index!$B$2:$B$995,Index!$C$2:$C$995,"Not Found")),"")</f>
        <v/>
      </c>
      <c r="D66" s="1" t="str">
        <f t="array" ref="D66">IF(NOT(ISBLANK(A66)), (_xlfn.XLOOKUP($A66,Index!$B$2:B$995,Index!$A$2:$A$995,"Not Found")),"")</f>
        <v/>
      </c>
      <c r="E66" s="2" t="str">
        <f t="array" ref="E66">IF(NOT(ISBLANK($A66)), (_xlfn.XLOOKUP($A66,Index!$B$2:$B$995,Index!$D$2:$D$995,"Not Found")),"")</f>
        <v/>
      </c>
      <c r="F66" s="1" t="str">
        <f t="array" ref="F66">IF(NOT(ISBLANK($A66)), (_xlfn.XLOOKUP($A66,Index!$B$2:$B$995,Index!$E$2:$E$995,"Not Found")),"")</f>
        <v/>
      </c>
      <c r="G66" s="1" t="str">
        <f t="array" ref="G66">IF(NOT(ISBLANK(A66)), ((_xlfn.XLOOKUP(A66,Index!$B$2:$B$995,Index!$F$2:$F$995,"Not Found"))*B66),"")</f>
        <v/>
      </c>
    </row>
    <row r="67">
      <c r="C67" s="1" t="str">
        <f t="array" ref="C67">IF(NOT(ISBLANK($A67)), (_xlfn.XLOOKUP($A67,Index!$B$2:$B$995,Index!$C$2:$C$995,"Not Found")),"")</f>
        <v/>
      </c>
      <c r="D67" s="1" t="str">
        <f t="array" ref="D67">IF(NOT(ISBLANK(A67)), (_xlfn.XLOOKUP($A67,Index!$B$2:B$995,Index!$A$2:$A$995,"Not Found")),"")</f>
        <v/>
      </c>
      <c r="E67" s="2" t="str">
        <f t="array" ref="E67">IF(NOT(ISBLANK($A67)), (_xlfn.XLOOKUP($A67,Index!$B$2:$B$995,Index!$D$2:$D$995,"Not Found")),"")</f>
        <v/>
      </c>
      <c r="F67" s="1" t="str">
        <f t="array" ref="F67">IF(NOT(ISBLANK($A67)), (_xlfn.XLOOKUP($A67,Index!$B$2:$B$995,Index!$E$2:$E$995,"Not Found")),"")</f>
        <v/>
      </c>
      <c r="G67" s="1" t="str">
        <f t="array" ref="G67">IF(NOT(ISBLANK(A67)), ((_xlfn.XLOOKUP(A67,Index!$B$2:$B$995,Index!$F$2:$F$995,"Not Found"))*B67),"")</f>
        <v/>
      </c>
    </row>
    <row r="68">
      <c r="C68" s="1" t="str">
        <f t="array" ref="C68">IF(NOT(ISBLANK($A68)), (_xlfn.XLOOKUP($A68,Index!$B$2:$B$995,Index!$C$2:$C$995,"Not Found")),"")</f>
        <v/>
      </c>
      <c r="D68" s="1" t="str">
        <f t="array" ref="D68">IF(NOT(ISBLANK(A68)), (_xlfn.XLOOKUP($A68,Index!$B$2:B$995,Index!$A$2:$A$995,"Not Found")),"")</f>
        <v/>
      </c>
      <c r="E68" s="2" t="str">
        <f t="array" ref="E68">IF(NOT(ISBLANK($A68)), (_xlfn.XLOOKUP($A68,Index!$B$2:$B$995,Index!$D$2:$D$995,"Not Found")),"")</f>
        <v/>
      </c>
      <c r="F68" s="1" t="str">
        <f t="array" ref="F68">IF(NOT(ISBLANK($A68)), (_xlfn.XLOOKUP($A68,Index!$B$2:$B$995,Index!$E$2:$E$995,"Not Found")),"")</f>
        <v/>
      </c>
      <c r="G68" s="1" t="str">
        <f t="array" ref="G68">IF(NOT(ISBLANK(A68)), ((_xlfn.XLOOKUP(A68,Index!$B$2:$B$995,Index!$F$2:$F$995,"Not Found"))*B68),"")</f>
        <v/>
      </c>
    </row>
    <row r="69">
      <c r="C69" s="1" t="str">
        <f t="array" ref="C69">IF(NOT(ISBLANK($A69)), (_xlfn.XLOOKUP($A69,Index!$B$2:$B$995,Index!$C$2:$C$995,"Not Found")),"")</f>
        <v/>
      </c>
      <c r="D69" s="1" t="str">
        <f t="array" ref="D69">IF(NOT(ISBLANK(A69)), (_xlfn.XLOOKUP($A69,Index!$B$2:B$995,Index!$A$2:$A$995,"Not Found")),"")</f>
        <v/>
      </c>
      <c r="E69" s="2" t="str">
        <f t="array" ref="E69">IF(NOT(ISBLANK($A69)), (_xlfn.XLOOKUP($A69,Index!$B$2:$B$995,Index!$D$2:$D$995,"Not Found")),"")</f>
        <v/>
      </c>
      <c r="F69" s="1" t="str">
        <f t="array" ref="F69">IF(NOT(ISBLANK($A69)), (_xlfn.XLOOKUP($A69,Index!$B$2:$B$995,Index!$E$2:$E$995,"Not Found")),"")</f>
        <v/>
      </c>
      <c r="G69" s="1" t="str">
        <f t="array" ref="G69">IF(NOT(ISBLANK(A69)), ((_xlfn.XLOOKUP(A69,Index!$B$2:$B$995,Index!$F$2:$F$995,"Not Found"))*B69),"")</f>
        <v/>
      </c>
    </row>
    <row r="70">
      <c r="C70" s="1" t="str">
        <f t="array" ref="C70">IF(NOT(ISBLANK($A70)), (_xlfn.XLOOKUP($A70,Index!$B$2:$B$995,Index!$C$2:$C$995,"Not Found")),"")</f>
        <v/>
      </c>
      <c r="D70" s="1" t="str">
        <f t="array" ref="D70">IF(NOT(ISBLANK(A70)), (_xlfn.XLOOKUP($A70,Index!$B$2:B$995,Index!$A$2:$A$995,"Not Found")),"")</f>
        <v/>
      </c>
      <c r="E70" s="2" t="str">
        <f t="array" ref="E70">IF(NOT(ISBLANK($A70)), (_xlfn.XLOOKUP($A70,Index!$B$2:$B$995,Index!$D$2:$D$995,"Not Found")),"")</f>
        <v/>
      </c>
      <c r="F70" s="1" t="str">
        <f t="array" ref="F70">IF(NOT(ISBLANK($A70)), (_xlfn.XLOOKUP($A70,Index!$B$2:$B$995,Index!$E$2:$E$995,"Not Found")),"")</f>
        <v/>
      </c>
      <c r="G70" s="1" t="str">
        <f t="array" ref="G70">IF(NOT(ISBLANK(A70)), ((_xlfn.XLOOKUP(A70,Index!$B$2:$B$995,Index!$F$2:$F$995,"Not Found"))*B70),"")</f>
        <v/>
      </c>
    </row>
    <row r="71">
      <c r="C71" s="1" t="str">
        <f t="array" ref="C71">IF(NOT(ISBLANK($A71)), (_xlfn.XLOOKUP($A71,Index!$B$2:$B$995,Index!$C$2:$C$995,"Not Found")),"")</f>
        <v/>
      </c>
      <c r="D71" s="1" t="str">
        <f t="array" ref="D71">IF(NOT(ISBLANK(A71)), (_xlfn.XLOOKUP($A71,Index!$B$2:B$995,Index!$A$2:$A$995,"Not Found")),"")</f>
        <v/>
      </c>
      <c r="E71" s="2" t="str">
        <f t="array" ref="E71">IF(NOT(ISBLANK($A71)), (_xlfn.XLOOKUP($A71,Index!$B$2:$B$995,Index!$D$2:$D$995,"Not Found")),"")</f>
        <v/>
      </c>
      <c r="F71" s="1" t="str">
        <f t="array" ref="F71">IF(NOT(ISBLANK($A71)), (_xlfn.XLOOKUP($A71,Index!$B$2:$B$995,Index!$E$2:$E$995,"Not Found")),"")</f>
        <v/>
      </c>
      <c r="G71" s="1" t="str">
        <f t="array" ref="G71">IF(NOT(ISBLANK(A71)), ((_xlfn.XLOOKUP(A71,Index!$B$2:$B$995,Index!$F$2:$F$995,"Not Found"))*B71),"")</f>
        <v/>
      </c>
    </row>
    <row r="72">
      <c r="C72" s="1" t="str">
        <f t="array" ref="C72">IF(NOT(ISBLANK($A72)), (_xlfn.XLOOKUP($A72,Index!$B$2:$B$995,Index!$C$2:$C$995,"Not Found")),"")</f>
        <v/>
      </c>
      <c r="D72" s="1" t="str">
        <f t="array" ref="D72">IF(NOT(ISBLANK(A72)), (_xlfn.XLOOKUP($A72,Index!$B$2:B$995,Index!$A$2:$A$995,"Not Found")),"")</f>
        <v/>
      </c>
      <c r="E72" s="2" t="str">
        <f t="array" ref="E72">IF(NOT(ISBLANK($A72)), (_xlfn.XLOOKUP($A72,Index!$B$2:$B$995,Index!$D$2:$D$995,"Not Found")),"")</f>
        <v/>
      </c>
      <c r="F72" s="1" t="str">
        <f t="array" ref="F72">IF(NOT(ISBLANK($A72)), (_xlfn.XLOOKUP($A72,Index!$B$2:$B$995,Index!$E$2:$E$995,"Not Found")),"")</f>
        <v/>
      </c>
      <c r="G72" s="1" t="str">
        <f t="array" ref="G72">IF(NOT(ISBLANK(A72)), ((_xlfn.XLOOKUP(A72,Index!$B$2:$B$995,Index!$F$2:$F$995,"Not Found"))*B72),"")</f>
        <v/>
      </c>
    </row>
    <row r="73">
      <c r="C73" s="1" t="str">
        <f t="array" ref="C73">IF(NOT(ISBLANK($A73)), (_xlfn.XLOOKUP($A73,Index!$B$2:$B$995,Index!$C$2:$C$995,"Not Found")),"")</f>
        <v/>
      </c>
      <c r="D73" s="1" t="str">
        <f t="array" ref="D73">IF(NOT(ISBLANK(A73)), (_xlfn.XLOOKUP($A73,Index!$B$2:B$995,Index!$A$2:$A$995,"Not Found")),"")</f>
        <v/>
      </c>
      <c r="E73" s="2" t="str">
        <f t="array" ref="E73">IF(NOT(ISBLANK($A73)), (_xlfn.XLOOKUP($A73,Index!$B$2:$B$995,Index!$D$2:$D$995,"Not Found")),"")</f>
        <v/>
      </c>
      <c r="F73" s="1" t="str">
        <f t="array" ref="F73">IF(NOT(ISBLANK($A73)), (_xlfn.XLOOKUP($A73,Index!$B$2:$B$995,Index!$E$2:$E$995,"Not Found")),"")</f>
        <v/>
      </c>
      <c r="G73" s="1" t="str">
        <f t="array" ref="G73">IF(NOT(ISBLANK(A73)), ((_xlfn.XLOOKUP(A73,Index!$B$2:$B$995,Index!$F$2:$F$995,"Not Found"))*B73),"")</f>
        <v/>
      </c>
    </row>
    <row r="74">
      <c r="C74" s="1" t="str">
        <f t="array" ref="C74">IF(NOT(ISBLANK($A74)), (_xlfn.XLOOKUP($A74,Index!$B$2:$B$995,Index!$C$2:$C$995,"Not Found")),"")</f>
        <v/>
      </c>
      <c r="D74" s="1" t="str">
        <f t="array" ref="D74">IF(NOT(ISBLANK(A74)), (_xlfn.XLOOKUP($A74,Index!$B$2:B$995,Index!$A$2:$A$995,"Not Found")),"")</f>
        <v/>
      </c>
      <c r="E74" s="2" t="str">
        <f t="array" ref="E74">IF(NOT(ISBLANK($A74)), (_xlfn.XLOOKUP($A74,Index!$B$2:$B$995,Index!$D$2:$D$995,"Not Found")),"")</f>
        <v/>
      </c>
      <c r="F74" s="1" t="str">
        <f t="array" ref="F74">IF(NOT(ISBLANK($A74)), (_xlfn.XLOOKUP($A74,Index!$B$2:$B$995,Index!$E$2:$E$995,"Not Found")),"")</f>
        <v/>
      </c>
      <c r="G74" s="1" t="str">
        <f t="array" ref="G74">IF(NOT(ISBLANK(A74)), ((_xlfn.XLOOKUP(A74,Index!$B$2:$B$995,Index!$F$2:$F$995,"Not Found"))*B74),"")</f>
        <v/>
      </c>
    </row>
    <row r="75">
      <c r="C75" s="1" t="str">
        <f t="array" ref="C75">IF(NOT(ISBLANK($A75)), (_xlfn.XLOOKUP($A75,Index!$B$2:$B$995,Index!$C$2:$C$995,"Not Found")),"")</f>
        <v/>
      </c>
      <c r="D75" s="1" t="str">
        <f t="array" ref="D75">IF(NOT(ISBLANK(A75)), (_xlfn.XLOOKUP($A75,Index!$B$2:B$995,Index!$A$2:$A$995,"Not Found")),"")</f>
        <v/>
      </c>
      <c r="E75" s="2" t="str">
        <f t="array" ref="E75">IF(NOT(ISBLANK($A75)), (_xlfn.XLOOKUP($A75,Index!$B$2:$B$995,Index!$D$2:$D$995,"Not Found")),"")</f>
        <v/>
      </c>
      <c r="F75" s="1" t="str">
        <f t="array" ref="F75">IF(NOT(ISBLANK($A75)), (_xlfn.XLOOKUP($A75,Index!$B$2:$B$995,Index!$E$2:$E$995,"Not Found")),"")</f>
        <v/>
      </c>
      <c r="G75" s="1" t="str">
        <f t="array" ref="G75">IF(NOT(ISBLANK(A75)), ((_xlfn.XLOOKUP(A75,Index!$B$2:$B$995,Index!$F$2:$F$995,"Not Found"))*B75),"")</f>
        <v/>
      </c>
    </row>
    <row r="76">
      <c r="C76" s="1" t="str">
        <f t="array" ref="C76">IF(NOT(ISBLANK($A76)), (_xlfn.XLOOKUP($A76,Index!$B$2:$B$995,Index!$C$2:$C$995,"Not Found")),"")</f>
        <v/>
      </c>
      <c r="D76" s="1" t="str">
        <f t="array" ref="D76">IF(NOT(ISBLANK(A76)), (_xlfn.XLOOKUP($A76,Index!$B$2:B$995,Index!$A$2:$A$995,"Not Found")),"")</f>
        <v/>
      </c>
      <c r="E76" s="2" t="str">
        <f t="array" ref="E76">IF(NOT(ISBLANK($A76)), (_xlfn.XLOOKUP($A76,Index!$B$2:$B$995,Index!$D$2:$D$995,"Not Found")),"")</f>
        <v/>
      </c>
      <c r="F76" s="1" t="str">
        <f t="array" ref="F76">IF(NOT(ISBLANK($A76)), (_xlfn.XLOOKUP($A76,Index!$B$2:$B$995,Index!$E$2:$E$995,"Not Found")),"")</f>
        <v/>
      </c>
      <c r="G76" s="1" t="str">
        <f t="array" ref="G76">IF(NOT(ISBLANK(A76)), ((_xlfn.XLOOKUP(A76,Index!$B$2:$B$995,Index!$F$2:$F$995,"Not Found"))*B76),"")</f>
        <v/>
      </c>
    </row>
    <row r="77">
      <c r="C77" s="1" t="str">
        <f t="array" ref="C77">IF(NOT(ISBLANK($A77)), (_xlfn.XLOOKUP($A77,Index!$B$2:$B$995,Index!$C$2:$C$995,"Not Found")),"")</f>
        <v/>
      </c>
      <c r="D77" s="1" t="str">
        <f t="array" ref="D77">IF(NOT(ISBLANK(A77)), (_xlfn.XLOOKUP($A77,Index!$B$2:B$995,Index!$A$2:$A$995,"Not Found")),"")</f>
        <v/>
      </c>
      <c r="E77" s="2" t="str">
        <f t="array" ref="E77">IF(NOT(ISBLANK($A77)), (_xlfn.XLOOKUP($A77,Index!$B$2:$B$995,Index!$D$2:$D$995,"Not Found")),"")</f>
        <v/>
      </c>
      <c r="F77" s="1" t="str">
        <f t="array" ref="F77">IF(NOT(ISBLANK($A77)), (_xlfn.XLOOKUP($A77,Index!$B$2:$B$995,Index!$E$2:$E$995,"Not Found")),"")</f>
        <v/>
      </c>
      <c r="G77" s="1" t="str">
        <f t="array" ref="G77">IF(NOT(ISBLANK(A77)), ((_xlfn.XLOOKUP(A77,Index!$B$2:$B$995,Index!$F$2:$F$995,"Not Found"))*B77),"")</f>
        <v/>
      </c>
    </row>
    <row r="78">
      <c r="E78" s="7"/>
    </row>
    <row r="79">
      <c r="E79" s="7"/>
    </row>
    <row r="80">
      <c r="E80" s="7"/>
    </row>
    <row r="81">
      <c r="E81" s="7"/>
    </row>
    <row r="82">
      <c r="E82" s="7"/>
    </row>
    <row r="83">
      <c r="E83" s="7"/>
    </row>
    <row r="84">
      <c r="E84" s="7"/>
    </row>
    <row r="85">
      <c r="E85" s="7"/>
    </row>
    <row r="86">
      <c r="E86" s="7"/>
    </row>
    <row r="87">
      <c r="E87" s="7"/>
    </row>
    <row r="88">
      <c r="E88" s="7"/>
    </row>
    <row r="89">
      <c r="E89" s="7"/>
    </row>
    <row r="90">
      <c r="E90" s="7"/>
    </row>
    <row r="91">
      <c r="E91" s="7"/>
    </row>
    <row r="92">
      <c r="E92" s="7"/>
    </row>
    <row r="93">
      <c r="E93" s="7"/>
    </row>
    <row r="94">
      <c r="E94" s="7"/>
    </row>
    <row r="95">
      <c r="E95" s="7"/>
    </row>
    <row r="96">
      <c r="E96" s="7"/>
    </row>
    <row r="97">
      <c r="E97" s="7"/>
    </row>
    <row r="98">
      <c r="E98" s="7"/>
    </row>
    <row r="99">
      <c r="E99" s="7"/>
    </row>
    <row r="100">
      <c r="E100" s="7"/>
    </row>
    <row r="101">
      <c r="E101" s="7"/>
    </row>
    <row r="102">
      <c r="E102" s="7"/>
    </row>
    <row r="103">
      <c r="E103" s="7"/>
    </row>
    <row r="104">
      <c r="E104" s="7"/>
    </row>
    <row r="105">
      <c r="E105" s="7"/>
    </row>
    <row r="106">
      <c r="E106" s="7"/>
    </row>
    <row r="107">
      <c r="E107" s="7"/>
    </row>
    <row r="108">
      <c r="E108" s="7"/>
    </row>
    <row r="109">
      <c r="E109" s="7"/>
    </row>
    <row r="110">
      <c r="E110" s="7"/>
    </row>
    <row r="111">
      <c r="E111" s="7"/>
    </row>
    <row r="112">
      <c r="E112" s="7"/>
    </row>
    <row r="113">
      <c r="E113" s="7"/>
    </row>
    <row r="114">
      <c r="E114" s="7"/>
    </row>
    <row r="115">
      <c r="E115" s="7"/>
    </row>
    <row r="116">
      <c r="E116" s="7"/>
    </row>
    <row r="117">
      <c r="E117" s="7"/>
    </row>
    <row r="118">
      <c r="E118" s="7"/>
    </row>
    <row r="119">
      <c r="E119" s="7"/>
    </row>
    <row r="120">
      <c r="E120" s="7"/>
    </row>
    <row r="121">
      <c r="E121" s="7"/>
    </row>
    <row r="122">
      <c r="E122" s="7"/>
    </row>
    <row r="123">
      <c r="E123" s="7"/>
    </row>
    <row r="124">
      <c r="E124" s="7"/>
    </row>
    <row r="125">
      <c r="E125" s="7"/>
    </row>
    <row r="126">
      <c r="E126" s="7"/>
    </row>
    <row r="127">
      <c r="E127" s="7"/>
    </row>
    <row r="128">
      <c r="E128" s="7"/>
    </row>
    <row r="129">
      <c r="E129" s="7"/>
    </row>
    <row r="130">
      <c r="E130" s="7"/>
    </row>
    <row r="131">
      <c r="E131" s="7"/>
    </row>
    <row r="132">
      <c r="E132" s="7"/>
    </row>
    <row r="133">
      <c r="E133" s="7"/>
    </row>
    <row r="134">
      <c r="E134" s="7"/>
    </row>
    <row r="135">
      <c r="E135" s="7"/>
    </row>
    <row r="136">
      <c r="E136" s="7"/>
    </row>
    <row r="137">
      <c r="E137" s="7"/>
    </row>
    <row r="138">
      <c r="E138" s="7"/>
    </row>
    <row r="139">
      <c r="E139" s="7"/>
    </row>
    <row r="140">
      <c r="E140" s="7"/>
    </row>
    <row r="141">
      <c r="E141" s="7"/>
    </row>
    <row r="142">
      <c r="E142" s="7"/>
    </row>
    <row r="143">
      <c r="E143" s="7"/>
    </row>
    <row r="144">
      <c r="E144" s="7"/>
    </row>
    <row r="145">
      <c r="E145" s="7"/>
    </row>
    <row r="146">
      <c r="E146" s="7"/>
    </row>
    <row r="147">
      <c r="E147" s="7"/>
    </row>
    <row r="148">
      <c r="E148" s="7"/>
    </row>
    <row r="149">
      <c r="E149" s="7"/>
    </row>
    <row r="150">
      <c r="E150" s="7"/>
    </row>
    <row r="151">
      <c r="E151" s="7"/>
    </row>
    <row r="152">
      <c r="E152" s="7"/>
    </row>
    <row r="153">
      <c r="E153" s="7"/>
    </row>
    <row r="154">
      <c r="E154" s="7"/>
    </row>
    <row r="155">
      <c r="E155" s="7"/>
    </row>
    <row r="156">
      <c r="E156" s="7"/>
    </row>
    <row r="157">
      <c r="E157" s="7"/>
    </row>
    <row r="158">
      <c r="E158" s="7"/>
    </row>
    <row r="159">
      <c r="E159" s="7"/>
    </row>
    <row r="160">
      <c r="E160" s="7"/>
    </row>
    <row r="161">
      <c r="E161" s="7"/>
    </row>
    <row r="162">
      <c r="E162" s="7"/>
    </row>
    <row r="163">
      <c r="E163" s="7"/>
    </row>
    <row r="164">
      <c r="E164" s="7"/>
    </row>
    <row r="165">
      <c r="E165" s="7"/>
    </row>
    <row r="166">
      <c r="E166" s="7"/>
    </row>
    <row r="167">
      <c r="E167" s="7"/>
    </row>
    <row r="168">
      <c r="E168" s="7"/>
    </row>
    <row r="169">
      <c r="E169" s="7"/>
    </row>
    <row r="170">
      <c r="E170" s="7"/>
    </row>
    <row r="171">
      <c r="E171" s="7"/>
    </row>
    <row r="172">
      <c r="E172" s="7"/>
    </row>
    <row r="173">
      <c r="E173" s="7"/>
    </row>
    <row r="174">
      <c r="E174" s="7"/>
    </row>
    <row r="175">
      <c r="E175" s="7"/>
    </row>
    <row r="176">
      <c r="E176" s="7"/>
    </row>
    <row r="177">
      <c r="E177" s="7"/>
    </row>
    <row r="178">
      <c r="E178" s="7"/>
    </row>
    <row r="179">
      <c r="E179" s="7"/>
    </row>
    <row r="180">
      <c r="E180" s="7"/>
    </row>
    <row r="181">
      <c r="E181" s="7"/>
    </row>
    <row r="182">
      <c r="E182" s="7"/>
    </row>
    <row r="183">
      <c r="E183" s="7"/>
    </row>
    <row r="184">
      <c r="E184" s="7"/>
    </row>
    <row r="185">
      <c r="E185" s="7"/>
    </row>
    <row r="186">
      <c r="E186" s="7"/>
    </row>
    <row r="187">
      <c r="E187" s="7"/>
    </row>
    <row r="188">
      <c r="E188" s="7"/>
    </row>
    <row r="189">
      <c r="E189" s="7"/>
    </row>
    <row r="190">
      <c r="E190" s="7"/>
    </row>
    <row r="191">
      <c r="E191" s="7"/>
    </row>
    <row r="192">
      <c r="E192" s="7"/>
    </row>
    <row r="193">
      <c r="E193" s="7"/>
    </row>
    <row r="194">
      <c r="E194" s="7"/>
    </row>
    <row r="195">
      <c r="E195" s="7"/>
    </row>
    <row r="196">
      <c r="E196" s="7"/>
    </row>
    <row r="197">
      <c r="E197" s="7"/>
    </row>
    <row r="198">
      <c r="E198" s="7"/>
    </row>
    <row r="199">
      <c r="E199" s="7"/>
    </row>
    <row r="200">
      <c r="E200" s="7"/>
    </row>
    <row r="201">
      <c r="E201" s="7"/>
    </row>
    <row r="202">
      <c r="E202" s="7"/>
    </row>
    <row r="203">
      <c r="E203" s="7"/>
    </row>
    <row r="204">
      <c r="E204" s="7"/>
    </row>
    <row r="205">
      <c r="E205" s="7"/>
    </row>
    <row r="206">
      <c r="E206" s="7"/>
    </row>
    <row r="207">
      <c r="E207" s="7"/>
    </row>
    <row r="208">
      <c r="E208" s="7"/>
    </row>
    <row r="209">
      <c r="E209" s="7"/>
    </row>
    <row r="210">
      <c r="E210" s="7"/>
    </row>
    <row r="211">
      <c r="E211" s="7"/>
    </row>
    <row r="212">
      <c r="E212" s="7"/>
    </row>
    <row r="213">
      <c r="E213" s="7"/>
    </row>
    <row r="214">
      <c r="E214" s="7"/>
    </row>
    <row r="215">
      <c r="E215" s="7"/>
    </row>
    <row r="216">
      <c r="E216" s="7"/>
    </row>
    <row r="217">
      <c r="E217" s="7"/>
    </row>
    <row r="218">
      <c r="E218" s="7"/>
    </row>
    <row r="219">
      <c r="E219" s="7"/>
    </row>
    <row r="220">
      <c r="E220" s="7"/>
    </row>
    <row r="221">
      <c r="E221" s="7"/>
    </row>
    <row r="222">
      <c r="E222" s="7"/>
    </row>
    <row r="223">
      <c r="E223" s="7"/>
    </row>
    <row r="224">
      <c r="E224" s="7"/>
    </row>
    <row r="225">
      <c r="E225" s="7"/>
    </row>
    <row r="226">
      <c r="E226" s="7"/>
    </row>
    <row r="227">
      <c r="E227" s="7"/>
    </row>
    <row r="228">
      <c r="E228" s="7"/>
    </row>
    <row r="229">
      <c r="E229" s="7"/>
    </row>
    <row r="230">
      <c r="E230" s="7"/>
    </row>
    <row r="231">
      <c r="E231" s="7"/>
    </row>
    <row r="232">
      <c r="E232" s="7"/>
    </row>
    <row r="233">
      <c r="E233" s="7"/>
    </row>
    <row r="234">
      <c r="E234" s="7"/>
    </row>
    <row r="235">
      <c r="E235" s="7"/>
    </row>
    <row r="236">
      <c r="E236" s="7"/>
    </row>
    <row r="237">
      <c r="E237" s="7"/>
    </row>
    <row r="238">
      <c r="E238" s="7"/>
    </row>
    <row r="239">
      <c r="E239" s="7"/>
    </row>
    <row r="240">
      <c r="E240" s="7"/>
    </row>
    <row r="241">
      <c r="E241" s="7"/>
    </row>
    <row r="242">
      <c r="E242" s="7"/>
    </row>
    <row r="243">
      <c r="E243" s="7"/>
    </row>
    <row r="244">
      <c r="E244" s="7"/>
    </row>
    <row r="245">
      <c r="E245" s="7"/>
    </row>
    <row r="246">
      <c r="E246" s="7"/>
    </row>
    <row r="247">
      <c r="E247" s="7"/>
    </row>
    <row r="248">
      <c r="E248" s="7"/>
    </row>
    <row r="249">
      <c r="E249" s="7"/>
    </row>
    <row r="250">
      <c r="E250" s="7"/>
    </row>
    <row r="251">
      <c r="E251" s="7"/>
    </row>
    <row r="252">
      <c r="E252" s="7"/>
    </row>
    <row r="253">
      <c r="E253" s="7"/>
    </row>
    <row r="254">
      <c r="E254" s="7"/>
    </row>
    <row r="255">
      <c r="E255" s="7"/>
    </row>
    <row r="256">
      <c r="E256" s="7"/>
    </row>
    <row r="257">
      <c r="E257" s="7"/>
    </row>
    <row r="258">
      <c r="E258" s="7"/>
    </row>
    <row r="259">
      <c r="E259" s="7"/>
    </row>
    <row r="260">
      <c r="E260" s="7"/>
    </row>
    <row r="261">
      <c r="E261" s="7"/>
    </row>
    <row r="262">
      <c r="E262" s="7"/>
    </row>
    <row r="263">
      <c r="E263" s="7"/>
    </row>
    <row r="264">
      <c r="E264" s="7"/>
    </row>
    <row r="265">
      <c r="E265" s="7"/>
    </row>
    <row r="266">
      <c r="E266" s="7"/>
    </row>
    <row r="267">
      <c r="E267" s="7"/>
    </row>
    <row r="268">
      <c r="E268" s="7"/>
    </row>
    <row r="269">
      <c r="E269" s="7"/>
    </row>
    <row r="270">
      <c r="E270" s="7"/>
    </row>
    <row r="271">
      <c r="E271" s="7"/>
    </row>
    <row r="272">
      <c r="E272" s="7"/>
    </row>
    <row r="273">
      <c r="E273" s="7"/>
    </row>
    <row r="274">
      <c r="E274" s="7"/>
    </row>
    <row r="275">
      <c r="E275" s="7"/>
    </row>
    <row r="276">
      <c r="E276" s="7"/>
    </row>
    <row r="277">
      <c r="E277" s="7"/>
    </row>
    <row r="278">
      <c r="E278" s="7"/>
    </row>
    <row r="279">
      <c r="E279" s="7"/>
    </row>
    <row r="280">
      <c r="E280" s="7"/>
    </row>
    <row r="281">
      <c r="E281" s="7"/>
    </row>
    <row r="282">
      <c r="E282" s="7"/>
    </row>
    <row r="283">
      <c r="E283" s="7"/>
    </row>
    <row r="284">
      <c r="E284" s="7"/>
    </row>
    <row r="285">
      <c r="E285" s="7"/>
    </row>
    <row r="286">
      <c r="E286" s="7"/>
    </row>
    <row r="287">
      <c r="E287" s="7"/>
    </row>
    <row r="288">
      <c r="E288" s="7"/>
    </row>
    <row r="289">
      <c r="E289" s="7"/>
    </row>
    <row r="290">
      <c r="E290" s="7"/>
    </row>
    <row r="291">
      <c r="E291" s="7"/>
    </row>
    <row r="292">
      <c r="E292" s="7"/>
    </row>
    <row r="293">
      <c r="E293" s="7"/>
    </row>
    <row r="294">
      <c r="E294" s="7"/>
    </row>
    <row r="295">
      <c r="E295" s="7"/>
    </row>
    <row r="296">
      <c r="E296" s="7"/>
    </row>
    <row r="297">
      <c r="E297" s="7"/>
    </row>
    <row r="298">
      <c r="E298" s="7"/>
    </row>
    <row r="299">
      <c r="E299" s="7"/>
    </row>
    <row r="300">
      <c r="E300" s="7"/>
    </row>
    <row r="301">
      <c r="E301" s="7"/>
    </row>
    <row r="302">
      <c r="E302" s="7"/>
    </row>
    <row r="303">
      <c r="E303" s="7"/>
    </row>
    <row r="304">
      <c r="E304" s="7"/>
    </row>
    <row r="305">
      <c r="E305" s="7"/>
    </row>
    <row r="306">
      <c r="E306" s="7"/>
    </row>
    <row r="307">
      <c r="E307" s="7"/>
    </row>
    <row r="308">
      <c r="E308" s="7"/>
    </row>
    <row r="309">
      <c r="E309" s="7"/>
    </row>
    <row r="310">
      <c r="E310" s="7"/>
    </row>
    <row r="311">
      <c r="E311" s="7"/>
    </row>
    <row r="312">
      <c r="E312" s="7"/>
    </row>
    <row r="313">
      <c r="E313" s="7"/>
    </row>
    <row r="314">
      <c r="E314" s="7"/>
    </row>
    <row r="315">
      <c r="E315" s="7"/>
    </row>
    <row r="316">
      <c r="E316" s="7"/>
    </row>
    <row r="317">
      <c r="E317" s="7"/>
    </row>
    <row r="318">
      <c r="E318" s="7"/>
    </row>
    <row r="319">
      <c r="E319" s="7"/>
    </row>
    <row r="320">
      <c r="E320" s="7"/>
    </row>
    <row r="321">
      <c r="E321" s="7"/>
    </row>
    <row r="322">
      <c r="E322" s="7"/>
    </row>
    <row r="323">
      <c r="E323" s="7"/>
    </row>
    <row r="324">
      <c r="E324" s="7"/>
    </row>
    <row r="325">
      <c r="E325" s="7"/>
    </row>
    <row r="326">
      <c r="E326" s="7"/>
    </row>
    <row r="327">
      <c r="E327" s="7"/>
    </row>
    <row r="328">
      <c r="E328" s="7"/>
    </row>
    <row r="329">
      <c r="E329" s="7"/>
    </row>
    <row r="330">
      <c r="E330" s="7"/>
    </row>
    <row r="331">
      <c r="E331" s="7"/>
    </row>
    <row r="332">
      <c r="E332" s="7"/>
    </row>
    <row r="333">
      <c r="E333" s="7"/>
    </row>
    <row r="334">
      <c r="E334" s="7"/>
    </row>
    <row r="335">
      <c r="E335" s="7"/>
    </row>
    <row r="336">
      <c r="E336" s="7"/>
    </row>
    <row r="337">
      <c r="E337" s="7"/>
    </row>
    <row r="338">
      <c r="E338" s="7"/>
    </row>
    <row r="339">
      <c r="E339" s="7"/>
    </row>
    <row r="340">
      <c r="E340" s="7"/>
    </row>
    <row r="341">
      <c r="E341" s="7"/>
    </row>
    <row r="342">
      <c r="E342" s="7"/>
    </row>
    <row r="343">
      <c r="E343" s="7"/>
    </row>
    <row r="344">
      <c r="E344" s="7"/>
    </row>
    <row r="345">
      <c r="E345" s="7"/>
    </row>
    <row r="346">
      <c r="E346" s="7"/>
    </row>
    <row r="347">
      <c r="E347" s="7"/>
    </row>
    <row r="348">
      <c r="E348" s="7"/>
    </row>
    <row r="349">
      <c r="E349" s="7"/>
    </row>
    <row r="350">
      <c r="E350" s="7"/>
    </row>
    <row r="351">
      <c r="E351" s="7"/>
    </row>
    <row r="352">
      <c r="E352" s="7"/>
    </row>
    <row r="353">
      <c r="E353" s="7"/>
    </row>
    <row r="354">
      <c r="E354" s="7"/>
    </row>
    <row r="355">
      <c r="E355" s="7"/>
    </row>
    <row r="356">
      <c r="E356" s="7"/>
    </row>
    <row r="357">
      <c r="E357" s="7"/>
    </row>
    <row r="358">
      <c r="E358" s="7"/>
    </row>
    <row r="359">
      <c r="E359" s="7"/>
    </row>
    <row r="360">
      <c r="E360" s="7"/>
    </row>
    <row r="361">
      <c r="E361" s="7"/>
    </row>
    <row r="362">
      <c r="E362" s="7"/>
    </row>
    <row r="363">
      <c r="E363" s="7"/>
    </row>
    <row r="364">
      <c r="E364" s="7"/>
    </row>
    <row r="365">
      <c r="E365" s="7"/>
    </row>
    <row r="366">
      <c r="E366" s="7"/>
    </row>
    <row r="367">
      <c r="E367" s="7"/>
    </row>
    <row r="368">
      <c r="E368" s="7"/>
    </row>
    <row r="369">
      <c r="E369" s="7"/>
    </row>
    <row r="370">
      <c r="E370" s="7"/>
    </row>
    <row r="371">
      <c r="E371" s="7"/>
    </row>
    <row r="372">
      <c r="E372" s="7"/>
    </row>
    <row r="373">
      <c r="E373" s="7"/>
    </row>
    <row r="374">
      <c r="E374" s="7"/>
    </row>
    <row r="375">
      <c r="E375" s="7"/>
    </row>
    <row r="376">
      <c r="E376" s="7"/>
    </row>
    <row r="377">
      <c r="E377" s="7"/>
    </row>
    <row r="378">
      <c r="E378" s="7"/>
    </row>
    <row r="379">
      <c r="E379" s="7"/>
    </row>
    <row r="380">
      <c r="E380" s="7"/>
    </row>
    <row r="381">
      <c r="E381" s="7"/>
    </row>
    <row r="382">
      <c r="E382" s="7"/>
    </row>
    <row r="383">
      <c r="E383" s="7"/>
    </row>
    <row r="384">
      <c r="E384" s="7"/>
    </row>
    <row r="385">
      <c r="E385" s="7"/>
    </row>
    <row r="386">
      <c r="E386" s="7"/>
    </row>
    <row r="387">
      <c r="E387" s="7"/>
    </row>
    <row r="388">
      <c r="E388" s="7"/>
    </row>
    <row r="389">
      <c r="E389" s="7"/>
    </row>
    <row r="390">
      <c r="E390" s="7"/>
    </row>
    <row r="391">
      <c r="E391" s="7"/>
    </row>
    <row r="392">
      <c r="E392" s="7"/>
    </row>
    <row r="393">
      <c r="E393" s="7"/>
    </row>
    <row r="394">
      <c r="E394" s="7"/>
    </row>
    <row r="395">
      <c r="E395" s="7"/>
    </row>
    <row r="396">
      <c r="E396" s="7"/>
    </row>
    <row r="397">
      <c r="E397" s="7"/>
    </row>
    <row r="398">
      <c r="E398" s="7"/>
    </row>
    <row r="399">
      <c r="E399" s="7"/>
    </row>
    <row r="400">
      <c r="E400" s="7"/>
    </row>
    <row r="401">
      <c r="E401" s="7"/>
    </row>
    <row r="402">
      <c r="E402" s="7"/>
    </row>
    <row r="403">
      <c r="E403" s="7"/>
    </row>
    <row r="404">
      <c r="E404" s="7"/>
    </row>
    <row r="405">
      <c r="E405" s="7"/>
    </row>
    <row r="406">
      <c r="E406" s="7"/>
    </row>
    <row r="407">
      <c r="E407" s="7"/>
    </row>
    <row r="408">
      <c r="E408" s="7"/>
    </row>
    <row r="409">
      <c r="E409" s="7"/>
    </row>
    <row r="410">
      <c r="E410" s="7"/>
    </row>
    <row r="411">
      <c r="E411" s="7"/>
    </row>
    <row r="412">
      <c r="E412" s="7"/>
    </row>
    <row r="413">
      <c r="E413" s="7"/>
    </row>
    <row r="414">
      <c r="E414" s="7"/>
    </row>
    <row r="415">
      <c r="E415" s="7"/>
    </row>
    <row r="416">
      <c r="E416" s="7"/>
    </row>
    <row r="417">
      <c r="E417" s="7"/>
    </row>
    <row r="418">
      <c r="E418" s="7"/>
    </row>
    <row r="419">
      <c r="E419" s="7"/>
    </row>
    <row r="420">
      <c r="E420" s="7"/>
    </row>
    <row r="421">
      <c r="E421" s="7"/>
    </row>
    <row r="422">
      <c r="E422" s="7"/>
    </row>
    <row r="423">
      <c r="E423" s="7"/>
    </row>
    <row r="424">
      <c r="E424" s="7"/>
    </row>
    <row r="425">
      <c r="E425" s="7"/>
    </row>
    <row r="426">
      <c r="E426" s="7"/>
    </row>
    <row r="427">
      <c r="E427" s="7"/>
    </row>
    <row r="428">
      <c r="E428" s="7"/>
    </row>
    <row r="429">
      <c r="E429" s="7"/>
    </row>
    <row r="430">
      <c r="E430" s="7"/>
    </row>
    <row r="431">
      <c r="E431" s="7"/>
    </row>
    <row r="432">
      <c r="E432" s="7"/>
    </row>
    <row r="433">
      <c r="E433" s="7"/>
    </row>
    <row r="434">
      <c r="E434" s="7"/>
    </row>
    <row r="435">
      <c r="E435" s="7"/>
    </row>
    <row r="436">
      <c r="E436" s="7"/>
    </row>
    <row r="437">
      <c r="E437" s="7"/>
    </row>
    <row r="438">
      <c r="E438" s="7"/>
    </row>
    <row r="439">
      <c r="E439" s="7"/>
    </row>
    <row r="440">
      <c r="E440" s="7"/>
    </row>
    <row r="441">
      <c r="E441" s="7"/>
    </row>
    <row r="442">
      <c r="E442" s="7"/>
    </row>
    <row r="443">
      <c r="E443" s="7"/>
    </row>
    <row r="444">
      <c r="E444" s="7"/>
    </row>
    <row r="445">
      <c r="E445" s="7"/>
    </row>
    <row r="446">
      <c r="E446" s="7"/>
    </row>
    <row r="447">
      <c r="E447" s="7"/>
    </row>
    <row r="448">
      <c r="E448" s="7"/>
    </row>
    <row r="449">
      <c r="E449" s="7"/>
    </row>
    <row r="450">
      <c r="E450" s="7"/>
    </row>
    <row r="451">
      <c r="E451" s="7"/>
    </row>
    <row r="452">
      <c r="E452" s="7"/>
    </row>
    <row r="453">
      <c r="E453" s="7"/>
    </row>
    <row r="454">
      <c r="E454" s="7"/>
    </row>
    <row r="455">
      <c r="E455" s="7"/>
    </row>
    <row r="456">
      <c r="E456" s="7"/>
    </row>
    <row r="457">
      <c r="E457" s="7"/>
    </row>
    <row r="458">
      <c r="E458" s="7"/>
    </row>
    <row r="459">
      <c r="E459" s="7"/>
    </row>
    <row r="460">
      <c r="E460" s="7"/>
    </row>
    <row r="461">
      <c r="E461" s="7"/>
    </row>
    <row r="462">
      <c r="E462" s="7"/>
    </row>
    <row r="463">
      <c r="E463" s="7"/>
    </row>
    <row r="464">
      <c r="E464" s="7"/>
    </row>
    <row r="465">
      <c r="E465" s="7"/>
    </row>
    <row r="466">
      <c r="E466" s="7"/>
    </row>
    <row r="467">
      <c r="E467" s="7"/>
    </row>
    <row r="468">
      <c r="E468" s="7"/>
    </row>
    <row r="469">
      <c r="E469" s="7"/>
    </row>
    <row r="470">
      <c r="E470" s="7"/>
    </row>
    <row r="471">
      <c r="E471" s="7"/>
    </row>
    <row r="472">
      <c r="E472" s="7"/>
    </row>
    <row r="473">
      <c r="E473" s="7"/>
    </row>
    <row r="474">
      <c r="E474" s="7"/>
    </row>
    <row r="475">
      <c r="E475" s="7"/>
    </row>
    <row r="476">
      <c r="E476" s="7"/>
    </row>
    <row r="477">
      <c r="E477" s="7"/>
    </row>
    <row r="478">
      <c r="E478" s="7"/>
    </row>
    <row r="479">
      <c r="E479" s="7"/>
    </row>
    <row r="480">
      <c r="E480" s="7"/>
    </row>
    <row r="481">
      <c r="E481" s="7"/>
    </row>
    <row r="482">
      <c r="E482" s="7"/>
    </row>
    <row r="483">
      <c r="E483" s="7"/>
    </row>
    <row r="484">
      <c r="E484" s="7"/>
    </row>
    <row r="485">
      <c r="E485" s="7"/>
    </row>
    <row r="486">
      <c r="E486" s="7"/>
    </row>
    <row r="487">
      <c r="E487" s="7"/>
    </row>
    <row r="488">
      <c r="E488" s="7"/>
    </row>
    <row r="489">
      <c r="E489" s="7"/>
    </row>
    <row r="490">
      <c r="E490" s="7"/>
    </row>
    <row r="491">
      <c r="E491" s="7"/>
    </row>
    <row r="492">
      <c r="E492" s="7"/>
    </row>
    <row r="493">
      <c r="E493" s="7"/>
    </row>
    <row r="494">
      <c r="E494" s="7"/>
    </row>
    <row r="495">
      <c r="E495" s="7"/>
    </row>
    <row r="496">
      <c r="E496" s="7"/>
    </row>
    <row r="497">
      <c r="E497" s="7"/>
    </row>
    <row r="498">
      <c r="E498" s="7"/>
    </row>
    <row r="499">
      <c r="E499" s="7"/>
    </row>
    <row r="500">
      <c r="E500" s="7"/>
    </row>
    <row r="501">
      <c r="E501" s="7"/>
    </row>
    <row r="502">
      <c r="E502" s="7"/>
    </row>
    <row r="503">
      <c r="E503" s="7"/>
    </row>
    <row r="504">
      <c r="E504" s="7"/>
    </row>
    <row r="505">
      <c r="E505" s="7"/>
    </row>
    <row r="506">
      <c r="E506" s="7"/>
    </row>
    <row r="507">
      <c r="E507" s="7"/>
    </row>
    <row r="508">
      <c r="E508" s="7"/>
    </row>
    <row r="509">
      <c r="E509" s="7"/>
    </row>
    <row r="510">
      <c r="E510" s="7"/>
    </row>
    <row r="511">
      <c r="E511" s="7"/>
    </row>
    <row r="512">
      <c r="E512" s="7"/>
    </row>
    <row r="513">
      <c r="E513" s="7"/>
    </row>
    <row r="514">
      <c r="E514" s="7"/>
    </row>
    <row r="515">
      <c r="E515" s="7"/>
    </row>
    <row r="516">
      <c r="E516" s="7"/>
    </row>
    <row r="517">
      <c r="E517" s="7"/>
    </row>
    <row r="518">
      <c r="E518" s="7"/>
    </row>
    <row r="519">
      <c r="E519" s="7"/>
    </row>
    <row r="520">
      <c r="E520" s="7"/>
    </row>
    <row r="521">
      <c r="E521" s="7"/>
    </row>
    <row r="522">
      <c r="E522" s="7"/>
    </row>
    <row r="523">
      <c r="E523" s="7"/>
    </row>
    <row r="524">
      <c r="E524" s="7"/>
    </row>
    <row r="525">
      <c r="E525" s="7"/>
    </row>
    <row r="526">
      <c r="E526" s="7"/>
    </row>
    <row r="527">
      <c r="E527" s="7"/>
    </row>
    <row r="528">
      <c r="E528" s="7"/>
    </row>
    <row r="529">
      <c r="E529" s="7"/>
    </row>
    <row r="530">
      <c r="E530" s="7"/>
    </row>
    <row r="531">
      <c r="E531" s="7"/>
    </row>
    <row r="532">
      <c r="E532" s="7"/>
    </row>
    <row r="533">
      <c r="E533" s="7"/>
    </row>
    <row r="534">
      <c r="E534" s="7"/>
    </row>
    <row r="535">
      <c r="E535" s="7"/>
    </row>
    <row r="536">
      <c r="E536" s="7"/>
    </row>
    <row r="537">
      <c r="E537" s="7"/>
    </row>
    <row r="538">
      <c r="E538" s="7"/>
    </row>
    <row r="539">
      <c r="E539" s="7"/>
    </row>
    <row r="540">
      <c r="E540" s="7"/>
    </row>
    <row r="541">
      <c r="E541" s="7"/>
    </row>
    <row r="542">
      <c r="E542" s="7"/>
    </row>
    <row r="543">
      <c r="E543" s="7"/>
    </row>
    <row r="544">
      <c r="E544" s="7"/>
    </row>
    <row r="545">
      <c r="E545" s="7"/>
    </row>
    <row r="546">
      <c r="E546" s="7"/>
    </row>
    <row r="547">
      <c r="E547" s="7"/>
    </row>
    <row r="548">
      <c r="E548" s="7"/>
    </row>
    <row r="549">
      <c r="E549" s="7"/>
    </row>
    <row r="550">
      <c r="E550" s="7"/>
    </row>
    <row r="551">
      <c r="E551" s="7"/>
    </row>
    <row r="552">
      <c r="E552" s="7"/>
    </row>
    <row r="553">
      <c r="E553" s="7"/>
    </row>
    <row r="554">
      <c r="E554" s="7"/>
    </row>
    <row r="555">
      <c r="E555" s="7"/>
    </row>
    <row r="556">
      <c r="E556" s="7"/>
    </row>
    <row r="557">
      <c r="E557" s="7"/>
    </row>
    <row r="558">
      <c r="E558" s="7"/>
    </row>
    <row r="559">
      <c r="E559" s="7"/>
    </row>
    <row r="560">
      <c r="E560" s="7"/>
    </row>
    <row r="561">
      <c r="E561" s="7"/>
    </row>
    <row r="562">
      <c r="E562" s="7"/>
    </row>
    <row r="563">
      <c r="E563" s="7"/>
    </row>
    <row r="564">
      <c r="E564" s="7"/>
    </row>
    <row r="565">
      <c r="E565" s="7"/>
    </row>
    <row r="566">
      <c r="E566" s="7"/>
    </row>
    <row r="567">
      <c r="E567" s="7"/>
    </row>
    <row r="568">
      <c r="E568" s="7"/>
    </row>
    <row r="569">
      <c r="E569" s="7"/>
    </row>
    <row r="570">
      <c r="E570" s="7"/>
    </row>
    <row r="571">
      <c r="E571" s="7"/>
    </row>
    <row r="572">
      <c r="E572" s="7"/>
    </row>
    <row r="573">
      <c r="E573" s="7"/>
    </row>
    <row r="574">
      <c r="E574" s="7"/>
    </row>
    <row r="575">
      <c r="E575" s="7"/>
    </row>
    <row r="576">
      <c r="E576" s="7"/>
    </row>
    <row r="577">
      <c r="E577" s="7"/>
    </row>
    <row r="578">
      <c r="E578" s="7"/>
    </row>
    <row r="579">
      <c r="E579" s="7"/>
    </row>
    <row r="580">
      <c r="E580" s="7"/>
    </row>
    <row r="581">
      <c r="E581" s="7"/>
    </row>
    <row r="582">
      <c r="E582" s="7"/>
    </row>
    <row r="583">
      <c r="E583" s="7"/>
    </row>
    <row r="584">
      <c r="E584" s="7"/>
    </row>
    <row r="585">
      <c r="E585" s="7"/>
    </row>
    <row r="586">
      <c r="E586" s="7"/>
    </row>
    <row r="587">
      <c r="E587" s="7"/>
    </row>
    <row r="588">
      <c r="E588" s="7"/>
    </row>
    <row r="589">
      <c r="E589" s="7"/>
    </row>
    <row r="590">
      <c r="E590" s="7"/>
    </row>
    <row r="591">
      <c r="E591" s="7"/>
    </row>
    <row r="592">
      <c r="E592" s="7"/>
    </row>
    <row r="593">
      <c r="E593" s="7"/>
    </row>
    <row r="594">
      <c r="E594" s="7"/>
    </row>
    <row r="595">
      <c r="E595" s="7"/>
    </row>
    <row r="596">
      <c r="E596" s="7"/>
    </row>
    <row r="597">
      <c r="E597" s="7"/>
    </row>
    <row r="598">
      <c r="E598" s="7"/>
    </row>
    <row r="599">
      <c r="E599" s="7"/>
    </row>
    <row r="600">
      <c r="E600" s="7"/>
    </row>
    <row r="601">
      <c r="E601" s="7"/>
    </row>
    <row r="602">
      <c r="E602" s="7"/>
    </row>
    <row r="603">
      <c r="E603" s="7"/>
    </row>
    <row r="604">
      <c r="E604" s="7"/>
    </row>
    <row r="605">
      <c r="E605" s="7"/>
    </row>
    <row r="606">
      <c r="E606" s="7"/>
    </row>
    <row r="607">
      <c r="E607" s="7"/>
    </row>
    <row r="608">
      <c r="E608" s="7"/>
    </row>
    <row r="609">
      <c r="E609" s="7"/>
    </row>
    <row r="610">
      <c r="E610" s="7"/>
    </row>
    <row r="611">
      <c r="E611" s="7"/>
    </row>
    <row r="612">
      <c r="E612" s="7"/>
    </row>
    <row r="613">
      <c r="E613" s="7"/>
    </row>
    <row r="614">
      <c r="E614" s="7"/>
    </row>
    <row r="615">
      <c r="E615" s="7"/>
    </row>
    <row r="616">
      <c r="E616" s="7"/>
    </row>
    <row r="617">
      <c r="E617" s="7"/>
    </row>
    <row r="618">
      <c r="E618" s="7"/>
    </row>
    <row r="619">
      <c r="E619" s="7"/>
    </row>
    <row r="620">
      <c r="E620" s="7"/>
    </row>
    <row r="621">
      <c r="E621" s="7"/>
    </row>
    <row r="622">
      <c r="E622" s="7"/>
    </row>
    <row r="623">
      <c r="E623" s="7"/>
    </row>
    <row r="624">
      <c r="E624" s="7"/>
    </row>
    <row r="625">
      <c r="E625" s="7"/>
    </row>
    <row r="626">
      <c r="E626" s="7"/>
    </row>
    <row r="627">
      <c r="E627" s="7"/>
    </row>
    <row r="628">
      <c r="E628" s="7"/>
    </row>
    <row r="629">
      <c r="E629" s="7"/>
    </row>
    <row r="630">
      <c r="E630" s="7"/>
    </row>
    <row r="631">
      <c r="E631" s="7"/>
    </row>
    <row r="632">
      <c r="E632" s="7"/>
    </row>
    <row r="633">
      <c r="E633" s="7"/>
    </row>
    <row r="634">
      <c r="E634" s="7"/>
    </row>
    <row r="635">
      <c r="E635" s="7"/>
    </row>
    <row r="636">
      <c r="E636" s="7"/>
    </row>
    <row r="637">
      <c r="E637" s="7"/>
    </row>
    <row r="638">
      <c r="E638" s="7"/>
    </row>
    <row r="639">
      <c r="E639" s="7"/>
    </row>
    <row r="640">
      <c r="E640" s="7"/>
    </row>
    <row r="641">
      <c r="E641" s="7"/>
    </row>
    <row r="642">
      <c r="E642" s="7"/>
    </row>
    <row r="643">
      <c r="E643" s="7"/>
    </row>
    <row r="644">
      <c r="E644" s="7"/>
    </row>
    <row r="645">
      <c r="E645" s="7"/>
    </row>
    <row r="646">
      <c r="E646" s="7"/>
    </row>
    <row r="647">
      <c r="E647" s="7"/>
    </row>
    <row r="648">
      <c r="E648" s="7"/>
    </row>
    <row r="649">
      <c r="E649" s="7"/>
    </row>
    <row r="650">
      <c r="E650" s="7"/>
    </row>
    <row r="651">
      <c r="E651" s="7"/>
    </row>
    <row r="652">
      <c r="E652" s="7"/>
    </row>
    <row r="653">
      <c r="E653" s="7"/>
    </row>
    <row r="654">
      <c r="E654" s="7"/>
    </row>
    <row r="655">
      <c r="E655" s="7"/>
    </row>
    <row r="656">
      <c r="E656" s="7"/>
    </row>
    <row r="657">
      <c r="E657" s="7"/>
    </row>
    <row r="658">
      <c r="E658" s="7"/>
    </row>
    <row r="659">
      <c r="E659" s="7"/>
    </row>
    <row r="660">
      <c r="E660" s="7"/>
    </row>
    <row r="661">
      <c r="E661" s="7"/>
    </row>
    <row r="662">
      <c r="E662" s="7"/>
    </row>
    <row r="663">
      <c r="E663" s="7"/>
    </row>
    <row r="664">
      <c r="E664" s="7"/>
    </row>
    <row r="665">
      <c r="E665" s="7"/>
    </row>
    <row r="666">
      <c r="E666" s="7"/>
    </row>
    <row r="667">
      <c r="E667" s="7"/>
    </row>
    <row r="668">
      <c r="E668" s="7"/>
    </row>
    <row r="669">
      <c r="E669" s="7"/>
    </row>
    <row r="670">
      <c r="E670" s="7"/>
    </row>
    <row r="671">
      <c r="E671" s="7"/>
    </row>
    <row r="672">
      <c r="E672" s="7"/>
    </row>
    <row r="673">
      <c r="E673" s="7"/>
    </row>
    <row r="674">
      <c r="E674" s="7"/>
    </row>
    <row r="675">
      <c r="E675" s="7"/>
    </row>
    <row r="676">
      <c r="E676" s="7"/>
    </row>
    <row r="677">
      <c r="E677" s="7"/>
    </row>
    <row r="678">
      <c r="E678" s="7"/>
    </row>
    <row r="679">
      <c r="E679" s="7"/>
    </row>
    <row r="680">
      <c r="E680" s="7"/>
    </row>
    <row r="681">
      <c r="E681" s="7"/>
    </row>
    <row r="682">
      <c r="E682" s="7"/>
    </row>
    <row r="683">
      <c r="E683" s="7"/>
    </row>
    <row r="684">
      <c r="E684" s="7"/>
    </row>
    <row r="685">
      <c r="E685" s="7"/>
    </row>
    <row r="686">
      <c r="E686" s="7"/>
    </row>
    <row r="687">
      <c r="E687" s="7"/>
    </row>
    <row r="688">
      <c r="E688" s="7"/>
    </row>
    <row r="689">
      <c r="E689" s="7"/>
    </row>
    <row r="690">
      <c r="E690" s="7"/>
    </row>
    <row r="691">
      <c r="E691" s="7"/>
    </row>
    <row r="692">
      <c r="E692" s="7"/>
    </row>
    <row r="693">
      <c r="E693" s="7"/>
    </row>
    <row r="694">
      <c r="E694" s="7"/>
    </row>
    <row r="695">
      <c r="E695" s="7"/>
    </row>
    <row r="696">
      <c r="E696" s="7"/>
    </row>
    <row r="697">
      <c r="E697" s="7"/>
    </row>
    <row r="698">
      <c r="E698" s="7"/>
    </row>
    <row r="699">
      <c r="E699" s="7"/>
    </row>
    <row r="700">
      <c r="E700" s="7"/>
    </row>
    <row r="701">
      <c r="E701" s="7"/>
    </row>
    <row r="702">
      <c r="E702" s="7"/>
    </row>
    <row r="703">
      <c r="E703" s="7"/>
    </row>
    <row r="704">
      <c r="E704" s="7"/>
    </row>
    <row r="705">
      <c r="E705" s="7"/>
    </row>
    <row r="706">
      <c r="E706" s="7"/>
    </row>
    <row r="707">
      <c r="E707" s="7"/>
    </row>
    <row r="708">
      <c r="E708" s="7"/>
    </row>
    <row r="709">
      <c r="E709" s="7"/>
    </row>
    <row r="710">
      <c r="E710" s="7"/>
    </row>
    <row r="711">
      <c r="E711" s="7"/>
    </row>
    <row r="712">
      <c r="E712" s="7"/>
    </row>
    <row r="713">
      <c r="E713" s="7"/>
    </row>
    <row r="714">
      <c r="E714" s="7"/>
    </row>
    <row r="715">
      <c r="E715" s="7"/>
    </row>
    <row r="716">
      <c r="E716" s="7"/>
    </row>
    <row r="717">
      <c r="E717" s="7"/>
    </row>
    <row r="718">
      <c r="E718" s="7"/>
    </row>
    <row r="719">
      <c r="E719" s="7"/>
    </row>
    <row r="720">
      <c r="E720" s="7"/>
    </row>
    <row r="721">
      <c r="E721" s="7"/>
    </row>
    <row r="722">
      <c r="E722" s="7"/>
    </row>
    <row r="723">
      <c r="E723" s="7"/>
    </row>
    <row r="724">
      <c r="E724" s="7"/>
    </row>
    <row r="725">
      <c r="E725" s="7"/>
    </row>
    <row r="726">
      <c r="E726" s="7"/>
    </row>
    <row r="727">
      <c r="E727" s="7"/>
    </row>
    <row r="728">
      <c r="E728" s="7"/>
    </row>
    <row r="729">
      <c r="E729" s="7"/>
    </row>
    <row r="730">
      <c r="E730" s="7"/>
    </row>
    <row r="731">
      <c r="E731" s="7"/>
    </row>
    <row r="732">
      <c r="E732" s="7"/>
    </row>
    <row r="733">
      <c r="E733" s="7"/>
    </row>
    <row r="734">
      <c r="E734" s="7"/>
    </row>
    <row r="735">
      <c r="E735" s="7"/>
    </row>
    <row r="736">
      <c r="E736" s="7"/>
    </row>
    <row r="737">
      <c r="E737" s="7"/>
    </row>
    <row r="738">
      <c r="E738" s="7"/>
    </row>
    <row r="739">
      <c r="E739" s="7"/>
    </row>
    <row r="740">
      <c r="E740" s="7"/>
    </row>
    <row r="741">
      <c r="E741" s="7"/>
    </row>
    <row r="742">
      <c r="E742" s="7"/>
    </row>
    <row r="743">
      <c r="E743" s="7"/>
    </row>
    <row r="744">
      <c r="E744" s="7"/>
    </row>
    <row r="745">
      <c r="E745" s="7"/>
    </row>
    <row r="746">
      <c r="E746" s="7"/>
    </row>
    <row r="747">
      <c r="E747" s="7"/>
    </row>
    <row r="748">
      <c r="E748" s="7"/>
    </row>
    <row r="749">
      <c r="E749" s="7"/>
    </row>
    <row r="750">
      <c r="E750" s="7"/>
    </row>
    <row r="751">
      <c r="E751" s="7"/>
    </row>
    <row r="752">
      <c r="E752" s="7"/>
    </row>
    <row r="753">
      <c r="E753" s="7"/>
    </row>
    <row r="754">
      <c r="E754" s="7"/>
    </row>
    <row r="755">
      <c r="E755" s="7"/>
    </row>
    <row r="756">
      <c r="E756" s="7"/>
    </row>
    <row r="757">
      <c r="E757" s="7"/>
    </row>
    <row r="758">
      <c r="E758" s="7"/>
    </row>
    <row r="759">
      <c r="E759" s="7"/>
    </row>
    <row r="760">
      <c r="E760" s="7"/>
    </row>
    <row r="761">
      <c r="E761" s="7"/>
    </row>
    <row r="762">
      <c r="E762" s="7"/>
    </row>
    <row r="763">
      <c r="E763" s="7"/>
    </row>
    <row r="764">
      <c r="E764" s="7"/>
    </row>
    <row r="765">
      <c r="E765" s="7"/>
    </row>
    <row r="766">
      <c r="E766" s="7"/>
    </row>
    <row r="767">
      <c r="E767" s="7"/>
    </row>
    <row r="768">
      <c r="E768" s="7"/>
    </row>
    <row r="769">
      <c r="E769" s="7"/>
    </row>
    <row r="770">
      <c r="E770" s="7"/>
    </row>
    <row r="771">
      <c r="E771" s="7"/>
    </row>
    <row r="772">
      <c r="E772" s="7"/>
    </row>
    <row r="773">
      <c r="E773" s="7"/>
    </row>
    <row r="774">
      <c r="E774" s="7"/>
    </row>
    <row r="775">
      <c r="E775" s="7"/>
    </row>
    <row r="776">
      <c r="E776" s="7"/>
    </row>
    <row r="777">
      <c r="E777" s="7"/>
    </row>
    <row r="778">
      <c r="E778" s="7"/>
    </row>
    <row r="779">
      <c r="E779" s="7"/>
    </row>
    <row r="780">
      <c r="E780" s="7"/>
    </row>
    <row r="781">
      <c r="E781" s="7"/>
    </row>
    <row r="782">
      <c r="E782" s="7"/>
    </row>
    <row r="783">
      <c r="E783" s="7"/>
    </row>
    <row r="784">
      <c r="E784" s="7"/>
    </row>
    <row r="785">
      <c r="E785" s="7"/>
    </row>
    <row r="786">
      <c r="E786" s="7"/>
    </row>
    <row r="787">
      <c r="E787" s="7"/>
    </row>
    <row r="788">
      <c r="E788" s="7"/>
    </row>
    <row r="789">
      <c r="E789" s="7"/>
    </row>
    <row r="790">
      <c r="E790" s="7"/>
    </row>
    <row r="791">
      <c r="E791" s="7"/>
    </row>
    <row r="792">
      <c r="E792" s="7"/>
    </row>
    <row r="793">
      <c r="E793" s="7"/>
    </row>
    <row r="794">
      <c r="E794" s="7"/>
    </row>
    <row r="795">
      <c r="E795" s="7"/>
    </row>
    <row r="796">
      <c r="E796" s="7"/>
    </row>
    <row r="797">
      <c r="E797" s="7"/>
    </row>
    <row r="798">
      <c r="E798" s="7"/>
    </row>
    <row r="799">
      <c r="E799" s="7"/>
    </row>
    <row r="800">
      <c r="E800" s="7"/>
    </row>
    <row r="801">
      <c r="E801" s="7"/>
    </row>
    <row r="802">
      <c r="E802" s="7"/>
    </row>
    <row r="803">
      <c r="E803" s="7"/>
    </row>
    <row r="804">
      <c r="E804" s="7"/>
    </row>
    <row r="805">
      <c r="E805" s="7"/>
    </row>
    <row r="806">
      <c r="E806" s="7"/>
    </row>
    <row r="807">
      <c r="E807" s="7"/>
    </row>
    <row r="808">
      <c r="E808" s="7"/>
    </row>
    <row r="809">
      <c r="E809" s="7"/>
    </row>
    <row r="810">
      <c r="E810" s="7"/>
    </row>
    <row r="811">
      <c r="E811" s="7"/>
    </row>
    <row r="812">
      <c r="E812" s="7"/>
    </row>
    <row r="813">
      <c r="E813" s="7"/>
    </row>
    <row r="814">
      <c r="E814" s="7"/>
    </row>
    <row r="815">
      <c r="E815" s="7"/>
    </row>
    <row r="816">
      <c r="E816" s="7"/>
    </row>
    <row r="817">
      <c r="E817" s="7"/>
    </row>
    <row r="818">
      <c r="E818" s="7"/>
    </row>
    <row r="819">
      <c r="E819" s="7"/>
    </row>
    <row r="820">
      <c r="E820" s="7"/>
    </row>
    <row r="821">
      <c r="E821" s="7"/>
    </row>
    <row r="822">
      <c r="E822" s="7"/>
    </row>
    <row r="823">
      <c r="E823" s="7"/>
    </row>
    <row r="824">
      <c r="E824" s="7"/>
    </row>
    <row r="825">
      <c r="E825" s="7"/>
    </row>
    <row r="826">
      <c r="E826" s="7"/>
    </row>
    <row r="827">
      <c r="E827" s="7"/>
    </row>
    <row r="828">
      <c r="E828" s="7"/>
    </row>
    <row r="829">
      <c r="E829" s="7"/>
    </row>
    <row r="830">
      <c r="E830" s="7"/>
    </row>
    <row r="831">
      <c r="E831" s="7"/>
    </row>
    <row r="832">
      <c r="E832" s="7"/>
    </row>
    <row r="833">
      <c r="E833" s="7"/>
    </row>
    <row r="834">
      <c r="E834" s="7"/>
    </row>
    <row r="835">
      <c r="E835" s="7"/>
    </row>
    <row r="836">
      <c r="E836" s="7"/>
    </row>
    <row r="837">
      <c r="E837" s="7"/>
    </row>
    <row r="838">
      <c r="E838" s="7"/>
    </row>
    <row r="839">
      <c r="E839" s="7"/>
    </row>
    <row r="840">
      <c r="E840" s="7"/>
    </row>
    <row r="841">
      <c r="E841" s="7"/>
    </row>
    <row r="842">
      <c r="E842" s="7"/>
    </row>
    <row r="843">
      <c r="E843" s="7"/>
    </row>
    <row r="844">
      <c r="E844" s="7"/>
    </row>
    <row r="845">
      <c r="E845" s="7"/>
    </row>
    <row r="846">
      <c r="E846" s="7"/>
    </row>
    <row r="847">
      <c r="E847" s="7"/>
    </row>
    <row r="848">
      <c r="E848" s="7"/>
    </row>
    <row r="849">
      <c r="E849" s="7"/>
    </row>
    <row r="850">
      <c r="E850" s="7"/>
    </row>
    <row r="851">
      <c r="E851" s="7"/>
    </row>
    <row r="852">
      <c r="E852" s="7"/>
    </row>
    <row r="853">
      <c r="E853" s="7"/>
    </row>
    <row r="854">
      <c r="E854" s="7"/>
    </row>
    <row r="855">
      <c r="E855" s="7"/>
    </row>
    <row r="856">
      <c r="E856" s="7"/>
    </row>
    <row r="857">
      <c r="E857" s="7"/>
    </row>
    <row r="858">
      <c r="E858" s="7"/>
    </row>
    <row r="859">
      <c r="E859" s="7"/>
    </row>
    <row r="860">
      <c r="E860" s="7"/>
    </row>
    <row r="861">
      <c r="E861" s="7"/>
    </row>
    <row r="862">
      <c r="E862" s="7"/>
    </row>
    <row r="863">
      <c r="E863" s="7"/>
    </row>
    <row r="864">
      <c r="E864" s="7"/>
    </row>
    <row r="865">
      <c r="E865" s="7"/>
    </row>
    <row r="866">
      <c r="E866" s="7"/>
    </row>
    <row r="867">
      <c r="E867" s="7"/>
    </row>
    <row r="868">
      <c r="E868" s="7"/>
    </row>
    <row r="869">
      <c r="E869" s="7"/>
    </row>
    <row r="870">
      <c r="E870" s="7"/>
    </row>
    <row r="871">
      <c r="E871" s="7"/>
    </row>
    <row r="872">
      <c r="E872" s="7"/>
    </row>
    <row r="873">
      <c r="E873" s="7"/>
    </row>
    <row r="874">
      <c r="E874" s="7"/>
    </row>
    <row r="875">
      <c r="E875" s="7"/>
    </row>
    <row r="876">
      <c r="E876" s="7"/>
    </row>
    <row r="877">
      <c r="E877" s="7"/>
    </row>
    <row r="878">
      <c r="E878" s="7"/>
    </row>
    <row r="879">
      <c r="E879" s="7"/>
    </row>
    <row r="880">
      <c r="E880" s="7"/>
    </row>
    <row r="881">
      <c r="E881" s="7"/>
    </row>
    <row r="882">
      <c r="E882" s="7"/>
    </row>
    <row r="883">
      <c r="E883" s="7"/>
    </row>
    <row r="884">
      <c r="E884" s="7"/>
    </row>
    <row r="885">
      <c r="E885" s="7"/>
    </row>
    <row r="886">
      <c r="E886" s="7"/>
    </row>
    <row r="887">
      <c r="E887" s="7"/>
    </row>
    <row r="888">
      <c r="E888" s="7"/>
    </row>
    <row r="889">
      <c r="E889" s="7"/>
    </row>
    <row r="890">
      <c r="E890" s="7"/>
    </row>
    <row r="891">
      <c r="E891" s="7"/>
    </row>
    <row r="892">
      <c r="E892" s="7"/>
    </row>
    <row r="893">
      <c r="E893" s="7"/>
    </row>
    <row r="894">
      <c r="E894" s="7"/>
    </row>
    <row r="895">
      <c r="E895" s="7"/>
    </row>
    <row r="896">
      <c r="E896" s="7"/>
    </row>
    <row r="897">
      <c r="E897" s="7"/>
    </row>
    <row r="898">
      <c r="E898" s="7"/>
    </row>
    <row r="899">
      <c r="E899" s="7"/>
    </row>
    <row r="900">
      <c r="E900" s="7"/>
    </row>
    <row r="901">
      <c r="E901" s="7"/>
    </row>
    <row r="902">
      <c r="E902" s="7"/>
    </row>
    <row r="903">
      <c r="E903" s="7"/>
    </row>
    <row r="904">
      <c r="E904" s="7"/>
    </row>
    <row r="905">
      <c r="E905" s="7"/>
    </row>
    <row r="906">
      <c r="E906" s="7"/>
    </row>
    <row r="907">
      <c r="E907" s="7"/>
    </row>
    <row r="908">
      <c r="E908" s="7"/>
    </row>
    <row r="909">
      <c r="E909" s="7"/>
    </row>
    <row r="910">
      <c r="E910" s="7"/>
    </row>
    <row r="911">
      <c r="E911" s="7"/>
    </row>
    <row r="912">
      <c r="E912" s="7"/>
    </row>
    <row r="913">
      <c r="E913" s="7"/>
    </row>
    <row r="914">
      <c r="E914" s="7"/>
    </row>
    <row r="915">
      <c r="E915" s="7"/>
    </row>
    <row r="916">
      <c r="E916" s="7"/>
    </row>
    <row r="917">
      <c r="E917" s="7"/>
    </row>
    <row r="918">
      <c r="E918" s="7"/>
    </row>
    <row r="919">
      <c r="E919" s="7"/>
    </row>
    <row r="920">
      <c r="E920" s="7"/>
    </row>
    <row r="921">
      <c r="E921" s="7"/>
    </row>
    <row r="922">
      <c r="E922" s="7"/>
    </row>
    <row r="923">
      <c r="E923" s="7"/>
    </row>
    <row r="924">
      <c r="E924" s="7"/>
    </row>
    <row r="925">
      <c r="E925" s="7"/>
    </row>
    <row r="926">
      <c r="E926" s="7"/>
    </row>
    <row r="927">
      <c r="E927" s="7"/>
    </row>
    <row r="928">
      <c r="E928" s="7"/>
    </row>
    <row r="929">
      <c r="E929" s="7"/>
    </row>
    <row r="930">
      <c r="E930" s="7"/>
    </row>
    <row r="931">
      <c r="E931" s="7"/>
    </row>
    <row r="932">
      <c r="E932" s="7"/>
    </row>
    <row r="933">
      <c r="E933" s="7"/>
    </row>
    <row r="934">
      <c r="E934" s="7"/>
    </row>
    <row r="935">
      <c r="E935" s="7"/>
    </row>
    <row r="936">
      <c r="E936" s="7"/>
    </row>
    <row r="937">
      <c r="E937" s="7"/>
    </row>
    <row r="938">
      <c r="E938" s="7"/>
    </row>
    <row r="939">
      <c r="E939" s="7"/>
    </row>
    <row r="940">
      <c r="E940" s="7"/>
    </row>
    <row r="941">
      <c r="E941" s="7"/>
    </row>
    <row r="942">
      <c r="E942" s="7"/>
    </row>
    <row r="943">
      <c r="E943" s="7"/>
    </row>
    <row r="944">
      <c r="E944" s="7"/>
    </row>
    <row r="945">
      <c r="E945" s="7"/>
    </row>
    <row r="946">
      <c r="E946" s="7"/>
    </row>
    <row r="947">
      <c r="E947" s="7"/>
    </row>
    <row r="948">
      <c r="E948" s="7"/>
    </row>
    <row r="949">
      <c r="E949" s="7"/>
    </row>
    <row r="950">
      <c r="E950" s="7"/>
    </row>
    <row r="951">
      <c r="E951" s="7"/>
    </row>
    <row r="952">
      <c r="E952" s="7"/>
    </row>
    <row r="953">
      <c r="E953" s="7"/>
    </row>
    <row r="954">
      <c r="E954" s="7"/>
    </row>
    <row r="955">
      <c r="E955" s="7"/>
    </row>
    <row r="956">
      <c r="E956" s="7"/>
    </row>
    <row r="957">
      <c r="E957" s="7"/>
    </row>
    <row r="958">
      <c r="E958" s="7"/>
    </row>
    <row r="959">
      <c r="E959" s="7"/>
    </row>
    <row r="960">
      <c r="E960" s="7"/>
    </row>
    <row r="961">
      <c r="E961" s="7"/>
    </row>
    <row r="962">
      <c r="E962" s="7"/>
    </row>
    <row r="963">
      <c r="E963" s="7"/>
    </row>
    <row r="964">
      <c r="E964" s="7"/>
    </row>
    <row r="965">
      <c r="E965" s="7"/>
    </row>
    <row r="966">
      <c r="E966" s="7"/>
    </row>
    <row r="967">
      <c r="E967" s="7"/>
    </row>
    <row r="968">
      <c r="E968" s="7"/>
    </row>
    <row r="969">
      <c r="E969" s="7"/>
    </row>
    <row r="970">
      <c r="E970" s="7"/>
    </row>
    <row r="971">
      <c r="E971" s="7"/>
    </row>
    <row r="972">
      <c r="E972" s="7"/>
    </row>
    <row r="973">
      <c r="E973" s="7"/>
    </row>
    <row r="974">
      <c r="E974" s="7"/>
    </row>
    <row r="975">
      <c r="E975" s="7"/>
    </row>
    <row r="976">
      <c r="E976" s="7"/>
    </row>
    <row r="977">
      <c r="E977" s="7"/>
    </row>
    <row r="978">
      <c r="E978" s="7"/>
    </row>
    <row r="979">
      <c r="E979" s="7"/>
    </row>
    <row r="980">
      <c r="E980" s="7"/>
    </row>
    <row r="981">
      <c r="E981" s="7"/>
    </row>
    <row r="982">
      <c r="E982" s="7"/>
    </row>
    <row r="983">
      <c r="E983" s="7"/>
    </row>
    <row r="984">
      <c r="E984" s="7"/>
    </row>
    <row r="985">
      <c r="E985" s="7"/>
    </row>
    <row r="986">
      <c r="E986" s="7"/>
    </row>
    <row r="987">
      <c r="E987" s="7"/>
    </row>
    <row r="988">
      <c r="E988" s="7"/>
    </row>
    <row r="989">
      <c r="E989" s="7"/>
    </row>
    <row r="990">
      <c r="E990" s="7"/>
    </row>
    <row r="991">
      <c r="E991" s="7"/>
    </row>
    <row r="992">
      <c r="E992" s="7"/>
    </row>
    <row r="993">
      <c r="E993" s="7"/>
    </row>
    <row r="994">
      <c r="E994" s="7"/>
    </row>
    <row r="995">
      <c r="E995" s="7"/>
    </row>
    <row r="996">
      <c r="E996" s="7"/>
    </row>
    <row r="997">
      <c r="E997" s="7"/>
    </row>
    <row r="998">
      <c r="E998" s="7"/>
    </row>
    <row r="999">
      <c r="E999" s="7"/>
    </row>
    <row r="1000">
      <c r="E1000" s="7"/>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