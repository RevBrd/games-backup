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Template" sheetId="2" r:id="rId6"/>
    <sheet state="visible" name="F T2-1" sheetId="3" r:id="rId7"/>
    <sheet state="visible" name="F T2-2" sheetId="4" r:id="rId8"/>
    <sheet state="visible" name="F T2-3" sheetId="5" r:id="rId9"/>
    <sheet state="visible" name="F T3-1" sheetId="6" r:id="rId10"/>
    <sheet state="visible" name="F T3-2" sheetId="7" r:id="rId11"/>
    <sheet state="visible" name="F T4" sheetId="8" r:id="rId12"/>
  </sheets>
  <definedNames/>
  <calcPr/>
</workbook>
</file>

<file path=xl/sharedStrings.xml><?xml version="1.0" encoding="utf-8"?>
<sst xmlns="http://schemas.openxmlformats.org/spreadsheetml/2006/main" count="1639" uniqueCount="632">
  <si>
    <t>ID</t>
  </si>
  <si>
    <t>Card</t>
  </si>
  <si>
    <t>Quantity</t>
  </si>
  <si>
    <t>Type</t>
  </si>
  <si>
    <t>Stage / Rarity (trainer)</t>
  </si>
  <si>
    <t>Stage / Rarity</t>
  </si>
  <si>
    <t>Remaining Evo</t>
  </si>
  <si>
    <t>Deck Feature Tier</t>
  </si>
  <si>
    <t>Feature Weight</t>
  </si>
  <si>
    <t>Opener Archetype</t>
  </si>
  <si>
    <t>Card Total</t>
  </si>
  <si>
    <t>Pressure</t>
  </si>
  <si>
    <t>Num</t>
  </si>
  <si>
    <t>Wants</t>
  </si>
  <si>
    <t>Basic</t>
  </si>
  <si>
    <t>Possible CPU Deck Block?</t>
  </si>
  <si>
    <t>S1 Max</t>
  </si>
  <si>
    <t>Included in opp Deck?</t>
  </si>
  <si>
    <t>S1 Mid</t>
  </si>
  <si>
    <t>Feature Tier Key</t>
  </si>
  <si>
    <t>S2</t>
  </si>
  <si>
    <t>No Evolve</t>
  </si>
  <si>
    <t>base2-16</t>
  </si>
  <si>
    <t>Geodude</t>
  </si>
  <si>
    <t>Wigglytuff</t>
  </si>
  <si>
    <t>Horsea</t>
  </si>
  <si>
    <t>C</t>
  </si>
  <si>
    <t>n</t>
  </si>
  <si>
    <t>HD, SL</t>
  </si>
  <si>
    <t>Many bench pokemon</t>
  </si>
  <si>
    <t>Not shown</t>
  </si>
  <si>
    <t>Not worth noting</t>
  </si>
  <si>
    <t>base2-24</t>
  </si>
  <si>
    <t>Pidgeot NH</t>
  </si>
  <si>
    <t>PC</t>
  </si>
  <si>
    <t>Strategic Opener / Tank / Other utility</t>
  </si>
  <si>
    <t>base2-32</t>
  </si>
  <si>
    <t>Wigglytuff NH</t>
  </si>
  <si>
    <t>Secondary Feature</t>
  </si>
  <si>
    <t>base2-8</t>
  </si>
  <si>
    <t>Pidgeot</t>
  </si>
  <si>
    <t>Primary Feature</t>
  </si>
  <si>
    <t>base3-19</t>
  </si>
  <si>
    <t>Dragonite NH</t>
  </si>
  <si>
    <t>HD, PC</t>
  </si>
  <si>
    <t>To wait on the bench and use its Pokemon Power to Step In at opportune times</t>
  </si>
  <si>
    <t>Elite Feature</t>
  </si>
  <si>
    <t>base3-4</t>
  </si>
  <si>
    <t>Dragonite</t>
  </si>
  <si>
    <t>base2-1</t>
  </si>
  <si>
    <t>Clefable</t>
  </si>
  <si>
    <t>HD</t>
  </si>
  <si>
    <t>A turn to copy a high damage opp pokemon's move</t>
  </si>
  <si>
    <t>base2-17</t>
  </si>
  <si>
    <t>Clefable NH</t>
  </si>
  <si>
    <t>Tier ranking is only for last of evolution line and select useful others. Partially based in subjectivity and play experience</t>
  </si>
  <si>
    <t>base1-3</t>
  </si>
  <si>
    <t>Chansey</t>
  </si>
  <si>
    <t>b</t>
  </si>
  <si>
    <t>t</t>
  </si>
  <si>
    <t>WP</t>
  </si>
  <si>
    <t>Power up Scrunch and then tank</t>
  </si>
  <si>
    <t>Remaining Evo only applies to Basic and Stage 1. All stage 2 are assumed to not have evolutions remaining</t>
  </si>
  <si>
    <t>base2-21</t>
  </si>
  <si>
    <t>Kangaskhan NH</t>
  </si>
  <si>
    <t>BG</t>
  </si>
  <si>
    <t>To go first/stall while using Fetch. Only rarely wants to use Comet Punch</t>
  </si>
  <si>
    <t>Labels here are used for the lookup table on the deck tabs, but we can possibly get utility from it as well with the AI</t>
  </si>
  <si>
    <t>base2-5</t>
  </si>
  <si>
    <t>Kangaskhan</t>
  </si>
  <si>
    <t>Trainer rarity is used to gauge usefulness in decks</t>
  </si>
  <si>
    <t>base1-18</t>
  </si>
  <si>
    <t>Dragonair</t>
  </si>
  <si>
    <t>y</t>
  </si>
  <si>
    <t>Half steps are used. Consider those candidates for the next tier with proper support</t>
  </si>
  <si>
    <t>base2-11</t>
  </si>
  <si>
    <t>Snorlax</t>
  </si>
  <si>
    <t>To stall, not attack or retreat</t>
  </si>
  <si>
    <t>Opener archetypes per card are tracked. I don't know if we'll need these but it's cheap to do while going through the set anyway. Unlabeled ones should be deferred as openers when possible, but usually committed to once they're in. Based on battle utility, not whether they can evolve, etc</t>
  </si>
  <si>
    <t>base2-27</t>
  </si>
  <si>
    <t>Snorlax NH</t>
  </si>
  <si>
    <t>Numbers added to the end of names is for differentiation purposes between cards with the same name. Ex: B2 means base2/Jungle</t>
  </si>
  <si>
    <t>base2-34</t>
  </si>
  <si>
    <t>Dodrio</t>
  </si>
  <si>
    <t>To stay in when it takes high damage and is capable of using Rage</t>
  </si>
  <si>
    <t>Nonholo duplicates are tagged with NH after their name. It helps the lookup table</t>
  </si>
  <si>
    <t>base2-36</t>
  </si>
  <si>
    <t>Fearow</t>
  </si>
  <si>
    <t>To use Agility unless Drill Peck can kill</t>
  </si>
  <si>
    <t>Trainer Function Key, Pressure, and Wants were added at the advice of #15 and haven't been fully applied retroactively yet</t>
  </si>
  <si>
    <t>base2-42</t>
  </si>
  <si>
    <t>Persian</t>
  </si>
  <si>
    <t>Opener archetypes are only applied to basic pokemon here</t>
  </si>
  <si>
    <t>W</t>
  </si>
  <si>
    <t>F</t>
  </si>
  <si>
    <t>base1-5</t>
  </si>
  <si>
    <t>Clefairy</t>
  </si>
  <si>
    <t>base2-38</t>
  </si>
  <si>
    <t>Lickitung</t>
  </si>
  <si>
    <t>SL</t>
  </si>
  <si>
    <t>An opening role</t>
  </si>
  <si>
    <t>base3-18</t>
  </si>
  <si>
    <t>Ditto NH</t>
  </si>
  <si>
    <t>A low energy cost, high damage or otherwise pesky opponent to copy</t>
  </si>
  <si>
    <t>Opener Archetype Key:</t>
  </si>
  <si>
    <t>base3-3</t>
  </si>
  <si>
    <t>Ditto</t>
  </si>
  <si>
    <t>base1-22</t>
  </si>
  <si>
    <t>Pidgeotto</t>
  </si>
  <si>
    <t>A</t>
  </si>
  <si>
    <t>Attack Opener. Openers that use stalling attacks, low damage attacks w/ high HP, or build up to damage quickly without evo. Should be weighted high for starter selection or stalling jobs, lower for retreat. Can sometimes also build up to stronger moves while stalling. Ex: Onix, Jynx</t>
  </si>
  <si>
    <t>base1-26</t>
  </si>
  <si>
    <t>Dratini</t>
  </si>
  <si>
    <t>T</t>
  </si>
  <si>
    <t>Tanks. Usually used as openers but attacks are usually defensive stalling or card drawing. Usually weighted higher than other openers. Ex: Chansey</t>
  </si>
  <si>
    <t>base1-27</t>
  </si>
  <si>
    <t>Farfetch'd</t>
  </si>
  <si>
    <t>a</t>
  </si>
  <si>
    <t>Fallback opener. Good cheap attack option during game, not a main weapon but capable of bridging gaps. Good opener if other options aren't available. Ex: Mewtwo (1-10)</t>
  </si>
  <si>
    <t>base1-39</t>
  </si>
  <si>
    <t>Porygon</t>
  </si>
  <si>
    <t>E</t>
  </si>
  <si>
    <t>Evo openerer. Lower weight when it comes to opening due to evolution possibility but does have stalling moves or can do damage, and should be prioritized when stalling is needed and no other options available. Higher priority if evolution exists in hand and is realistic to survive long enough to evolve. Ex: Squirtle</t>
  </si>
  <si>
    <t>base1-40</t>
  </si>
  <si>
    <t>Raticate</t>
  </si>
  <si>
    <t>N</t>
  </si>
  <si>
    <t>Avoid using as an opener when possible. Should be weighted lower than the baseline and possibly even switched out when other options become available. Ex: Magikarp</t>
  </si>
  <si>
    <t>base1-48</t>
  </si>
  <si>
    <t>Doduo</t>
  </si>
  <si>
    <t>H</t>
  </si>
  <si>
    <t xml:space="preserve">HP staller. A high HP card that would normally be used as an attacker is substituted as a tank due to lack of other options. Committed to once in, not retreated or powered up unless smart to do so. A complete sacrifice. Ex: Zapdos </t>
  </si>
  <si>
    <t>base1-57</t>
  </si>
  <si>
    <t>Pidgey</t>
  </si>
  <si>
    <t>base1-61</t>
  </si>
  <si>
    <t>Rattata</t>
  </si>
  <si>
    <t>base2-47</t>
  </si>
  <si>
    <t>Tauros</t>
  </si>
  <si>
    <t>f</t>
  </si>
  <si>
    <t>To stay in and use Rampage when highly damaged</t>
  </si>
  <si>
    <t>base2-51</t>
  </si>
  <si>
    <t>Eevee</t>
  </si>
  <si>
    <t>e</t>
  </si>
  <si>
    <t>AP, SL</t>
  </si>
  <si>
    <t>Trainer Function Key:</t>
  </si>
  <si>
    <t>base2-54</t>
  </si>
  <si>
    <t>Jigglypuff</t>
  </si>
  <si>
    <t>D</t>
  </si>
  <si>
    <t>Draw. Cards are picked up from the top of the deck</t>
  </si>
  <si>
    <t>base2-56</t>
  </si>
  <si>
    <t>Meowth</t>
  </si>
  <si>
    <t>To go first/early and use Pay Day</t>
  </si>
  <si>
    <t>Seadra</t>
  </si>
  <si>
    <t>S</t>
  </si>
  <si>
    <t>Search. Search for a card in the deck</t>
  </si>
  <si>
    <t>base2-62</t>
  </si>
  <si>
    <t>Graveler</t>
  </si>
  <si>
    <t>Spearow</t>
  </si>
  <si>
    <t>P</t>
  </si>
  <si>
    <t>Disruption. Interferes with the opponent or the status of the board</t>
  </si>
  <si>
    <t>base1-9</t>
  </si>
  <si>
    <t>Magneton</t>
  </si>
  <si>
    <t>Heal. Removes damage from Pokemon</t>
  </si>
  <si>
    <t>base1-14</t>
  </si>
  <si>
    <t>Raichu</t>
  </si>
  <si>
    <t>M</t>
  </si>
  <si>
    <t>Movement. Moves someone from somewhere to somewhere</t>
  </si>
  <si>
    <t>base1-21</t>
  </si>
  <si>
    <t>Electrode</t>
  </si>
  <si>
    <t>R</t>
  </si>
  <si>
    <t>Recovery. Removes status conditions</t>
  </si>
  <si>
    <t>base2-20</t>
  </si>
  <si>
    <t>Jolteon NH</t>
  </si>
  <si>
    <t>Exclude from baseline. Doesn't fall in with the other functions but should be excluded from baseline readings</t>
  </si>
  <si>
    <t>base2-4</t>
  </si>
  <si>
    <t>Jolteon</t>
  </si>
  <si>
    <t>base3-11</t>
  </si>
  <si>
    <t>Magneton B3</t>
  </si>
  <si>
    <t>HD, BD</t>
  </si>
  <si>
    <t>To use Self Destruct when low HP or otherwise close to death</t>
  </si>
  <si>
    <t>base3-14</t>
  </si>
  <si>
    <t>Raichu B3</t>
  </si>
  <si>
    <t>BD</t>
  </si>
  <si>
    <t>Many opp. bench pokemon</t>
  </si>
  <si>
    <t>base3-15</t>
  </si>
  <si>
    <t>Zapdos B3</t>
  </si>
  <si>
    <t>h</t>
  </si>
  <si>
    <t>base3-26</t>
  </si>
  <si>
    <t>Magneton B3 NH</t>
  </si>
  <si>
    <t>ED</t>
  </si>
  <si>
    <t>Energy Denial - Strips the investement you already made</t>
  </si>
  <si>
    <t>base3-29</t>
  </si>
  <si>
    <t>Raichu B3 NH</t>
  </si>
  <si>
    <t>Bench Damage - Your cards aren't safe</t>
  </si>
  <si>
    <t>base3-30</t>
  </si>
  <si>
    <t>Zapdos B3 NH</t>
  </si>
  <si>
    <t>Golem</t>
  </si>
  <si>
    <t>Position Control - You fight with the wrong pokemon</t>
  </si>
  <si>
    <t>base1-16</t>
  </si>
  <si>
    <t>Zapdos</t>
  </si>
  <si>
    <t>Psyduck</t>
  </si>
  <si>
    <t>Status Lock - It takes your turns away</t>
  </si>
  <si>
    <t>base2-18</t>
  </si>
  <si>
    <t>Electrode B2 NH</t>
  </si>
  <si>
    <t>Opponent bench pokemon of the same type ass opponent. Different type pokemon for its own bench</t>
  </si>
  <si>
    <t>HT</t>
  </si>
  <si>
    <t>Hand/Trainer Denial - Your outs stop arriving</t>
  </si>
  <si>
    <t>base2-2</t>
  </si>
  <si>
    <t>Electrode B2</t>
  </si>
  <si>
    <t>Wall/Prevention - Your damage stops landing</t>
  </si>
  <si>
    <t>base1-20</t>
  </si>
  <si>
    <t>Electabuzz</t>
  </si>
  <si>
    <t>AP</t>
  </si>
  <si>
    <t>Attrition/Recovery - It refuses to run out</t>
  </si>
  <si>
    <t>base1-53</t>
  </si>
  <si>
    <t>Magnemite</t>
  </si>
  <si>
    <t>High Damage - Hits you harder than you can absorb</t>
  </si>
  <si>
    <t>base1-58</t>
  </si>
  <si>
    <t>Pikachu</t>
  </si>
  <si>
    <t>Bench Growth - Your opponent is able to build up their reserves more quickly</t>
  </si>
  <si>
    <t>base1-67</t>
  </si>
  <si>
    <t>Voltorb</t>
  </si>
  <si>
    <t>base2-60</t>
  </si>
  <si>
    <t>Pikachu B2</t>
  </si>
  <si>
    <t>Vulnerable opponent bench pokemon</t>
  </si>
  <si>
    <t>base1-96</t>
  </si>
  <si>
    <t>DC Energy</t>
  </si>
  <si>
    <t>Energy</t>
  </si>
  <si>
    <t>base1-97</t>
  </si>
  <si>
    <t>F Energy</t>
  </si>
  <si>
    <t>Order matters for pokemon with multiple pressures listed. The first has priority</t>
  </si>
  <si>
    <t>base1-98</t>
  </si>
  <si>
    <t>R Energy</t>
  </si>
  <si>
    <t>base1-99</t>
  </si>
  <si>
    <t>G Energy</t>
  </si>
  <si>
    <t>base1-100</t>
  </si>
  <si>
    <t>E Energy</t>
  </si>
  <si>
    <t>base1-101</t>
  </si>
  <si>
    <t>P Energy</t>
  </si>
  <si>
    <t>base1-102</t>
  </si>
  <si>
    <t>W Energy</t>
  </si>
  <si>
    <t>base1-8</t>
  </si>
  <si>
    <t>Machamp</t>
  </si>
  <si>
    <t>Golduck</t>
  </si>
  <si>
    <t>base3-1</t>
  </si>
  <si>
    <t>Aerodactyl</t>
  </si>
  <si>
    <t>Hitmonlee NH</t>
  </si>
  <si>
    <t>To evolve before most opponent pokemon</t>
  </si>
  <si>
    <t>base3-16</t>
  </si>
  <si>
    <t>Aerodactyl NH</t>
  </si>
  <si>
    <t>base3-36</t>
  </si>
  <si>
    <t>base1-12</t>
  </si>
  <si>
    <t>Ninetales</t>
  </si>
  <si>
    <t>base1-19</t>
  </si>
  <si>
    <t>Dugtrio</t>
  </si>
  <si>
    <t>base2-45</t>
  </si>
  <si>
    <t>Rhydon</t>
  </si>
  <si>
    <t>base3-24</t>
  </si>
  <si>
    <t>Kabutops NH</t>
  </si>
  <si>
    <t>base3-9</t>
  </si>
  <si>
    <t>Kabutops</t>
  </si>
  <si>
    <t>base2-39</t>
  </si>
  <si>
    <t>Marowak</t>
  </si>
  <si>
    <t>To use Bonemerang primarily</t>
  </si>
  <si>
    <t>base2-43</t>
  </si>
  <si>
    <t>Primeape</t>
  </si>
  <si>
    <t>base3-22</t>
  </si>
  <si>
    <t>BD, HD</t>
  </si>
  <si>
    <t>base3-41</t>
  </si>
  <si>
    <t>Sandslash</t>
  </si>
  <si>
    <t>A quick evolution for a Sandshrew that opened the game</t>
  </si>
  <si>
    <t>base3-7</t>
  </si>
  <si>
    <t>Hitmonlee</t>
  </si>
  <si>
    <t>Hitmonchan</t>
  </si>
  <si>
    <t>Lapras NH</t>
  </si>
  <si>
    <t>base1-7</t>
  </si>
  <si>
    <t>A stalling or opening role</t>
  </si>
  <si>
    <t>base1-34</t>
  </si>
  <si>
    <t>Machoke</t>
  </si>
  <si>
    <t>base1-47</t>
  </si>
  <si>
    <t>Diglett</t>
  </si>
  <si>
    <t>base1-52</t>
  </si>
  <si>
    <t>Machop</t>
  </si>
  <si>
    <t>base1-56</t>
  </si>
  <si>
    <t>Onix</t>
  </si>
  <si>
    <t>base1-62</t>
  </si>
  <si>
    <t>Sandshrew</t>
  </si>
  <si>
    <t>base2-50</t>
  </si>
  <si>
    <t>Cubone</t>
  </si>
  <si>
    <t>To open or stall using Snivel</t>
  </si>
  <si>
    <t>base2-55</t>
  </si>
  <si>
    <t>Mankey</t>
  </si>
  <si>
    <t>base2-61</t>
  </si>
  <si>
    <t>Rhyhorn</t>
  </si>
  <si>
    <t>base3-37</t>
  </si>
  <si>
    <t>base3-47</t>
  </si>
  <si>
    <t>Coin luck</t>
  </si>
  <si>
    <t>base3-50</t>
  </si>
  <si>
    <t>Kabuto</t>
  </si>
  <si>
    <t>To sit on the bench and wait for an evolution</t>
  </si>
  <si>
    <t>base1-11</t>
  </si>
  <si>
    <t>Nidoking</t>
  </si>
  <si>
    <t>G</t>
  </si>
  <si>
    <t>base1-15</t>
  </si>
  <si>
    <t>Venusaur</t>
  </si>
  <si>
    <t>base1-17</t>
  </si>
  <si>
    <t>Beedrill</t>
  </si>
  <si>
    <t>base2-15</t>
  </si>
  <si>
    <t>Vileplume</t>
  </si>
  <si>
    <t>AP, HD</t>
  </si>
  <si>
    <t>To heal damaged G pokemon</t>
  </si>
  <si>
    <t>base2-31</t>
  </si>
  <si>
    <t>Vileplume NH</t>
  </si>
  <si>
    <t>base2-33</t>
  </si>
  <si>
    <t>Butterfree</t>
  </si>
  <si>
    <t>PC, AP</t>
  </si>
  <si>
    <t>To move dangerous pokemon away with Whirlwind</t>
  </si>
  <si>
    <t>base2-23</t>
  </si>
  <si>
    <t>Nidoqueen NH</t>
  </si>
  <si>
    <t>Many Nidokings on the bench</t>
  </si>
  <si>
    <t>base2-7</t>
  </si>
  <si>
    <t>Nidoqueen</t>
  </si>
  <si>
    <t>base2-13</t>
  </si>
  <si>
    <t>Venomoth</t>
  </si>
  <si>
    <t>To use its Pokemon Power to avoid being weak to its opponent</t>
  </si>
  <si>
    <t>base2-14</t>
  </si>
  <si>
    <t>Victreebel</t>
  </si>
  <si>
    <t>SL, PC</t>
  </si>
  <si>
    <t>base2-29</t>
  </si>
  <si>
    <t>Venomoth NH</t>
  </si>
  <si>
    <t>base2-30</t>
  </si>
  <si>
    <t>Victreebel NH</t>
  </si>
  <si>
    <t>base2-35</t>
  </si>
  <si>
    <t>Exeggutor</t>
  </si>
  <si>
    <t>To run away with Teleport when Big Eggsplosion doesn't have enough energy to carry a strong attack</t>
  </si>
  <si>
    <t>Slowpoke</t>
  </si>
  <si>
    <t>base3-13</t>
  </si>
  <si>
    <t>Muk</t>
  </si>
  <si>
    <t>To suppress dangerous Pokemon Powers</t>
  </si>
  <si>
    <t>base3-28</t>
  </si>
  <si>
    <t>Muk NH</t>
  </si>
  <si>
    <t>base3-45</t>
  </si>
  <si>
    <t>Weezing</t>
  </si>
  <si>
    <t>base3-31</t>
  </si>
  <si>
    <t>Arbok</t>
  </si>
  <si>
    <t>base2-25</t>
  </si>
  <si>
    <t>Pinsir NH</t>
  </si>
  <si>
    <t>base2-41</t>
  </si>
  <si>
    <t>Parasect</t>
  </si>
  <si>
    <t>base2-9</t>
  </si>
  <si>
    <t>Pinsir</t>
  </si>
  <si>
    <t>base3-34</t>
  </si>
  <si>
    <t>Golbat</t>
  </si>
  <si>
    <t>base1-30</t>
  </si>
  <si>
    <t>Ivysaur</t>
  </si>
  <si>
    <t>base1-33</t>
  </si>
  <si>
    <t>Kakuna</t>
  </si>
  <si>
    <t>base1-37</t>
  </si>
  <si>
    <t>Nidorino</t>
  </si>
  <si>
    <t>Total</t>
  </si>
  <si>
    <t>base1-44</t>
  </si>
  <si>
    <t>Bulbasaur</t>
  </si>
  <si>
    <t>base1-45</t>
  </si>
  <si>
    <t>Caterpie</t>
  </si>
  <si>
    <t>base1-51</t>
  </si>
  <si>
    <t>Koffing</t>
  </si>
  <si>
    <t>base1-54</t>
  </si>
  <si>
    <t>Metapod</t>
  </si>
  <si>
    <t>Slowbro</t>
  </si>
  <si>
    <t>base1-55</t>
  </si>
  <si>
    <t>Nidoran ♂</t>
  </si>
  <si>
    <t>base1-66</t>
  </si>
  <si>
    <t>Tangela</t>
  </si>
  <si>
    <t>base1-69</t>
  </si>
  <si>
    <t>Weedle</t>
  </si>
  <si>
    <t>base2-10</t>
  </si>
  <si>
    <t>Scyther</t>
  </si>
  <si>
    <t>To use Swords Dance with two energies so it can use Slash on the next turn with 3</t>
  </si>
  <si>
    <t>base2-26</t>
  </si>
  <si>
    <t>Scyther NH</t>
  </si>
  <si>
    <t>base2-37</t>
  </si>
  <si>
    <t>Gloom</t>
  </si>
  <si>
    <t>To confuse the defending pokemon (and itself) and then evolve out of its confusion</t>
  </si>
  <si>
    <t>base2-40</t>
  </si>
  <si>
    <t>Nidorina</t>
  </si>
  <si>
    <t>base2-48</t>
  </si>
  <si>
    <t>Weepinbell</t>
  </si>
  <si>
    <t>base2-49</t>
  </si>
  <si>
    <t>Bellsprout</t>
  </si>
  <si>
    <t>base2-52</t>
  </si>
  <si>
    <t>Exeggcute</t>
  </si>
  <si>
    <t>base2-57</t>
  </si>
  <si>
    <t>Nidoran ♀</t>
  </si>
  <si>
    <t>Drowzee</t>
  </si>
  <si>
    <t>base2-58</t>
  </si>
  <si>
    <t>Oddish</t>
  </si>
  <si>
    <t>base2-59</t>
  </si>
  <si>
    <t>Paras</t>
  </si>
  <si>
    <t>To use Scratch instead of Spore in most cases</t>
  </si>
  <si>
    <t>base2-63</t>
  </si>
  <si>
    <t>Venonat</t>
  </si>
  <si>
    <t>To use Stun Spore primarily</t>
  </si>
  <si>
    <t>base3-46</t>
  </si>
  <si>
    <t>Ekans</t>
  </si>
  <si>
    <t>base3-48</t>
  </si>
  <si>
    <t>Grimer</t>
  </si>
  <si>
    <t>To almost never use Minimize</t>
  </si>
  <si>
    <t>base3-57</t>
  </si>
  <si>
    <t>Zubat</t>
  </si>
  <si>
    <t>SL, AP</t>
  </si>
  <si>
    <t>To confuse and then use Leech Life</t>
  </si>
  <si>
    <t>base3-20</t>
  </si>
  <si>
    <t>Gengar NH</t>
  </si>
  <si>
    <t>To sneaky knock out opponents using bench damage or its Pokemon Power</t>
  </si>
  <si>
    <t>base3-5</t>
  </si>
  <si>
    <t>Gengar</t>
  </si>
  <si>
    <t>base1-1</t>
  </si>
  <si>
    <t>Alakazam</t>
  </si>
  <si>
    <t>Tanks on the bench to move damage to</t>
  </si>
  <si>
    <t>base3-23</t>
  </si>
  <si>
    <t>Hypno NH</t>
  </si>
  <si>
    <t>To target vulnerable, weak, or high value pokemon on the bench for its bench damage</t>
  </si>
  <si>
    <t>base3-8</t>
  </si>
  <si>
    <t>Hypno</t>
  </si>
  <si>
    <t>Common</t>
  </si>
  <si>
    <t>Uncommon</t>
  </si>
  <si>
    <t>Rare</t>
  </si>
  <si>
    <t>base3-21</t>
  </si>
  <si>
    <t>Haunter B3 NH</t>
  </si>
  <si>
    <t>WP, SL</t>
  </si>
  <si>
    <t>To punch above its weight while stalling for an evolution</t>
  </si>
  <si>
    <t>base3-6</t>
  </si>
  <si>
    <t>Haunter B3</t>
  </si>
  <si>
    <t>base3-43</t>
  </si>
  <si>
    <t>To hide on the bench and take damage away from the active pokemon</t>
  </si>
  <si>
    <t>base2-22</t>
  </si>
  <si>
    <t>Mr. Mime NH</t>
  </si>
  <si>
    <t>To go against medium-high damage pokemon w/ no attacks 20 dmg or below</t>
  </si>
  <si>
    <t>base2-6</t>
  </si>
  <si>
    <t>Mr. Mime</t>
  </si>
  <si>
    <t>base1-10</t>
  </si>
  <si>
    <t>Mewtwo</t>
  </si>
  <si>
    <t>base1-31</t>
  </si>
  <si>
    <t>Jynx</t>
  </si>
  <si>
    <t>base1-29</t>
  </si>
  <si>
    <t>Haunter</t>
  </si>
  <si>
    <t>base1-32</t>
  </si>
  <si>
    <t>Kadabra</t>
  </si>
  <si>
    <t>base1-43</t>
  </si>
  <si>
    <t>Abra</t>
  </si>
  <si>
    <t>base1-49</t>
  </si>
  <si>
    <t>base1-50</t>
  </si>
  <si>
    <t>Gastly</t>
  </si>
  <si>
    <t>Trainer</t>
  </si>
  <si>
    <t>base3-33</t>
  </si>
  <si>
    <t>Gastly B3</t>
  </si>
  <si>
    <t>SL, BG</t>
  </si>
  <si>
    <t>base3-55</t>
  </si>
  <si>
    <t>base1-4</t>
  </si>
  <si>
    <t>Charizard</t>
  </si>
  <si>
    <t>Replace 4x R energy with DCE in deck</t>
  </si>
  <si>
    <t>base1-23</t>
  </si>
  <si>
    <t>Arcanine</t>
  </si>
  <si>
    <t>base2-19</t>
  </si>
  <si>
    <t>Flareon NH</t>
  </si>
  <si>
    <t>base2-3</t>
  </si>
  <si>
    <t>Flareon</t>
  </si>
  <si>
    <t>base2-44</t>
  </si>
  <si>
    <t>Rapidash</t>
  </si>
  <si>
    <t>To use Agility whenever possible</t>
  </si>
  <si>
    <t>base3-12</t>
  </si>
  <si>
    <t>Moltres</t>
  </si>
  <si>
    <t>base3-27</t>
  </si>
  <si>
    <t>Moltres NH</t>
  </si>
  <si>
    <t>base3-39</t>
  </si>
  <si>
    <t>Magmar B3</t>
  </si>
  <si>
    <t>base1-24</t>
  </si>
  <si>
    <t>Charmeleon</t>
  </si>
  <si>
    <t>base1-28</t>
  </si>
  <si>
    <t>Growlithe</t>
  </si>
  <si>
    <t>base1-36</t>
  </si>
  <si>
    <t>Magmar</t>
  </si>
  <si>
    <t>base1-46</t>
  </si>
  <si>
    <t>Charmander</t>
  </si>
  <si>
    <t>base1-60</t>
  </si>
  <si>
    <t>Ponyta</t>
  </si>
  <si>
    <t>base1-68</t>
  </si>
  <si>
    <t>Vulpix</t>
  </si>
  <si>
    <t>base1-71</t>
  </si>
  <si>
    <t>Computer Search</t>
  </si>
  <si>
    <t>r</t>
  </si>
  <si>
    <t>s</t>
  </si>
  <si>
    <t>base1-74</t>
  </si>
  <si>
    <t>Item Finder</t>
  </si>
  <si>
    <t>base1-77</t>
  </si>
  <si>
    <t>Pokemon Trader</t>
  </si>
  <si>
    <t>base1-81</t>
  </si>
  <si>
    <t>Energy Retrieval</t>
  </si>
  <si>
    <t>u</t>
  </si>
  <si>
    <t>base2-64</t>
  </si>
  <si>
    <t>Poke Ball</t>
  </si>
  <si>
    <t>c</t>
  </si>
  <si>
    <t>base3-59</t>
  </si>
  <si>
    <t>Energy Search</t>
  </si>
  <si>
    <t>base1-72</t>
  </si>
  <si>
    <t>Devolution Spray</t>
  </si>
  <si>
    <t>base1-82</t>
  </si>
  <si>
    <t>Full Heal</t>
  </si>
  <si>
    <t>base1-73</t>
  </si>
  <si>
    <t>Impostor Professor Oak</t>
  </si>
  <si>
    <t>p</t>
  </si>
  <si>
    <t>base1-75</t>
  </si>
  <si>
    <t>Lass</t>
  </si>
  <si>
    <t>base1-79</t>
  </si>
  <si>
    <t>Super Energy Removal</t>
  </si>
  <si>
    <t>base1-80</t>
  </si>
  <si>
    <t>Defender</t>
  </si>
  <si>
    <t>base1-84</t>
  </si>
  <si>
    <t>PlusPower</t>
  </si>
  <si>
    <t>base1-87</t>
  </si>
  <si>
    <t>Pokedex</t>
  </si>
  <si>
    <t>base1-92</t>
  </si>
  <si>
    <t>Energy Removal</t>
  </si>
  <si>
    <t>base3-58</t>
  </si>
  <si>
    <t>Mr. Fuji</t>
  </si>
  <si>
    <t>m, r</t>
  </si>
  <si>
    <t>base1-76</t>
  </si>
  <si>
    <t>Pokemon Breeder</t>
  </si>
  <si>
    <t>m</t>
  </si>
  <si>
    <t>base1-78</t>
  </si>
  <si>
    <t>Scoop Up</t>
  </si>
  <si>
    <t>base1-86</t>
  </si>
  <si>
    <t>Pokemon Flute</t>
  </si>
  <si>
    <t>base1-89</t>
  </si>
  <si>
    <t>Revive</t>
  </si>
  <si>
    <t>base1-93</t>
  </si>
  <si>
    <t>Gust of Wind</t>
  </si>
  <si>
    <t>base1-95</t>
  </si>
  <si>
    <t>Switch</t>
  </si>
  <si>
    <t>base3-61</t>
  </si>
  <si>
    <t>Recycle</t>
  </si>
  <si>
    <t>base1-85</t>
  </si>
  <si>
    <t>Pokemon Center</t>
  </si>
  <si>
    <t>base1-90</t>
  </si>
  <si>
    <t>Super Potion</t>
  </si>
  <si>
    <t>Pokemon</t>
  </si>
  <si>
    <t>base1-94</t>
  </si>
  <si>
    <t>Potion</t>
  </si>
  <si>
    <t>base1-70</t>
  </si>
  <si>
    <t>Clefairy Doll</t>
  </si>
  <si>
    <t>base3-62</t>
  </si>
  <si>
    <t>Mysterious Fossil</t>
  </si>
  <si>
    <t>base1-83</t>
  </si>
  <si>
    <t>Maintenance</t>
  </si>
  <si>
    <t>d</t>
  </si>
  <si>
    <t>base1-88</t>
  </si>
  <si>
    <t>Professor Oak</t>
  </si>
  <si>
    <t>base1-91</t>
  </si>
  <si>
    <t>Bill</t>
  </si>
  <si>
    <t>base3-60</t>
  </si>
  <si>
    <t>Gambler</t>
  </si>
  <si>
    <t>base1-2</t>
  </si>
  <si>
    <t>Blastoise</t>
  </si>
  <si>
    <t>5-ish extra W energy in deck, 2 extra W energy attached</t>
  </si>
  <si>
    <t>base1-13</t>
  </si>
  <si>
    <t>Poliwrath</t>
  </si>
  <si>
    <t>base1-6</t>
  </si>
  <si>
    <t>Gyarados</t>
  </si>
  <si>
    <t>Magikarp kept safe enough to evolve</t>
  </si>
  <si>
    <t>base1-25</t>
  </si>
  <si>
    <t>Dewgong</t>
  </si>
  <si>
    <t>base2-12</t>
  </si>
  <si>
    <t>Vaporeon</t>
  </si>
  <si>
    <t>Two extra W energy attached</t>
  </si>
  <si>
    <t>base2-28</t>
  </si>
  <si>
    <t>Vaporeon NH</t>
  </si>
  <si>
    <t>base3-17</t>
  </si>
  <si>
    <t>Articuno NH</t>
  </si>
  <si>
    <t>SL, BD</t>
  </si>
  <si>
    <t>base3-2</t>
  </si>
  <si>
    <t>Articuno</t>
  </si>
  <si>
    <t>base3-32</t>
  </si>
  <si>
    <t>Cloyster</t>
  </si>
  <si>
    <t>To mainly use Clamp</t>
  </si>
  <si>
    <t>base3-40</t>
  </si>
  <si>
    <t>Omastar</t>
  </si>
  <si>
    <t>base1-64</t>
  </si>
  <si>
    <t>Starmie</t>
  </si>
  <si>
    <t>base3-35</t>
  </si>
  <si>
    <t>A combined P/W deck, but doesn't need one</t>
  </si>
  <si>
    <t>base3-44</t>
  </si>
  <si>
    <t>Tentacruel</t>
  </si>
  <si>
    <t>base3-10</t>
  </si>
  <si>
    <t>Lapras</t>
  </si>
  <si>
    <t>2 extra W energy attached, and to use Confuse Ray when smart</t>
  </si>
  <si>
    <t>base3-25</t>
  </si>
  <si>
    <t>base3-42</t>
  </si>
  <si>
    <t>To hide behind Agility until Water Gun will kill</t>
  </si>
  <si>
    <t>base1-35</t>
  </si>
  <si>
    <t>Magikarp</t>
  </si>
  <si>
    <t>base1-38</t>
  </si>
  <si>
    <t>Poliwhirl</t>
  </si>
  <si>
    <t>base1-41</t>
  </si>
  <si>
    <t>Seel</t>
  </si>
  <si>
    <t>base1-42</t>
  </si>
  <si>
    <t>Wartortle</t>
  </si>
  <si>
    <t>base1-59</t>
  </si>
  <si>
    <t>Poliwag</t>
  </si>
  <si>
    <t>base1-63</t>
  </si>
  <si>
    <t>Squirtle</t>
  </si>
  <si>
    <t>base1-65</t>
  </si>
  <si>
    <t>Staryu</t>
  </si>
  <si>
    <t>base2-46</t>
  </si>
  <si>
    <t>Seaking</t>
  </si>
  <si>
    <t>base2-53</t>
  </si>
  <si>
    <t>Goldeen</t>
  </si>
  <si>
    <t>base3-49</t>
  </si>
  <si>
    <t>base3-51</t>
  </si>
  <si>
    <t>Krabby</t>
  </si>
  <si>
    <t>base3-52</t>
  </si>
  <si>
    <t>Omanyte</t>
  </si>
  <si>
    <t>base3-53</t>
  </si>
  <si>
    <t>To play in a Psychic deck if Golduck (from this set) is there too</t>
  </si>
  <si>
    <t>base3-54</t>
  </si>
  <si>
    <t>Shellder</t>
  </si>
  <si>
    <t>base3-56</t>
  </si>
  <si>
    <t>Tentacool</t>
  </si>
  <si>
    <t>To escape to the player's hand when the situation looks bad for it</t>
  </si>
  <si>
    <t>base3-38</t>
  </si>
  <si>
    <t>Kingler</t>
  </si>
  <si>
    <t>Feature Weight:</t>
  </si>
  <si>
    <t>Total:</t>
  </si>
  <si>
    <t xml:space="preserve">Cover Card: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</si>
</sst>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1" numFmtId="0" xfId="0" applyFont="1"/>
    <xf borderId="0" fillId="0" fontId="1" numFmtId="0" xfId="0" applyAlignment="1" applyFont="1">
      <alignment horizontal="left"/>
    </xf>
  </cellXfs>
  <cellStyles count="1">
    <cellStyle xfId="0" name="Normal" builtinId="0"/>
  </cellStyles>
  <dxfs count="3">
    <dxf>
      <font/>
      <fill>
        <patternFill patternType="solid">
          <fgColor rgb="FFF4CCCC"/>
          <bgColor rgb="FFF4CCCC"/>
        </patternFill>
      </fill>
      <border/>
    </dxf>
    <dxf>
      <font>
        <color theme="0"/>
      </font>
      <fill>
        <patternFill patternType="none"/>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1</v>
      </c>
      <c r="C1" s="1" t="s">
        <v>3</v>
      </c>
      <c r="D1" s="2" t="s">
        <v>4</v>
      </c>
      <c r="E1" s="1" t="s">
        <v>6</v>
      </c>
      <c r="F1" s="1" t="s">
        <v>7</v>
      </c>
      <c r="G1" s="1" t="s">
        <v>9</v>
      </c>
      <c r="H1" s="3" t="s">
        <v>11</v>
      </c>
      <c r="I1" s="3" t="s">
        <v>13</v>
      </c>
      <c r="J1" s="1" t="s">
        <v>15</v>
      </c>
      <c r="K1" s="1" t="s">
        <v>17</v>
      </c>
      <c r="M1" s="1" t="s">
        <v>19</v>
      </c>
    </row>
    <row r="2">
      <c r="A2" s="4" t="s">
        <v>22</v>
      </c>
      <c r="B2" s="4" t="s">
        <v>24</v>
      </c>
      <c r="C2" s="1" t="s">
        <v>26</v>
      </c>
      <c r="D2" s="2">
        <v>1.0</v>
      </c>
      <c r="E2" s="1" t="s">
        <v>27</v>
      </c>
      <c r="F2" s="1">
        <v>3.0</v>
      </c>
      <c r="H2" s="1" t="s">
        <v>28</v>
      </c>
      <c r="I2" s="1" t="s">
        <v>29</v>
      </c>
      <c r="K2" s="1" t="b">
        <v>1</v>
      </c>
      <c r="M2" s="1" t="s">
        <v>30</v>
      </c>
      <c r="N2" s="1" t="s">
        <v>31</v>
      </c>
    </row>
    <row r="3">
      <c r="A3" s="4" t="s">
        <v>32</v>
      </c>
      <c r="B3" s="5" t="s">
        <v>33</v>
      </c>
      <c r="C3" s="1" t="s">
        <v>26</v>
      </c>
      <c r="D3" s="2">
        <v>2.0</v>
      </c>
      <c r="F3" s="1">
        <v>3.0</v>
      </c>
      <c r="H3" s="1" t="s">
        <v>34</v>
      </c>
      <c r="K3" s="1" t="b">
        <v>1</v>
      </c>
      <c r="M3" s="1">
        <v>1.0</v>
      </c>
      <c r="N3" s="1" t="s">
        <v>35</v>
      </c>
    </row>
    <row r="4">
      <c r="A4" s="4" t="s">
        <v>36</v>
      </c>
      <c r="B4" s="5" t="s">
        <v>37</v>
      </c>
      <c r="C4" s="1" t="s">
        <v>26</v>
      </c>
      <c r="D4" s="2">
        <v>1.0</v>
      </c>
      <c r="E4" s="1" t="s">
        <v>27</v>
      </c>
      <c r="F4" s="1">
        <v>3.0</v>
      </c>
      <c r="H4" s="1" t="s">
        <v>28</v>
      </c>
      <c r="I4" s="1" t="s">
        <v>29</v>
      </c>
      <c r="K4" s="1" t="b">
        <v>1</v>
      </c>
      <c r="M4" s="1">
        <v>2.0</v>
      </c>
      <c r="N4" s="1" t="s">
        <v>38</v>
      </c>
    </row>
    <row r="5">
      <c r="A5" s="4" t="s">
        <v>39</v>
      </c>
      <c r="B5" s="4" t="s">
        <v>40</v>
      </c>
      <c r="C5" s="1" t="s">
        <v>26</v>
      </c>
      <c r="D5" s="2">
        <v>2.0</v>
      </c>
      <c r="F5" s="1">
        <v>3.0</v>
      </c>
      <c r="H5" s="1" t="s">
        <v>34</v>
      </c>
      <c r="K5" s="1" t="b">
        <v>1</v>
      </c>
      <c r="M5" s="1">
        <v>3.0</v>
      </c>
      <c r="N5" s="1" t="s">
        <v>41</v>
      </c>
    </row>
    <row r="6">
      <c r="A6" s="4" t="s">
        <v>42</v>
      </c>
      <c r="B6" s="5" t="s">
        <v>43</v>
      </c>
      <c r="C6" s="1" t="s">
        <v>26</v>
      </c>
      <c r="D6" s="2">
        <v>2.0</v>
      </c>
      <c r="F6" s="1">
        <v>3.0</v>
      </c>
      <c r="H6" s="1" t="s">
        <v>44</v>
      </c>
      <c r="I6" s="1" t="s">
        <v>45</v>
      </c>
      <c r="K6" s="1" t="b">
        <v>1</v>
      </c>
      <c r="M6" s="1">
        <v>4.0</v>
      </c>
      <c r="N6" s="1" t="s">
        <v>46</v>
      </c>
    </row>
    <row r="7">
      <c r="A7" s="4" t="s">
        <v>47</v>
      </c>
      <c r="B7" s="4" t="s">
        <v>48</v>
      </c>
      <c r="C7" s="1" t="s">
        <v>26</v>
      </c>
      <c r="D7" s="2">
        <v>2.0</v>
      </c>
      <c r="F7" s="1">
        <v>3.0</v>
      </c>
      <c r="H7" s="1" t="s">
        <v>44</v>
      </c>
      <c r="I7" s="1" t="s">
        <v>45</v>
      </c>
      <c r="K7" s="1" t="b">
        <v>1</v>
      </c>
    </row>
    <row r="8">
      <c r="A8" s="4" t="s">
        <v>49</v>
      </c>
      <c r="B8" s="4" t="s">
        <v>50</v>
      </c>
      <c r="C8" s="1" t="s">
        <v>26</v>
      </c>
      <c r="D8" s="2">
        <v>1.0</v>
      </c>
      <c r="E8" s="1" t="s">
        <v>27</v>
      </c>
      <c r="F8" s="1">
        <v>2.0</v>
      </c>
      <c r="H8" s="1" t="s">
        <v>51</v>
      </c>
      <c r="I8" s="1" t="s">
        <v>52</v>
      </c>
      <c r="K8" s="1" t="b">
        <v>1</v>
      </c>
    </row>
    <row r="9">
      <c r="A9" s="4" t="s">
        <v>53</v>
      </c>
      <c r="B9" s="5" t="s">
        <v>54</v>
      </c>
      <c r="C9" s="1" t="s">
        <v>26</v>
      </c>
      <c r="D9" s="2">
        <v>1.0</v>
      </c>
      <c r="E9" s="1" t="s">
        <v>27</v>
      </c>
      <c r="F9" s="1">
        <v>2.0</v>
      </c>
      <c r="H9" s="1" t="s">
        <v>51</v>
      </c>
      <c r="I9" s="1" t="s">
        <v>52</v>
      </c>
      <c r="K9" s="1" t="b">
        <v>1</v>
      </c>
      <c r="M9" s="1" t="s">
        <v>55</v>
      </c>
    </row>
    <row r="10">
      <c r="A10" s="4" t="s">
        <v>56</v>
      </c>
      <c r="B10" s="4" t="s">
        <v>57</v>
      </c>
      <c r="C10" s="1" t="s">
        <v>26</v>
      </c>
      <c r="D10" s="2" t="s">
        <v>58</v>
      </c>
      <c r="E10" s="1" t="s">
        <v>27</v>
      </c>
      <c r="F10" s="1">
        <v>1.5</v>
      </c>
      <c r="G10" s="1" t="s">
        <v>59</v>
      </c>
      <c r="H10" s="3" t="s">
        <v>60</v>
      </c>
      <c r="I10" s="3" t="s">
        <v>61</v>
      </c>
      <c r="J10" s="4"/>
      <c r="K10" s="1" t="b">
        <v>1</v>
      </c>
      <c r="M10" s="1" t="s">
        <v>62</v>
      </c>
    </row>
    <row r="11">
      <c r="A11" s="4" t="s">
        <v>63</v>
      </c>
      <c r="B11" s="5" t="s">
        <v>64</v>
      </c>
      <c r="C11" s="1" t="s">
        <v>26</v>
      </c>
      <c r="D11" s="2" t="s">
        <v>58</v>
      </c>
      <c r="E11" s="1" t="s">
        <v>27</v>
      </c>
      <c r="F11" s="1">
        <v>1.5</v>
      </c>
      <c r="G11" s="1" t="s">
        <v>59</v>
      </c>
      <c r="H11" s="1" t="s">
        <v>65</v>
      </c>
      <c r="I11" s="1" t="s">
        <v>66</v>
      </c>
      <c r="K11" s="1" t="b">
        <v>1</v>
      </c>
      <c r="M11" s="1" t="s">
        <v>67</v>
      </c>
    </row>
    <row r="12">
      <c r="A12" s="4" t="s">
        <v>68</v>
      </c>
      <c r="B12" s="4" t="s">
        <v>69</v>
      </c>
      <c r="C12" s="1" t="s">
        <v>26</v>
      </c>
      <c r="D12" s="2" t="s">
        <v>58</v>
      </c>
      <c r="E12" s="1" t="s">
        <v>27</v>
      </c>
      <c r="F12" s="1">
        <v>1.5</v>
      </c>
      <c r="G12" s="1" t="s">
        <v>59</v>
      </c>
      <c r="H12" s="1" t="s">
        <v>65</v>
      </c>
      <c r="I12" s="1" t="s">
        <v>66</v>
      </c>
      <c r="K12" s="1" t="b">
        <v>1</v>
      </c>
      <c r="M12" s="1" t="s">
        <v>70</v>
      </c>
    </row>
    <row r="13">
      <c r="A13" s="4" t="s">
        <v>71</v>
      </c>
      <c r="B13" s="4" t="s">
        <v>72</v>
      </c>
      <c r="C13" s="1" t="s">
        <v>26</v>
      </c>
      <c r="D13" s="2">
        <v>1.0</v>
      </c>
      <c r="E13" s="1" t="s">
        <v>73</v>
      </c>
      <c r="F13" s="1">
        <v>1.0</v>
      </c>
      <c r="K13" s="1" t="b">
        <v>1</v>
      </c>
      <c r="M13" s="1" t="s">
        <v>74</v>
      </c>
    </row>
    <row r="14">
      <c r="A14" s="4" t="s">
        <v>75</v>
      </c>
      <c r="B14" s="4" t="s">
        <v>76</v>
      </c>
      <c r="C14" s="1" t="s">
        <v>26</v>
      </c>
      <c r="D14" s="2" t="s">
        <v>58</v>
      </c>
      <c r="E14" s="1" t="s">
        <v>27</v>
      </c>
      <c r="F14" s="1">
        <v>1.0</v>
      </c>
      <c r="G14" s="1" t="s">
        <v>59</v>
      </c>
      <c r="H14" s="1" t="s">
        <v>60</v>
      </c>
      <c r="I14" s="1" t="s">
        <v>77</v>
      </c>
      <c r="K14" s="1" t="b">
        <v>1</v>
      </c>
      <c r="M14" s="1" t="s">
        <v>78</v>
      </c>
    </row>
    <row r="15">
      <c r="A15" s="4" t="s">
        <v>79</v>
      </c>
      <c r="B15" s="5" t="s">
        <v>80</v>
      </c>
      <c r="C15" s="1" t="s">
        <v>26</v>
      </c>
      <c r="D15" s="2" t="s">
        <v>58</v>
      </c>
      <c r="E15" s="1" t="s">
        <v>27</v>
      </c>
      <c r="F15" s="1">
        <v>1.0</v>
      </c>
      <c r="G15" s="1" t="s">
        <v>59</v>
      </c>
      <c r="H15" s="1" t="s">
        <v>60</v>
      </c>
      <c r="I15" s="1" t="s">
        <v>77</v>
      </c>
      <c r="K15" s="1" t="b">
        <v>1</v>
      </c>
      <c r="M15" s="1" t="s">
        <v>81</v>
      </c>
    </row>
    <row r="16">
      <c r="A16" s="4" t="s">
        <v>82</v>
      </c>
      <c r="B16" s="4" t="s">
        <v>83</v>
      </c>
      <c r="C16" s="1" t="s">
        <v>26</v>
      </c>
      <c r="D16" s="2">
        <v>1.0</v>
      </c>
      <c r="E16" s="1" t="s">
        <v>27</v>
      </c>
      <c r="F16" s="1">
        <v>1.0</v>
      </c>
      <c r="I16" s="1" t="s">
        <v>84</v>
      </c>
      <c r="K16" s="1" t="b">
        <v>1</v>
      </c>
      <c r="M16" s="1" t="s">
        <v>85</v>
      </c>
    </row>
    <row r="17">
      <c r="A17" s="4" t="s">
        <v>86</v>
      </c>
      <c r="B17" s="4" t="s">
        <v>87</v>
      </c>
      <c r="C17" s="1" t="s">
        <v>26</v>
      </c>
      <c r="D17" s="2">
        <v>1.0</v>
      </c>
      <c r="E17" s="1" t="s">
        <v>27</v>
      </c>
      <c r="F17" s="1">
        <v>1.0</v>
      </c>
      <c r="H17" s="1" t="s">
        <v>60</v>
      </c>
      <c r="I17" s="1" t="s">
        <v>88</v>
      </c>
      <c r="K17" s="1" t="b">
        <v>1</v>
      </c>
      <c r="M17" s="1" t="s">
        <v>89</v>
      </c>
    </row>
    <row r="18">
      <c r="A18" s="4" t="s">
        <v>90</v>
      </c>
      <c r="B18" s="4" t="s">
        <v>91</v>
      </c>
      <c r="C18" s="1" t="s">
        <v>26</v>
      </c>
      <c r="D18" s="2">
        <v>1.0</v>
      </c>
      <c r="E18" s="1" t="s">
        <v>27</v>
      </c>
      <c r="F18" s="1">
        <v>1.0</v>
      </c>
      <c r="H18" s="1" t="s">
        <v>60</v>
      </c>
      <c r="K18" s="1" t="b">
        <v>1</v>
      </c>
      <c r="M18" s="1" t="s">
        <v>92</v>
      </c>
    </row>
    <row r="19">
      <c r="A19" s="4" t="s">
        <v>95</v>
      </c>
      <c r="B19" s="4" t="s">
        <v>96</v>
      </c>
      <c r="C19" s="1" t="s">
        <v>26</v>
      </c>
      <c r="D19" s="2" t="s">
        <v>58</v>
      </c>
      <c r="E19" s="1" t="s">
        <v>73</v>
      </c>
      <c r="F19" s="1">
        <v>0.5</v>
      </c>
      <c r="H19" s="4"/>
      <c r="I19" s="4"/>
      <c r="J19" s="4"/>
      <c r="K19" s="1" t="b">
        <v>1</v>
      </c>
    </row>
    <row r="20">
      <c r="A20" s="4" t="s">
        <v>97</v>
      </c>
      <c r="B20" s="4" t="s">
        <v>98</v>
      </c>
      <c r="C20" s="1" t="s">
        <v>26</v>
      </c>
      <c r="D20" s="2" t="s">
        <v>58</v>
      </c>
      <c r="E20" s="1" t="s">
        <v>27</v>
      </c>
      <c r="F20" s="1">
        <v>0.5</v>
      </c>
      <c r="G20" s="1" t="s">
        <v>59</v>
      </c>
      <c r="H20" s="1" t="s">
        <v>99</v>
      </c>
      <c r="I20" s="1" t="s">
        <v>100</v>
      </c>
      <c r="K20" s="1" t="b">
        <v>1</v>
      </c>
    </row>
    <row r="21">
      <c r="A21" s="4" t="s">
        <v>101</v>
      </c>
      <c r="B21" s="5" t="s">
        <v>102</v>
      </c>
      <c r="C21" s="1" t="s">
        <v>26</v>
      </c>
      <c r="D21" s="2" t="s">
        <v>58</v>
      </c>
      <c r="E21" s="1" t="s">
        <v>27</v>
      </c>
      <c r="F21" s="1">
        <v>0.5</v>
      </c>
      <c r="I21" s="1" t="s">
        <v>103</v>
      </c>
      <c r="K21" s="1" t="b">
        <v>1</v>
      </c>
      <c r="M21" s="1" t="s">
        <v>104</v>
      </c>
    </row>
    <row r="22">
      <c r="A22" s="4" t="s">
        <v>105</v>
      </c>
      <c r="B22" s="4" t="s">
        <v>106</v>
      </c>
      <c r="C22" s="1" t="s">
        <v>26</v>
      </c>
      <c r="D22" s="2" t="s">
        <v>58</v>
      </c>
      <c r="E22" s="1" t="s">
        <v>27</v>
      </c>
      <c r="F22" s="1">
        <v>0.5</v>
      </c>
      <c r="I22" s="1" t="s">
        <v>103</v>
      </c>
      <c r="K22" s="1" t="b">
        <v>1</v>
      </c>
    </row>
    <row r="23">
      <c r="A23" s="4" t="s">
        <v>107</v>
      </c>
      <c r="B23" s="4" t="s">
        <v>108</v>
      </c>
      <c r="C23" s="1" t="s">
        <v>26</v>
      </c>
      <c r="D23" s="2">
        <v>1.0</v>
      </c>
      <c r="E23" s="1" t="s">
        <v>73</v>
      </c>
      <c r="K23" s="1" t="b">
        <v>1</v>
      </c>
      <c r="M23" s="1" t="s">
        <v>109</v>
      </c>
      <c r="N23" s="1" t="s">
        <v>110</v>
      </c>
    </row>
    <row r="24">
      <c r="A24" s="4" t="s">
        <v>111</v>
      </c>
      <c r="B24" s="4" t="s">
        <v>112</v>
      </c>
      <c r="C24" s="1" t="s">
        <v>26</v>
      </c>
      <c r="D24" s="2" t="s">
        <v>58</v>
      </c>
      <c r="E24" s="1" t="s">
        <v>73</v>
      </c>
      <c r="K24" s="1" t="b">
        <v>1</v>
      </c>
      <c r="M24" s="1" t="s">
        <v>113</v>
      </c>
      <c r="N24" s="1" t="s">
        <v>114</v>
      </c>
    </row>
    <row r="25">
      <c r="A25" s="4" t="s">
        <v>115</v>
      </c>
      <c r="B25" s="4" t="s">
        <v>116</v>
      </c>
      <c r="C25" s="1" t="s">
        <v>26</v>
      </c>
      <c r="D25" s="2" t="s">
        <v>58</v>
      </c>
      <c r="E25" s="1" t="s">
        <v>27</v>
      </c>
      <c r="G25" s="1" t="s">
        <v>117</v>
      </c>
      <c r="H25" s="1"/>
      <c r="I25" s="1"/>
      <c r="K25" s="1" t="b">
        <v>1</v>
      </c>
      <c r="M25" s="1" t="s">
        <v>94</v>
      </c>
      <c r="N25" s="1" t="s">
        <v>118</v>
      </c>
    </row>
    <row r="26">
      <c r="A26" s="4" t="s">
        <v>119</v>
      </c>
      <c r="B26" s="4" t="s">
        <v>120</v>
      </c>
      <c r="C26" s="1" t="s">
        <v>26</v>
      </c>
      <c r="D26" s="2" t="s">
        <v>58</v>
      </c>
      <c r="E26" s="1" t="s">
        <v>27</v>
      </c>
      <c r="G26" s="1" t="s">
        <v>117</v>
      </c>
      <c r="H26" s="1"/>
      <c r="I26" s="1"/>
      <c r="K26" s="1" t="b">
        <v>1</v>
      </c>
      <c r="M26" s="1" t="s">
        <v>121</v>
      </c>
      <c r="N26" s="1" t="s">
        <v>122</v>
      </c>
    </row>
    <row r="27">
      <c r="A27" s="4" t="s">
        <v>123</v>
      </c>
      <c r="B27" s="4" t="s">
        <v>124</v>
      </c>
      <c r="C27" s="1" t="s">
        <v>26</v>
      </c>
      <c r="D27" s="2">
        <v>1.0</v>
      </c>
      <c r="E27" s="1" t="s">
        <v>27</v>
      </c>
      <c r="K27" s="1" t="b">
        <v>1</v>
      </c>
      <c r="M27" s="1" t="s">
        <v>125</v>
      </c>
      <c r="N27" s="1" t="s">
        <v>126</v>
      </c>
    </row>
    <row r="28">
      <c r="A28" s="4" t="s">
        <v>127</v>
      </c>
      <c r="B28" s="4" t="s">
        <v>128</v>
      </c>
      <c r="C28" s="1" t="s">
        <v>26</v>
      </c>
      <c r="D28" s="2" t="s">
        <v>58</v>
      </c>
      <c r="E28" s="1" t="s">
        <v>73</v>
      </c>
      <c r="G28" s="1" t="s">
        <v>117</v>
      </c>
      <c r="H28" s="1"/>
      <c r="I28" s="1"/>
      <c r="K28" s="1" t="b">
        <v>1</v>
      </c>
      <c r="M28" s="1" t="s">
        <v>129</v>
      </c>
      <c r="N28" s="1" t="s">
        <v>130</v>
      </c>
    </row>
    <row r="29">
      <c r="A29" s="4" t="s">
        <v>131</v>
      </c>
      <c r="B29" s="4" t="s">
        <v>132</v>
      </c>
      <c r="C29" s="1" t="s">
        <v>26</v>
      </c>
      <c r="D29" s="2" t="s">
        <v>58</v>
      </c>
      <c r="E29" s="1" t="s">
        <v>73</v>
      </c>
      <c r="K29" s="1" t="b">
        <v>1</v>
      </c>
    </row>
    <row r="30">
      <c r="A30" s="4" t="s">
        <v>133</v>
      </c>
      <c r="B30" s="4" t="s">
        <v>134</v>
      </c>
      <c r="C30" s="1" t="s">
        <v>26</v>
      </c>
      <c r="D30" s="2" t="s">
        <v>58</v>
      </c>
      <c r="E30" s="1" t="s">
        <v>73</v>
      </c>
      <c r="K30" s="1" t="b">
        <v>1</v>
      </c>
    </row>
    <row r="31">
      <c r="A31" s="4" t="s">
        <v>135</v>
      </c>
      <c r="B31" s="4" t="s">
        <v>136</v>
      </c>
      <c r="C31" s="1" t="s">
        <v>26</v>
      </c>
      <c r="D31" s="2" t="s">
        <v>58</v>
      </c>
      <c r="E31" s="1" t="s">
        <v>27</v>
      </c>
      <c r="G31" s="1" t="s">
        <v>137</v>
      </c>
      <c r="H31" s="1"/>
      <c r="I31" s="1" t="s">
        <v>138</v>
      </c>
      <c r="K31" s="1" t="b">
        <v>1</v>
      </c>
    </row>
    <row r="32">
      <c r="A32" s="4" t="s">
        <v>139</v>
      </c>
      <c r="B32" s="4" t="s">
        <v>140</v>
      </c>
      <c r="C32" s="1" t="s">
        <v>26</v>
      </c>
      <c r="D32" s="2" t="s">
        <v>58</v>
      </c>
      <c r="E32" s="1" t="s">
        <v>73</v>
      </c>
      <c r="G32" s="1" t="s">
        <v>141</v>
      </c>
      <c r="H32" s="1" t="s">
        <v>142</v>
      </c>
      <c r="I32" s="1"/>
      <c r="K32" s="1" t="b">
        <v>1</v>
      </c>
      <c r="M32" s="4" t="s">
        <v>143</v>
      </c>
      <c r="N32" s="4"/>
      <c r="O32" s="4"/>
      <c r="P32" s="4"/>
      <c r="Q32" s="4"/>
    </row>
    <row r="33">
      <c r="A33" s="4" t="s">
        <v>144</v>
      </c>
      <c r="B33" s="4" t="s">
        <v>145</v>
      </c>
      <c r="C33" s="1" t="s">
        <v>26</v>
      </c>
      <c r="D33" s="2" t="s">
        <v>58</v>
      </c>
      <c r="E33" s="1" t="s">
        <v>73</v>
      </c>
      <c r="G33" s="1" t="s">
        <v>117</v>
      </c>
      <c r="H33" s="1" t="s">
        <v>99</v>
      </c>
      <c r="I33" s="1"/>
      <c r="K33" s="1" t="b">
        <v>1</v>
      </c>
      <c r="M33" s="4" t="s">
        <v>146</v>
      </c>
      <c r="N33" s="4" t="s">
        <v>147</v>
      </c>
      <c r="O33" s="4"/>
      <c r="P33" s="4"/>
      <c r="Q33" s="4"/>
    </row>
    <row r="34">
      <c r="A34" s="4" t="s">
        <v>148</v>
      </c>
      <c r="B34" s="4" t="s">
        <v>149</v>
      </c>
      <c r="C34" s="1" t="s">
        <v>26</v>
      </c>
      <c r="D34" s="2" t="s">
        <v>58</v>
      </c>
      <c r="E34" s="1" t="s">
        <v>73</v>
      </c>
      <c r="G34" s="1" t="s">
        <v>117</v>
      </c>
      <c r="H34" s="1" t="s">
        <v>65</v>
      </c>
      <c r="I34" s="1" t="s">
        <v>150</v>
      </c>
      <c r="K34" s="1" t="b">
        <v>1</v>
      </c>
      <c r="M34" s="4" t="s">
        <v>152</v>
      </c>
      <c r="N34" s="4" t="s">
        <v>153</v>
      </c>
      <c r="O34" s="4"/>
      <c r="P34" s="4"/>
      <c r="Q34" s="4"/>
    </row>
    <row r="35">
      <c r="A35" s="4" t="s">
        <v>154</v>
      </c>
      <c r="B35" s="4" t="s">
        <v>156</v>
      </c>
      <c r="C35" s="1" t="s">
        <v>26</v>
      </c>
      <c r="D35" s="2" t="s">
        <v>58</v>
      </c>
      <c r="E35" s="1" t="s">
        <v>73</v>
      </c>
      <c r="K35" s="1" t="b">
        <v>1</v>
      </c>
      <c r="M35" s="4" t="s">
        <v>157</v>
      </c>
      <c r="N35" s="4" t="s">
        <v>158</v>
      </c>
      <c r="O35" s="4"/>
      <c r="P35" s="4"/>
      <c r="Q35" s="4"/>
    </row>
    <row r="36">
      <c r="A36" s="4" t="s">
        <v>159</v>
      </c>
      <c r="B36" s="4" t="s">
        <v>160</v>
      </c>
      <c r="C36" s="1" t="s">
        <v>121</v>
      </c>
      <c r="D36" s="2">
        <v>1.0</v>
      </c>
      <c r="E36" s="1" t="s">
        <v>27</v>
      </c>
      <c r="F36" s="1">
        <v>2.0</v>
      </c>
      <c r="K36" s="1" t="b">
        <v>1</v>
      </c>
      <c r="M36" s="4" t="s">
        <v>129</v>
      </c>
      <c r="N36" s="4" t="s">
        <v>161</v>
      </c>
      <c r="O36" s="4"/>
      <c r="P36" s="4"/>
      <c r="Q36" s="4"/>
    </row>
    <row r="37">
      <c r="A37" s="4" t="s">
        <v>162</v>
      </c>
      <c r="B37" s="4" t="s">
        <v>163</v>
      </c>
      <c r="C37" s="1" t="s">
        <v>121</v>
      </c>
      <c r="D37" s="2">
        <v>1.0</v>
      </c>
      <c r="E37" s="1" t="s">
        <v>27</v>
      </c>
      <c r="F37" s="1">
        <v>2.0</v>
      </c>
      <c r="K37" s="1" t="b">
        <v>1</v>
      </c>
      <c r="M37" s="4" t="s">
        <v>164</v>
      </c>
      <c r="N37" s="4" t="s">
        <v>165</v>
      </c>
      <c r="O37" s="4"/>
      <c r="P37" s="4"/>
      <c r="Q37" s="4"/>
    </row>
    <row r="38">
      <c r="A38" s="4" t="s">
        <v>166</v>
      </c>
      <c r="B38" s="4" t="s">
        <v>167</v>
      </c>
      <c r="C38" s="1" t="s">
        <v>121</v>
      </c>
      <c r="D38" s="2">
        <v>1.0</v>
      </c>
      <c r="E38" s="1" t="s">
        <v>27</v>
      </c>
      <c r="F38" s="1">
        <v>2.0</v>
      </c>
      <c r="J38" s="1" t="s">
        <v>73</v>
      </c>
      <c r="K38" s="1" t="b">
        <v>1</v>
      </c>
      <c r="M38" s="4" t="s">
        <v>168</v>
      </c>
      <c r="N38" s="4" t="s">
        <v>169</v>
      </c>
      <c r="O38" s="4"/>
      <c r="P38" s="4"/>
      <c r="Q38" s="4"/>
    </row>
    <row r="39">
      <c r="A39" s="4" t="s">
        <v>170</v>
      </c>
      <c r="B39" s="5" t="s">
        <v>171</v>
      </c>
      <c r="C39" s="1" t="s">
        <v>121</v>
      </c>
      <c r="D39" s="2">
        <v>1.0</v>
      </c>
      <c r="E39" s="1" t="s">
        <v>27</v>
      </c>
      <c r="F39" s="1">
        <v>2.0</v>
      </c>
      <c r="K39" s="1" t="b">
        <v>1</v>
      </c>
      <c r="M39" s="5" t="s">
        <v>121</v>
      </c>
      <c r="N39" s="5" t="s">
        <v>172</v>
      </c>
      <c r="O39" s="4"/>
      <c r="P39" s="4"/>
      <c r="Q39" s="4"/>
    </row>
    <row r="40">
      <c r="A40" s="4" t="s">
        <v>173</v>
      </c>
      <c r="B40" s="4" t="s">
        <v>174</v>
      </c>
      <c r="C40" s="1" t="s">
        <v>121</v>
      </c>
      <c r="D40" s="2">
        <v>1.0</v>
      </c>
      <c r="E40" s="1" t="s">
        <v>27</v>
      </c>
      <c r="F40" s="1">
        <v>2.0</v>
      </c>
      <c r="K40" s="1" t="b">
        <v>1</v>
      </c>
      <c r="M40" s="4"/>
      <c r="N40" s="4"/>
      <c r="O40" s="4"/>
      <c r="P40" s="4"/>
      <c r="Q40" s="4"/>
    </row>
    <row r="41">
      <c r="A41" s="4" t="s">
        <v>175</v>
      </c>
      <c r="B41" s="5" t="s">
        <v>176</v>
      </c>
      <c r="C41" s="1" t="s">
        <v>121</v>
      </c>
      <c r="D41" s="2">
        <v>1.0</v>
      </c>
      <c r="E41" s="1" t="s">
        <v>27</v>
      </c>
      <c r="F41" s="1">
        <v>2.0</v>
      </c>
      <c r="H41" s="1" t="s">
        <v>177</v>
      </c>
      <c r="I41" s="1" t="s">
        <v>178</v>
      </c>
      <c r="K41" s="1" t="b">
        <v>0</v>
      </c>
      <c r="M41" s="4"/>
      <c r="N41" s="4"/>
      <c r="O41" s="4"/>
      <c r="P41" s="4"/>
      <c r="Q41" s="4"/>
    </row>
    <row r="42">
      <c r="A42" s="4" t="s">
        <v>179</v>
      </c>
      <c r="B42" s="5" t="s">
        <v>180</v>
      </c>
      <c r="C42" s="1" t="s">
        <v>121</v>
      </c>
      <c r="D42" s="2">
        <v>1.0</v>
      </c>
      <c r="E42" s="1" t="s">
        <v>27</v>
      </c>
      <c r="F42" s="1">
        <v>2.0</v>
      </c>
      <c r="H42" s="1" t="s">
        <v>181</v>
      </c>
      <c r="I42" s="1" t="s">
        <v>182</v>
      </c>
      <c r="K42" s="1" t="b">
        <v>1</v>
      </c>
      <c r="M42" s="4"/>
      <c r="N42" s="4"/>
      <c r="O42" s="4"/>
      <c r="P42" s="4"/>
      <c r="Q42" s="4"/>
    </row>
    <row r="43">
      <c r="A43" s="4" t="s">
        <v>183</v>
      </c>
      <c r="B43" s="5" t="s">
        <v>184</v>
      </c>
      <c r="C43" s="1" t="s">
        <v>121</v>
      </c>
      <c r="D43" s="2" t="s">
        <v>58</v>
      </c>
      <c r="E43" s="1" t="s">
        <v>27</v>
      </c>
      <c r="F43" s="1">
        <v>2.0</v>
      </c>
      <c r="G43" s="1" t="s">
        <v>185</v>
      </c>
      <c r="H43" s="1" t="s">
        <v>181</v>
      </c>
      <c r="I43" s="1"/>
      <c r="K43" s="6" t="b">
        <v>0</v>
      </c>
      <c r="M43" s="4" t="s">
        <v>11</v>
      </c>
      <c r="N43" s="4"/>
      <c r="O43" s="4"/>
      <c r="P43" s="4"/>
      <c r="Q43" s="4"/>
    </row>
    <row r="44">
      <c r="A44" s="4" t="s">
        <v>186</v>
      </c>
      <c r="B44" s="5" t="s">
        <v>187</v>
      </c>
      <c r="C44" s="1" t="s">
        <v>121</v>
      </c>
      <c r="D44" s="2">
        <v>1.0</v>
      </c>
      <c r="E44" s="1" t="s">
        <v>27</v>
      </c>
      <c r="F44" s="1">
        <v>2.0</v>
      </c>
      <c r="H44" s="1" t="s">
        <v>51</v>
      </c>
      <c r="I44" s="1" t="s">
        <v>178</v>
      </c>
      <c r="K44" s="1" t="b">
        <v>0</v>
      </c>
      <c r="M44" s="4" t="s">
        <v>188</v>
      </c>
      <c r="N44" s="4" t="s">
        <v>189</v>
      </c>
      <c r="O44" s="4"/>
      <c r="P44" s="4"/>
      <c r="Q44" s="4"/>
    </row>
    <row r="45">
      <c r="A45" s="4" t="s">
        <v>190</v>
      </c>
      <c r="B45" s="5" t="s">
        <v>191</v>
      </c>
      <c r="C45" s="1" t="s">
        <v>121</v>
      </c>
      <c r="D45" s="2">
        <v>1.0</v>
      </c>
      <c r="E45" s="1" t="s">
        <v>27</v>
      </c>
      <c r="F45" s="1">
        <v>2.0</v>
      </c>
      <c r="H45" s="1" t="s">
        <v>181</v>
      </c>
      <c r="I45" s="1" t="s">
        <v>182</v>
      </c>
      <c r="K45" s="1" t="b">
        <v>1</v>
      </c>
      <c r="M45" s="4" t="s">
        <v>181</v>
      </c>
      <c r="N45" s="4" t="s">
        <v>192</v>
      </c>
      <c r="O45" s="4"/>
      <c r="P45" s="4"/>
      <c r="Q45" s="4"/>
    </row>
    <row r="46">
      <c r="A46" s="4" t="s">
        <v>193</v>
      </c>
      <c r="B46" s="5" t="s">
        <v>194</v>
      </c>
      <c r="C46" s="1" t="s">
        <v>121</v>
      </c>
      <c r="D46" s="2" t="s">
        <v>58</v>
      </c>
      <c r="E46" s="1" t="s">
        <v>27</v>
      </c>
      <c r="F46" s="1">
        <v>2.0</v>
      </c>
      <c r="G46" s="1" t="s">
        <v>185</v>
      </c>
      <c r="H46" s="1" t="s">
        <v>181</v>
      </c>
      <c r="I46" s="1"/>
      <c r="K46" s="6" t="b">
        <v>0</v>
      </c>
      <c r="M46" s="4" t="s">
        <v>34</v>
      </c>
      <c r="N46" s="4" t="s">
        <v>196</v>
      </c>
      <c r="O46" s="4"/>
      <c r="P46" s="4"/>
      <c r="Q46" s="4"/>
    </row>
    <row r="47">
      <c r="A47" s="4" t="s">
        <v>197</v>
      </c>
      <c r="B47" s="4" t="s">
        <v>198</v>
      </c>
      <c r="C47" s="1" t="s">
        <v>121</v>
      </c>
      <c r="D47" s="2" t="s">
        <v>58</v>
      </c>
      <c r="E47" s="1" t="s">
        <v>27</v>
      </c>
      <c r="F47" s="1">
        <v>1.5</v>
      </c>
      <c r="G47" s="1" t="s">
        <v>185</v>
      </c>
      <c r="H47" s="1"/>
      <c r="I47" s="1"/>
      <c r="K47" s="1" t="b">
        <v>1</v>
      </c>
      <c r="M47" s="4" t="s">
        <v>99</v>
      </c>
      <c r="N47" s="4" t="s">
        <v>200</v>
      </c>
      <c r="O47" s="4"/>
      <c r="P47" s="4"/>
      <c r="Q47" s="4"/>
    </row>
    <row r="48">
      <c r="A48" s="4" t="s">
        <v>201</v>
      </c>
      <c r="B48" s="5" t="s">
        <v>202</v>
      </c>
      <c r="C48" s="1" t="s">
        <v>121</v>
      </c>
      <c r="D48" s="2">
        <v>1.0</v>
      </c>
      <c r="E48" s="1" t="s">
        <v>27</v>
      </c>
      <c r="F48" s="1">
        <v>1.5</v>
      </c>
      <c r="H48" s="1" t="s">
        <v>181</v>
      </c>
      <c r="I48" s="1" t="s">
        <v>203</v>
      </c>
      <c r="K48" s="1" t="b">
        <v>1</v>
      </c>
      <c r="M48" s="4" t="s">
        <v>204</v>
      </c>
      <c r="N48" s="4" t="s">
        <v>205</v>
      </c>
      <c r="O48" s="4"/>
      <c r="P48" s="4"/>
      <c r="Q48" s="4"/>
    </row>
    <row r="49">
      <c r="A49" s="4" t="s">
        <v>206</v>
      </c>
      <c r="B49" s="5" t="s">
        <v>207</v>
      </c>
      <c r="C49" s="1" t="s">
        <v>121</v>
      </c>
      <c r="D49" s="2">
        <v>1.0</v>
      </c>
      <c r="E49" s="1" t="s">
        <v>27</v>
      </c>
      <c r="F49" s="1">
        <v>1.5</v>
      </c>
      <c r="H49" s="1" t="s">
        <v>181</v>
      </c>
      <c r="I49" s="1" t="s">
        <v>203</v>
      </c>
      <c r="K49" s="1" t="b">
        <v>1</v>
      </c>
      <c r="M49" s="4" t="s">
        <v>60</v>
      </c>
      <c r="N49" s="4" t="s">
        <v>208</v>
      </c>
      <c r="O49" s="4"/>
      <c r="P49" s="4"/>
      <c r="Q49" s="4"/>
    </row>
    <row r="50">
      <c r="A50" s="4" t="s">
        <v>209</v>
      </c>
      <c r="B50" s="4" t="s">
        <v>210</v>
      </c>
      <c r="C50" s="1" t="s">
        <v>121</v>
      </c>
      <c r="D50" s="2" t="s">
        <v>58</v>
      </c>
      <c r="E50" s="1" t="s">
        <v>27</v>
      </c>
      <c r="F50" s="1">
        <v>1.0</v>
      </c>
      <c r="K50" s="1" t="b">
        <v>1</v>
      </c>
      <c r="M50" s="4" t="s">
        <v>211</v>
      </c>
      <c r="N50" s="4" t="s">
        <v>212</v>
      </c>
      <c r="O50" s="4"/>
      <c r="P50" s="4"/>
      <c r="Q50" s="4"/>
    </row>
    <row r="51">
      <c r="A51" s="4" t="s">
        <v>213</v>
      </c>
      <c r="B51" s="4" t="s">
        <v>214</v>
      </c>
      <c r="C51" s="1" t="s">
        <v>121</v>
      </c>
      <c r="D51" s="2" t="s">
        <v>58</v>
      </c>
      <c r="E51" s="1" t="s">
        <v>73</v>
      </c>
      <c r="G51" s="1" t="s">
        <v>141</v>
      </c>
      <c r="H51" s="1"/>
      <c r="I51" s="1"/>
      <c r="K51" s="1" t="b">
        <v>1</v>
      </c>
      <c r="M51" s="4" t="s">
        <v>51</v>
      </c>
      <c r="N51" s="4" t="s">
        <v>215</v>
      </c>
    </row>
    <row r="52">
      <c r="A52" s="4" t="s">
        <v>216</v>
      </c>
      <c r="B52" s="4" t="s">
        <v>217</v>
      </c>
      <c r="C52" s="1" t="s">
        <v>121</v>
      </c>
      <c r="D52" s="2" t="s">
        <v>58</v>
      </c>
      <c r="E52" s="1" t="s">
        <v>73</v>
      </c>
      <c r="K52" s="1" t="b">
        <v>1</v>
      </c>
      <c r="M52" s="1" t="s">
        <v>65</v>
      </c>
      <c r="N52" s="1" t="s">
        <v>218</v>
      </c>
    </row>
    <row r="53">
      <c r="A53" s="4" t="s">
        <v>219</v>
      </c>
      <c r="B53" s="4" t="s">
        <v>220</v>
      </c>
      <c r="C53" s="1" t="s">
        <v>121</v>
      </c>
      <c r="D53" s="2" t="s">
        <v>58</v>
      </c>
      <c r="E53" s="1" t="s">
        <v>73</v>
      </c>
      <c r="K53" s="1" t="b">
        <v>1</v>
      </c>
    </row>
    <row r="54">
      <c r="A54" s="4" t="s">
        <v>221</v>
      </c>
      <c r="B54" s="5" t="s">
        <v>222</v>
      </c>
      <c r="C54" s="1" t="s">
        <v>121</v>
      </c>
      <c r="D54" s="2" t="s">
        <v>58</v>
      </c>
      <c r="E54" s="1" t="s">
        <v>73</v>
      </c>
      <c r="G54" s="1" t="s">
        <v>117</v>
      </c>
      <c r="H54" s="1" t="s">
        <v>181</v>
      </c>
      <c r="I54" s="1" t="s">
        <v>223</v>
      </c>
      <c r="K54" s="6" t="b">
        <v>0</v>
      </c>
    </row>
    <row r="55">
      <c r="A55" s="4" t="s">
        <v>224</v>
      </c>
      <c r="B55" s="5" t="s">
        <v>225</v>
      </c>
      <c r="C55" s="1" t="s">
        <v>226</v>
      </c>
      <c r="D55" s="7"/>
      <c r="K55" s="1" t="b">
        <v>1</v>
      </c>
    </row>
    <row r="56">
      <c r="A56" s="4" t="s">
        <v>227</v>
      </c>
      <c r="B56" s="5" t="s">
        <v>228</v>
      </c>
      <c r="C56" s="1" t="s">
        <v>226</v>
      </c>
      <c r="D56" s="7"/>
      <c r="K56" s="1" t="b">
        <v>1</v>
      </c>
      <c r="M56" s="5" t="s">
        <v>229</v>
      </c>
    </row>
    <row r="57">
      <c r="A57" s="4" t="s">
        <v>230</v>
      </c>
      <c r="B57" s="5" t="s">
        <v>231</v>
      </c>
      <c r="C57" s="1" t="s">
        <v>226</v>
      </c>
      <c r="D57" s="7"/>
      <c r="K57" s="1" t="b">
        <v>1</v>
      </c>
    </row>
    <row r="58">
      <c r="A58" s="4" t="s">
        <v>232</v>
      </c>
      <c r="B58" s="5" t="s">
        <v>233</v>
      </c>
      <c r="C58" s="1" t="s">
        <v>226</v>
      </c>
      <c r="D58" s="7"/>
      <c r="K58" s="1" t="b">
        <v>1</v>
      </c>
    </row>
    <row r="59">
      <c r="A59" s="4" t="s">
        <v>234</v>
      </c>
      <c r="B59" s="5" t="s">
        <v>235</v>
      </c>
      <c r="C59" s="1" t="s">
        <v>226</v>
      </c>
      <c r="D59" s="7"/>
      <c r="K59" s="1" t="b">
        <v>1</v>
      </c>
    </row>
    <row r="60">
      <c r="A60" s="4" t="s">
        <v>236</v>
      </c>
      <c r="B60" s="5" t="s">
        <v>237</v>
      </c>
      <c r="C60" s="1" t="s">
        <v>226</v>
      </c>
      <c r="D60" s="7"/>
      <c r="K60" s="1" t="b">
        <v>1</v>
      </c>
    </row>
    <row r="61">
      <c r="A61" s="4" t="s">
        <v>238</v>
      </c>
      <c r="B61" s="5" t="s">
        <v>239</v>
      </c>
      <c r="C61" s="1" t="s">
        <v>226</v>
      </c>
      <c r="D61" s="7"/>
      <c r="K61" s="1" t="b">
        <v>1</v>
      </c>
    </row>
    <row r="62">
      <c r="A62" s="4" t="s">
        <v>240</v>
      </c>
      <c r="B62" s="4" t="s">
        <v>241</v>
      </c>
      <c r="C62" s="1" t="s">
        <v>94</v>
      </c>
      <c r="D62" s="2">
        <v>2.0</v>
      </c>
      <c r="F62" s="1">
        <v>3.0</v>
      </c>
      <c r="K62" s="1" t="b">
        <v>1</v>
      </c>
    </row>
    <row r="63">
      <c r="A63" s="4" t="s">
        <v>243</v>
      </c>
      <c r="B63" s="4" t="s">
        <v>244</v>
      </c>
      <c r="C63" s="1" t="s">
        <v>94</v>
      </c>
      <c r="D63" s="2">
        <v>1.0</v>
      </c>
      <c r="E63" s="1" t="s">
        <v>27</v>
      </c>
      <c r="F63" s="1">
        <v>3.0</v>
      </c>
      <c r="H63" s="1" t="s">
        <v>204</v>
      </c>
      <c r="I63" s="1" t="s">
        <v>246</v>
      </c>
      <c r="K63" s="1" t="b">
        <v>1</v>
      </c>
    </row>
    <row r="64">
      <c r="A64" s="4" t="s">
        <v>247</v>
      </c>
      <c r="B64" s="5" t="s">
        <v>248</v>
      </c>
      <c r="C64" s="1" t="s">
        <v>94</v>
      </c>
      <c r="D64" s="2">
        <v>1.0</v>
      </c>
      <c r="E64" s="1" t="s">
        <v>27</v>
      </c>
      <c r="F64" s="1">
        <v>3.0</v>
      </c>
      <c r="H64" s="1" t="s">
        <v>204</v>
      </c>
      <c r="I64" s="1" t="s">
        <v>246</v>
      </c>
      <c r="K64" s="1" t="b">
        <v>1</v>
      </c>
    </row>
    <row r="65">
      <c r="A65" s="4" t="s">
        <v>249</v>
      </c>
      <c r="B65" s="4" t="s">
        <v>195</v>
      </c>
      <c r="C65" s="1" t="s">
        <v>94</v>
      </c>
      <c r="D65" s="2">
        <v>2.0</v>
      </c>
      <c r="F65" s="1">
        <v>3.0</v>
      </c>
      <c r="H65" s="1" t="s">
        <v>51</v>
      </c>
      <c r="K65" s="1" t="b">
        <v>1</v>
      </c>
    </row>
    <row r="66">
      <c r="A66" s="4" t="s">
        <v>250</v>
      </c>
      <c r="B66" s="4" t="s">
        <v>251</v>
      </c>
      <c r="C66" s="1" t="s">
        <v>94</v>
      </c>
      <c r="D66" s="2">
        <v>1.0</v>
      </c>
      <c r="E66" s="1" t="s">
        <v>27</v>
      </c>
      <c r="F66" s="1">
        <v>2.0</v>
      </c>
      <c r="K66" s="1" t="b">
        <v>1</v>
      </c>
    </row>
    <row r="67">
      <c r="A67" s="4" t="s">
        <v>252</v>
      </c>
      <c r="B67" s="4" t="s">
        <v>253</v>
      </c>
      <c r="C67" s="1" t="s">
        <v>94</v>
      </c>
      <c r="D67" s="2">
        <v>1.0</v>
      </c>
      <c r="E67" s="1" t="s">
        <v>27</v>
      </c>
      <c r="F67" s="1">
        <v>2.0</v>
      </c>
      <c r="K67" s="1" t="b">
        <v>1</v>
      </c>
    </row>
    <row r="68">
      <c r="A68" s="4" t="s">
        <v>254</v>
      </c>
      <c r="B68" s="4" t="s">
        <v>255</v>
      </c>
      <c r="C68" s="1" t="s">
        <v>94</v>
      </c>
      <c r="D68" s="2">
        <v>1.0</v>
      </c>
      <c r="E68" s="1" t="s">
        <v>27</v>
      </c>
      <c r="F68" s="1">
        <v>2.0</v>
      </c>
      <c r="H68" s="1" t="s">
        <v>34</v>
      </c>
      <c r="K68" s="1" t="b">
        <v>1</v>
      </c>
    </row>
    <row r="69">
      <c r="A69" s="4" t="s">
        <v>256</v>
      </c>
      <c r="B69" s="5" t="s">
        <v>257</v>
      </c>
      <c r="C69" s="1" t="s">
        <v>94</v>
      </c>
      <c r="D69" s="2">
        <v>2.0</v>
      </c>
      <c r="F69" s="1">
        <v>2.0</v>
      </c>
      <c r="H69" s="1" t="s">
        <v>211</v>
      </c>
      <c r="K69" s="1" t="b">
        <v>1</v>
      </c>
    </row>
    <row r="70">
      <c r="A70" s="4" t="s">
        <v>258</v>
      </c>
      <c r="B70" s="4" t="s">
        <v>259</v>
      </c>
      <c r="C70" s="1" t="s">
        <v>94</v>
      </c>
      <c r="D70" s="2">
        <v>2.0</v>
      </c>
      <c r="F70" s="1">
        <v>2.0</v>
      </c>
      <c r="H70" s="1" t="s">
        <v>211</v>
      </c>
      <c r="K70" s="1" t="b">
        <v>1</v>
      </c>
    </row>
    <row r="71">
      <c r="A71" s="4" t="s">
        <v>260</v>
      </c>
      <c r="B71" s="4" t="s">
        <v>261</v>
      </c>
      <c r="C71" s="1" t="s">
        <v>94</v>
      </c>
      <c r="D71" s="2">
        <v>1.0</v>
      </c>
      <c r="E71" s="1" t="s">
        <v>27</v>
      </c>
      <c r="F71" s="1">
        <v>1.0</v>
      </c>
      <c r="I71" s="1" t="s">
        <v>262</v>
      </c>
      <c r="K71" s="1" t="b">
        <v>1</v>
      </c>
    </row>
    <row r="72">
      <c r="A72" s="4" t="s">
        <v>263</v>
      </c>
      <c r="B72" s="4" t="s">
        <v>264</v>
      </c>
      <c r="C72" s="1" t="s">
        <v>94</v>
      </c>
      <c r="D72" s="2">
        <v>1.0</v>
      </c>
      <c r="E72" s="1" t="s">
        <v>27</v>
      </c>
      <c r="F72" s="1">
        <v>1.0</v>
      </c>
      <c r="H72" s="1" t="s">
        <v>51</v>
      </c>
      <c r="K72" s="1" t="b">
        <v>1</v>
      </c>
    </row>
    <row r="73">
      <c r="A73" s="4" t="s">
        <v>265</v>
      </c>
      <c r="B73" s="5" t="s">
        <v>245</v>
      </c>
      <c r="C73" s="1" t="s">
        <v>94</v>
      </c>
      <c r="D73" s="2" t="s">
        <v>58</v>
      </c>
      <c r="E73" s="1" t="s">
        <v>27</v>
      </c>
      <c r="F73" s="1">
        <v>1.0</v>
      </c>
      <c r="G73" s="1" t="s">
        <v>137</v>
      </c>
      <c r="H73" s="1" t="s">
        <v>266</v>
      </c>
      <c r="I73" s="1"/>
      <c r="K73" s="1" t="b">
        <v>1</v>
      </c>
    </row>
    <row r="74">
      <c r="A74" s="4" t="s">
        <v>267</v>
      </c>
      <c r="B74" s="4" t="s">
        <v>268</v>
      </c>
      <c r="C74" s="1" t="s">
        <v>94</v>
      </c>
      <c r="D74" s="2">
        <v>1.0</v>
      </c>
      <c r="E74" s="1" t="s">
        <v>27</v>
      </c>
      <c r="F74" s="1">
        <v>1.0</v>
      </c>
      <c r="I74" s="1" t="s">
        <v>269</v>
      </c>
      <c r="K74" s="1" t="b">
        <v>1</v>
      </c>
    </row>
    <row r="75">
      <c r="A75" s="4" t="s">
        <v>270</v>
      </c>
      <c r="B75" s="4" t="s">
        <v>271</v>
      </c>
      <c r="C75" s="1" t="s">
        <v>94</v>
      </c>
      <c r="D75" s="2" t="s">
        <v>58</v>
      </c>
      <c r="E75" s="1" t="s">
        <v>27</v>
      </c>
      <c r="F75" s="1">
        <v>1.0</v>
      </c>
      <c r="G75" s="1" t="s">
        <v>137</v>
      </c>
      <c r="H75" s="1" t="s">
        <v>266</v>
      </c>
      <c r="I75" s="1"/>
      <c r="K75" s="1" t="b">
        <v>1</v>
      </c>
    </row>
    <row r="76">
      <c r="A76" s="4" t="s">
        <v>274</v>
      </c>
      <c r="B76" s="4" t="s">
        <v>272</v>
      </c>
      <c r="C76" s="1" t="s">
        <v>94</v>
      </c>
      <c r="D76" s="2" t="s">
        <v>58</v>
      </c>
      <c r="E76" s="1" t="s">
        <v>27</v>
      </c>
      <c r="F76" s="1">
        <v>0.5</v>
      </c>
      <c r="G76" s="1" t="s">
        <v>117</v>
      </c>
      <c r="H76" s="3"/>
      <c r="I76" s="3" t="s">
        <v>275</v>
      </c>
      <c r="J76" s="4"/>
      <c r="K76" s="1" t="b">
        <v>1</v>
      </c>
    </row>
    <row r="77">
      <c r="A77" s="4" t="s">
        <v>276</v>
      </c>
      <c r="B77" s="4" t="s">
        <v>277</v>
      </c>
      <c r="C77" s="1" t="s">
        <v>94</v>
      </c>
      <c r="D77" s="2">
        <v>1.0</v>
      </c>
      <c r="E77" s="1" t="s">
        <v>73</v>
      </c>
      <c r="K77" s="1" t="b">
        <v>1</v>
      </c>
    </row>
    <row r="78">
      <c r="A78" s="4" t="s">
        <v>278</v>
      </c>
      <c r="B78" s="4" t="s">
        <v>279</v>
      </c>
      <c r="C78" s="1" t="s">
        <v>94</v>
      </c>
      <c r="D78" s="2" t="s">
        <v>58</v>
      </c>
      <c r="E78" s="1" t="s">
        <v>73</v>
      </c>
      <c r="G78" s="1" t="s">
        <v>141</v>
      </c>
      <c r="H78" s="1"/>
      <c r="I78" s="1"/>
      <c r="K78" s="1" t="b">
        <v>1</v>
      </c>
    </row>
    <row r="79">
      <c r="A79" s="4" t="s">
        <v>280</v>
      </c>
      <c r="B79" s="4" t="s">
        <v>281</v>
      </c>
      <c r="C79" s="1" t="s">
        <v>94</v>
      </c>
      <c r="D79" s="2" t="s">
        <v>58</v>
      </c>
      <c r="E79" s="1" t="s">
        <v>73</v>
      </c>
      <c r="G79" s="1" t="s">
        <v>141</v>
      </c>
      <c r="H79" s="1"/>
      <c r="I79" s="1"/>
      <c r="K79" s="1" t="b">
        <v>1</v>
      </c>
    </row>
    <row r="80">
      <c r="A80" s="4" t="s">
        <v>282</v>
      </c>
      <c r="B80" s="4" t="s">
        <v>283</v>
      </c>
      <c r="C80" s="1" t="s">
        <v>94</v>
      </c>
      <c r="D80" s="2" t="s">
        <v>58</v>
      </c>
      <c r="E80" s="1" t="s">
        <v>27</v>
      </c>
      <c r="G80" s="1" t="s">
        <v>59</v>
      </c>
      <c r="H80" s="1"/>
      <c r="I80" s="1"/>
      <c r="K80" s="1" t="b">
        <v>1</v>
      </c>
    </row>
    <row r="81">
      <c r="A81" s="4" t="s">
        <v>284</v>
      </c>
      <c r="B81" s="4" t="s">
        <v>285</v>
      </c>
      <c r="C81" s="1" t="s">
        <v>94</v>
      </c>
      <c r="D81" s="2" t="s">
        <v>58</v>
      </c>
      <c r="E81" s="1" t="s">
        <v>73</v>
      </c>
      <c r="G81" s="1" t="s">
        <v>117</v>
      </c>
      <c r="H81" s="1"/>
      <c r="I81" s="1"/>
      <c r="K81" s="1" t="b">
        <v>1</v>
      </c>
    </row>
    <row r="82">
      <c r="A82" s="4" t="s">
        <v>286</v>
      </c>
      <c r="B82" s="4" t="s">
        <v>287</v>
      </c>
      <c r="C82" s="1" t="s">
        <v>94</v>
      </c>
      <c r="D82" s="2" t="s">
        <v>58</v>
      </c>
      <c r="E82" s="1" t="s">
        <v>73</v>
      </c>
      <c r="G82" s="1" t="s">
        <v>117</v>
      </c>
      <c r="H82" s="1" t="s">
        <v>60</v>
      </c>
      <c r="I82" s="1" t="s">
        <v>288</v>
      </c>
      <c r="K82" s="1" t="b">
        <v>1</v>
      </c>
    </row>
    <row r="83">
      <c r="A83" s="4" t="s">
        <v>289</v>
      </c>
      <c r="B83" s="4" t="s">
        <v>290</v>
      </c>
      <c r="C83" s="1" t="s">
        <v>94</v>
      </c>
      <c r="D83" s="2" t="s">
        <v>58</v>
      </c>
      <c r="E83" s="1" t="s">
        <v>73</v>
      </c>
      <c r="G83" s="1" t="s">
        <v>27</v>
      </c>
      <c r="H83" s="1"/>
      <c r="I83" s="1"/>
      <c r="K83" s="1" t="b">
        <v>1</v>
      </c>
    </row>
    <row r="84">
      <c r="A84" s="4" t="s">
        <v>291</v>
      </c>
      <c r="B84" s="4" t="s">
        <v>292</v>
      </c>
      <c r="C84" s="1" t="s">
        <v>94</v>
      </c>
      <c r="D84" s="2" t="s">
        <v>58</v>
      </c>
      <c r="E84" s="1" t="s">
        <v>73</v>
      </c>
      <c r="G84" s="1" t="s">
        <v>117</v>
      </c>
      <c r="H84" s="1" t="s">
        <v>60</v>
      </c>
      <c r="I84" s="1"/>
      <c r="K84" s="1" t="b">
        <v>1</v>
      </c>
    </row>
    <row r="85">
      <c r="A85" s="4" t="s">
        <v>293</v>
      </c>
      <c r="B85" s="4" t="s">
        <v>155</v>
      </c>
      <c r="C85" s="1" t="s">
        <v>94</v>
      </c>
      <c r="D85" s="2">
        <v>1.0</v>
      </c>
      <c r="E85" s="1" t="s">
        <v>73</v>
      </c>
      <c r="H85" s="1" t="s">
        <v>60</v>
      </c>
      <c r="K85" s="1" t="b">
        <v>1</v>
      </c>
    </row>
    <row r="86">
      <c r="A86" s="4" t="s">
        <v>294</v>
      </c>
      <c r="B86" s="4" t="s">
        <v>23</v>
      </c>
      <c r="C86" s="1" t="s">
        <v>94</v>
      </c>
      <c r="D86" s="2" t="s">
        <v>58</v>
      </c>
      <c r="E86" s="1" t="s">
        <v>73</v>
      </c>
      <c r="I86" s="1" t="s">
        <v>295</v>
      </c>
      <c r="K86" s="1" t="b">
        <v>1</v>
      </c>
    </row>
    <row r="87">
      <c r="A87" s="4" t="s">
        <v>296</v>
      </c>
      <c r="B87" s="4" t="s">
        <v>297</v>
      </c>
      <c r="C87" s="1" t="s">
        <v>94</v>
      </c>
      <c r="D87" s="2">
        <v>1.0</v>
      </c>
      <c r="E87" s="1" t="s">
        <v>73</v>
      </c>
      <c r="H87" s="1" t="s">
        <v>60</v>
      </c>
      <c r="I87" s="1" t="s">
        <v>298</v>
      </c>
      <c r="K87" s="1" t="b">
        <v>1</v>
      </c>
    </row>
    <row r="88">
      <c r="A88" s="4" t="s">
        <v>299</v>
      </c>
      <c r="B88" s="4" t="s">
        <v>300</v>
      </c>
      <c r="C88" s="1" t="s">
        <v>301</v>
      </c>
      <c r="D88" s="2">
        <v>2.0</v>
      </c>
      <c r="F88" s="1">
        <v>3.0</v>
      </c>
      <c r="K88" s="1" t="b">
        <v>1</v>
      </c>
    </row>
    <row r="89">
      <c r="A89" s="4" t="s">
        <v>302</v>
      </c>
      <c r="B89" s="4" t="s">
        <v>303</v>
      </c>
      <c r="C89" s="1" t="s">
        <v>301</v>
      </c>
      <c r="D89" s="2">
        <v>2.0</v>
      </c>
      <c r="F89" s="1">
        <v>3.0</v>
      </c>
      <c r="K89" s="1" t="b">
        <v>1</v>
      </c>
    </row>
    <row r="90">
      <c r="A90" s="4" t="s">
        <v>304</v>
      </c>
      <c r="B90" s="4" t="s">
        <v>305</v>
      </c>
      <c r="C90" s="1" t="s">
        <v>301</v>
      </c>
      <c r="D90" s="2">
        <v>2.0</v>
      </c>
      <c r="F90" s="1">
        <v>3.0</v>
      </c>
      <c r="K90" s="1" t="b">
        <v>1</v>
      </c>
    </row>
    <row r="91">
      <c r="A91" s="4" t="s">
        <v>306</v>
      </c>
      <c r="B91" s="4" t="s">
        <v>307</v>
      </c>
      <c r="C91" s="1" t="s">
        <v>301</v>
      </c>
      <c r="D91" s="2">
        <v>2.0</v>
      </c>
      <c r="F91" s="1">
        <v>3.0</v>
      </c>
      <c r="H91" s="1" t="s">
        <v>308</v>
      </c>
      <c r="I91" s="1" t="s">
        <v>309</v>
      </c>
      <c r="K91" s="1" t="b">
        <v>1</v>
      </c>
    </row>
    <row r="92">
      <c r="A92" s="4" t="s">
        <v>310</v>
      </c>
      <c r="B92" s="5" t="s">
        <v>311</v>
      </c>
      <c r="C92" s="1" t="s">
        <v>301</v>
      </c>
      <c r="D92" s="2">
        <v>2.0</v>
      </c>
      <c r="F92" s="1">
        <v>3.0</v>
      </c>
      <c r="H92" s="1" t="s">
        <v>308</v>
      </c>
      <c r="I92" s="1" t="s">
        <v>309</v>
      </c>
      <c r="K92" s="1" t="b">
        <v>1</v>
      </c>
    </row>
    <row r="93">
      <c r="A93" s="4" t="s">
        <v>312</v>
      </c>
      <c r="B93" s="4" t="s">
        <v>313</v>
      </c>
      <c r="C93" s="1" t="s">
        <v>301</v>
      </c>
      <c r="D93" s="2">
        <v>2.0</v>
      </c>
      <c r="F93" s="1">
        <v>2.5</v>
      </c>
      <c r="H93" s="1" t="s">
        <v>314</v>
      </c>
      <c r="I93" s="1" t="s">
        <v>315</v>
      </c>
      <c r="K93" s="1" t="b">
        <v>1</v>
      </c>
    </row>
    <row r="94">
      <c r="A94" s="4" t="s">
        <v>316</v>
      </c>
      <c r="B94" s="5" t="s">
        <v>317</v>
      </c>
      <c r="C94" s="1" t="s">
        <v>301</v>
      </c>
      <c r="D94" s="2">
        <v>2.0</v>
      </c>
      <c r="F94" s="1">
        <v>2.0</v>
      </c>
      <c r="I94" s="1" t="s">
        <v>318</v>
      </c>
      <c r="K94" s="1" t="b">
        <v>1</v>
      </c>
    </row>
    <row r="95">
      <c r="A95" s="4" t="s">
        <v>319</v>
      </c>
      <c r="B95" s="4" t="s">
        <v>320</v>
      </c>
      <c r="C95" s="1" t="s">
        <v>301</v>
      </c>
      <c r="D95" s="2">
        <v>2.0</v>
      </c>
      <c r="F95" s="1">
        <v>2.0</v>
      </c>
      <c r="I95" s="1" t="s">
        <v>318</v>
      </c>
      <c r="K95" s="1" t="b">
        <v>1</v>
      </c>
    </row>
    <row r="96">
      <c r="A96" s="4" t="s">
        <v>321</v>
      </c>
      <c r="B96" s="4" t="s">
        <v>322</v>
      </c>
      <c r="C96" s="1" t="s">
        <v>301</v>
      </c>
      <c r="D96" s="2">
        <v>1.0</v>
      </c>
      <c r="E96" s="1" t="s">
        <v>27</v>
      </c>
      <c r="F96" s="1">
        <v>2.0</v>
      </c>
      <c r="H96" s="1" t="s">
        <v>99</v>
      </c>
      <c r="I96" s="1" t="s">
        <v>323</v>
      </c>
      <c r="K96" s="1" t="b">
        <v>1</v>
      </c>
    </row>
    <row r="97">
      <c r="A97" s="4" t="s">
        <v>324</v>
      </c>
      <c r="B97" s="4" t="s">
        <v>325</v>
      </c>
      <c r="C97" s="1" t="s">
        <v>301</v>
      </c>
      <c r="D97" s="2">
        <v>2.0</v>
      </c>
      <c r="F97" s="1">
        <v>2.0</v>
      </c>
      <c r="H97" s="1" t="s">
        <v>326</v>
      </c>
      <c r="K97" s="1" t="b">
        <v>1</v>
      </c>
    </row>
    <row r="98">
      <c r="A98" s="4" t="s">
        <v>327</v>
      </c>
      <c r="B98" s="5" t="s">
        <v>328</v>
      </c>
      <c r="C98" s="1" t="s">
        <v>301</v>
      </c>
      <c r="D98" s="2">
        <v>1.0</v>
      </c>
      <c r="E98" s="1" t="s">
        <v>27</v>
      </c>
      <c r="F98" s="1">
        <v>2.0</v>
      </c>
      <c r="H98" s="1" t="s">
        <v>99</v>
      </c>
      <c r="I98" s="1" t="s">
        <v>323</v>
      </c>
      <c r="K98" s="1" t="b">
        <v>1</v>
      </c>
    </row>
    <row r="99">
      <c r="A99" s="4" t="s">
        <v>329</v>
      </c>
      <c r="B99" s="5" t="s">
        <v>330</v>
      </c>
      <c r="C99" s="1" t="s">
        <v>301</v>
      </c>
      <c r="D99" s="2">
        <v>2.0</v>
      </c>
      <c r="F99" s="1">
        <v>2.0</v>
      </c>
      <c r="H99" s="1" t="s">
        <v>326</v>
      </c>
      <c r="K99" s="1" t="b">
        <v>1</v>
      </c>
    </row>
    <row r="100">
      <c r="A100" s="4" t="s">
        <v>331</v>
      </c>
      <c r="B100" s="4" t="s">
        <v>332</v>
      </c>
      <c r="C100" s="1" t="s">
        <v>301</v>
      </c>
      <c r="D100" s="2">
        <v>1.0</v>
      </c>
      <c r="E100" s="1" t="s">
        <v>27</v>
      </c>
      <c r="F100" s="1">
        <v>2.0</v>
      </c>
      <c r="H100" s="1" t="s">
        <v>44</v>
      </c>
      <c r="I100" s="1" t="s">
        <v>333</v>
      </c>
      <c r="K100" s="1" t="b">
        <v>1</v>
      </c>
    </row>
    <row r="101">
      <c r="A101" s="4" t="s">
        <v>335</v>
      </c>
      <c r="B101" s="4" t="s">
        <v>336</v>
      </c>
      <c r="C101" s="1" t="s">
        <v>301</v>
      </c>
      <c r="D101" s="2">
        <v>1.0</v>
      </c>
      <c r="E101" s="1" t="s">
        <v>27</v>
      </c>
      <c r="F101" s="1">
        <v>2.0</v>
      </c>
      <c r="H101" s="1" t="s">
        <v>99</v>
      </c>
      <c r="I101" s="1" t="s">
        <v>337</v>
      </c>
      <c r="K101" s="1" t="b">
        <v>1</v>
      </c>
    </row>
    <row r="102">
      <c r="A102" s="4" t="s">
        <v>338</v>
      </c>
      <c r="B102" s="5" t="s">
        <v>339</v>
      </c>
      <c r="C102" s="1" t="s">
        <v>301</v>
      </c>
      <c r="D102" s="2">
        <v>1.0</v>
      </c>
      <c r="E102" s="1" t="s">
        <v>27</v>
      </c>
      <c r="F102" s="1">
        <v>2.0</v>
      </c>
      <c r="H102" s="1" t="s">
        <v>99</v>
      </c>
      <c r="I102" s="1" t="s">
        <v>337</v>
      </c>
      <c r="K102" s="1" t="b">
        <v>1</v>
      </c>
    </row>
    <row r="103">
      <c r="A103" s="4" t="s">
        <v>340</v>
      </c>
      <c r="B103" s="4" t="s">
        <v>341</v>
      </c>
      <c r="C103" s="1" t="s">
        <v>301</v>
      </c>
      <c r="D103" s="2">
        <v>1.0</v>
      </c>
      <c r="E103" s="1" t="s">
        <v>27</v>
      </c>
      <c r="F103" s="1">
        <v>2.0</v>
      </c>
      <c r="H103" s="1" t="s">
        <v>99</v>
      </c>
      <c r="K103" s="6" t="b">
        <v>0</v>
      </c>
    </row>
    <row r="104">
      <c r="A104" s="4" t="s">
        <v>342</v>
      </c>
      <c r="B104" s="4" t="s">
        <v>343</v>
      </c>
      <c r="C104" s="1" t="s">
        <v>301</v>
      </c>
      <c r="D104" s="2">
        <v>1.0</v>
      </c>
      <c r="E104" s="1" t="s">
        <v>27</v>
      </c>
      <c r="F104" s="1">
        <v>1.5</v>
      </c>
      <c r="H104" s="1" t="s">
        <v>326</v>
      </c>
      <c r="K104" s="1" t="b">
        <v>1</v>
      </c>
    </row>
    <row r="105">
      <c r="A105" s="4" t="s">
        <v>344</v>
      </c>
      <c r="B105" s="5" t="s">
        <v>345</v>
      </c>
      <c r="C105" s="1" t="s">
        <v>301</v>
      </c>
      <c r="D105" s="2" t="s">
        <v>58</v>
      </c>
      <c r="E105" s="1" t="s">
        <v>27</v>
      </c>
      <c r="F105" s="1">
        <v>1.0</v>
      </c>
      <c r="H105" s="1" t="s">
        <v>99</v>
      </c>
      <c r="K105" s="1" t="b">
        <v>1</v>
      </c>
    </row>
    <row r="106">
      <c r="A106" s="4" t="s">
        <v>346</v>
      </c>
      <c r="B106" s="4" t="s">
        <v>347</v>
      </c>
      <c r="C106" s="1" t="s">
        <v>301</v>
      </c>
      <c r="D106" s="2">
        <v>1.0</v>
      </c>
      <c r="E106" s="1" t="s">
        <v>27</v>
      </c>
      <c r="F106" s="1">
        <v>1.0</v>
      </c>
      <c r="K106" s="1" t="b">
        <v>1</v>
      </c>
    </row>
    <row r="107">
      <c r="A107" s="4" t="s">
        <v>348</v>
      </c>
      <c r="B107" s="4" t="s">
        <v>349</v>
      </c>
      <c r="C107" s="1" t="s">
        <v>301</v>
      </c>
      <c r="D107" s="2" t="s">
        <v>58</v>
      </c>
      <c r="E107" s="1" t="s">
        <v>27</v>
      </c>
      <c r="F107" s="1">
        <v>1.0</v>
      </c>
      <c r="H107" s="1" t="s">
        <v>99</v>
      </c>
      <c r="K107" s="1" t="b">
        <v>1</v>
      </c>
    </row>
    <row r="108">
      <c r="A108" s="4" t="s">
        <v>350</v>
      </c>
      <c r="B108" s="4" t="s">
        <v>351</v>
      </c>
      <c r="C108" s="1" t="s">
        <v>301</v>
      </c>
      <c r="D108" s="2">
        <v>1.0</v>
      </c>
      <c r="E108" s="1" t="s">
        <v>27</v>
      </c>
      <c r="F108" s="1">
        <v>1.0</v>
      </c>
      <c r="H108" s="1" t="s">
        <v>211</v>
      </c>
      <c r="K108" s="1" t="b">
        <v>1</v>
      </c>
    </row>
    <row r="109">
      <c r="A109" s="4" t="s">
        <v>352</v>
      </c>
      <c r="B109" s="4" t="s">
        <v>353</v>
      </c>
      <c r="C109" s="1" t="s">
        <v>301</v>
      </c>
      <c r="D109" s="2">
        <v>1.0</v>
      </c>
      <c r="E109" s="1" t="s">
        <v>73</v>
      </c>
      <c r="K109" s="1" t="b">
        <v>1</v>
      </c>
    </row>
    <row r="110">
      <c r="A110" s="4" t="s">
        <v>354</v>
      </c>
      <c r="B110" s="4" t="s">
        <v>355</v>
      </c>
      <c r="C110" s="1" t="s">
        <v>301</v>
      </c>
      <c r="D110" s="2">
        <v>1.0</v>
      </c>
      <c r="E110" s="1" t="s">
        <v>73</v>
      </c>
      <c r="K110" s="1" t="b">
        <v>1</v>
      </c>
    </row>
    <row r="111">
      <c r="A111" s="4" t="s">
        <v>356</v>
      </c>
      <c r="B111" s="4" t="s">
        <v>357</v>
      </c>
      <c r="C111" s="1" t="s">
        <v>301</v>
      </c>
      <c r="D111" s="2">
        <v>1.0</v>
      </c>
      <c r="E111" s="1" t="s">
        <v>73</v>
      </c>
      <c r="K111" s="1" t="b">
        <v>1</v>
      </c>
    </row>
    <row r="112">
      <c r="A112" s="4" t="s">
        <v>359</v>
      </c>
      <c r="B112" s="4" t="s">
        <v>360</v>
      </c>
      <c r="C112" s="1" t="s">
        <v>301</v>
      </c>
      <c r="D112" s="2" t="s">
        <v>58</v>
      </c>
      <c r="E112" s="1" t="s">
        <v>73</v>
      </c>
      <c r="K112" s="1" t="b">
        <v>1</v>
      </c>
    </row>
    <row r="113">
      <c r="A113" s="4" t="s">
        <v>361</v>
      </c>
      <c r="B113" s="4" t="s">
        <v>362</v>
      </c>
      <c r="C113" s="1" t="s">
        <v>301</v>
      </c>
      <c r="D113" s="2" t="s">
        <v>58</v>
      </c>
      <c r="E113" s="1" t="s">
        <v>73</v>
      </c>
      <c r="K113" s="1" t="b">
        <v>1</v>
      </c>
    </row>
    <row r="114">
      <c r="A114" s="4" t="s">
        <v>363</v>
      </c>
      <c r="B114" s="4" t="s">
        <v>364</v>
      </c>
      <c r="C114" s="1" t="s">
        <v>301</v>
      </c>
      <c r="D114" s="2" t="s">
        <v>58</v>
      </c>
      <c r="E114" s="1" t="s">
        <v>73</v>
      </c>
      <c r="G114" s="1" t="s">
        <v>117</v>
      </c>
      <c r="H114" s="1"/>
      <c r="I114" s="1"/>
      <c r="K114" s="1" t="b">
        <v>1</v>
      </c>
    </row>
    <row r="115">
      <c r="A115" s="4" t="s">
        <v>365</v>
      </c>
      <c r="B115" s="4" t="s">
        <v>366</v>
      </c>
      <c r="C115" s="1" t="s">
        <v>301</v>
      </c>
      <c r="D115" s="2">
        <v>1.0</v>
      </c>
      <c r="E115" s="1" t="s">
        <v>73</v>
      </c>
      <c r="K115" s="1" t="b">
        <v>1</v>
      </c>
    </row>
    <row r="116">
      <c r="A116" s="4" t="s">
        <v>368</v>
      </c>
      <c r="B116" s="4" t="s">
        <v>369</v>
      </c>
      <c r="C116" s="1" t="s">
        <v>301</v>
      </c>
      <c r="D116" s="2">
        <v>1.0</v>
      </c>
      <c r="E116" s="1" t="s">
        <v>73</v>
      </c>
      <c r="G116" s="1" t="s">
        <v>117</v>
      </c>
      <c r="H116" s="1"/>
      <c r="I116" s="1"/>
      <c r="K116" s="1" t="b">
        <v>1</v>
      </c>
    </row>
    <row r="117">
      <c r="A117" s="4" t="s">
        <v>370</v>
      </c>
      <c r="B117" s="4" t="s">
        <v>371</v>
      </c>
      <c r="C117" s="1" t="s">
        <v>301</v>
      </c>
      <c r="D117" s="2" t="s">
        <v>58</v>
      </c>
      <c r="E117" s="1" t="s">
        <v>27</v>
      </c>
      <c r="G117" s="1" t="s">
        <v>137</v>
      </c>
      <c r="H117" s="1"/>
      <c r="I117" s="1"/>
      <c r="K117" s="1" t="b">
        <v>1</v>
      </c>
    </row>
    <row r="118">
      <c r="A118" s="4" t="s">
        <v>372</v>
      </c>
      <c r="B118" s="4" t="s">
        <v>373</v>
      </c>
      <c r="C118" s="1" t="s">
        <v>301</v>
      </c>
      <c r="D118" s="2" t="s">
        <v>58</v>
      </c>
      <c r="E118" s="1" t="s">
        <v>73</v>
      </c>
      <c r="G118" s="1" t="s">
        <v>117</v>
      </c>
      <c r="H118" s="1"/>
      <c r="I118" s="1"/>
      <c r="K118" s="1" t="b">
        <v>1</v>
      </c>
    </row>
    <row r="119">
      <c r="A119" s="4" t="s">
        <v>374</v>
      </c>
      <c r="B119" s="4" t="s">
        <v>375</v>
      </c>
      <c r="C119" s="1" t="s">
        <v>301</v>
      </c>
      <c r="D119" s="2" t="s">
        <v>58</v>
      </c>
      <c r="E119" s="1" t="s">
        <v>27</v>
      </c>
      <c r="I119" s="1" t="s">
        <v>376</v>
      </c>
      <c r="K119" s="1" t="b">
        <v>1</v>
      </c>
    </row>
    <row r="120">
      <c r="A120" s="4" t="s">
        <v>377</v>
      </c>
      <c r="B120" s="5" t="s">
        <v>378</v>
      </c>
      <c r="C120" s="1" t="s">
        <v>301</v>
      </c>
      <c r="D120" s="2" t="s">
        <v>58</v>
      </c>
      <c r="E120" s="1" t="s">
        <v>27</v>
      </c>
      <c r="G120" s="1" t="s">
        <v>137</v>
      </c>
      <c r="I120" s="1" t="s">
        <v>376</v>
      </c>
      <c r="K120" s="1" t="b">
        <v>1</v>
      </c>
    </row>
    <row r="121">
      <c r="A121" s="4" t="s">
        <v>379</v>
      </c>
      <c r="B121" s="4" t="s">
        <v>380</v>
      </c>
      <c r="C121" s="1" t="s">
        <v>301</v>
      </c>
      <c r="D121" s="2">
        <v>1.0</v>
      </c>
      <c r="E121" s="1" t="s">
        <v>73</v>
      </c>
      <c r="H121" s="1" t="s">
        <v>99</v>
      </c>
      <c r="I121" s="1" t="s">
        <v>381</v>
      </c>
      <c r="K121" s="1" t="b">
        <v>1</v>
      </c>
    </row>
    <row r="122">
      <c r="A122" s="4" t="s">
        <v>382</v>
      </c>
      <c r="B122" s="4" t="s">
        <v>383</v>
      </c>
      <c r="C122" s="1" t="s">
        <v>301</v>
      </c>
      <c r="D122" s="2">
        <v>1.0</v>
      </c>
      <c r="E122" s="1" t="s">
        <v>73</v>
      </c>
      <c r="K122" s="1" t="b">
        <v>1</v>
      </c>
    </row>
    <row r="123">
      <c r="A123" s="4" t="s">
        <v>384</v>
      </c>
      <c r="B123" s="4" t="s">
        <v>385</v>
      </c>
      <c r="C123" s="1" t="s">
        <v>301</v>
      </c>
      <c r="D123" s="2">
        <v>1.0</v>
      </c>
      <c r="E123" s="1" t="s">
        <v>73</v>
      </c>
      <c r="H123" s="1" t="s">
        <v>99</v>
      </c>
      <c r="K123" s="1" t="b">
        <v>1</v>
      </c>
    </row>
    <row r="124">
      <c r="A124" s="4" t="s">
        <v>386</v>
      </c>
      <c r="B124" s="4" t="s">
        <v>387</v>
      </c>
      <c r="C124" s="1" t="s">
        <v>301</v>
      </c>
      <c r="D124" s="2" t="s">
        <v>58</v>
      </c>
      <c r="E124" s="1" t="s">
        <v>73</v>
      </c>
      <c r="K124" s="1" t="b">
        <v>1</v>
      </c>
    </row>
    <row r="125">
      <c r="A125" s="4" t="s">
        <v>388</v>
      </c>
      <c r="B125" s="4" t="s">
        <v>389</v>
      </c>
      <c r="C125" s="1" t="s">
        <v>301</v>
      </c>
      <c r="D125" s="2" t="s">
        <v>58</v>
      </c>
      <c r="E125" s="1" t="s">
        <v>73</v>
      </c>
      <c r="G125" s="1" t="s">
        <v>141</v>
      </c>
      <c r="H125" s="1"/>
      <c r="I125" s="1"/>
      <c r="K125" s="1" t="b">
        <v>1</v>
      </c>
    </row>
    <row r="126">
      <c r="A126" s="4" t="s">
        <v>390</v>
      </c>
      <c r="B126" s="4" t="s">
        <v>391</v>
      </c>
      <c r="C126" s="1" t="s">
        <v>301</v>
      </c>
      <c r="D126" s="2" t="s">
        <v>58</v>
      </c>
      <c r="E126" s="1" t="s">
        <v>73</v>
      </c>
      <c r="G126" s="1" t="s">
        <v>137</v>
      </c>
      <c r="H126" s="1"/>
      <c r="I126" s="1"/>
      <c r="K126" s="1" t="b">
        <v>1</v>
      </c>
    </row>
    <row r="127">
      <c r="A127" s="4" t="s">
        <v>393</v>
      </c>
      <c r="B127" s="4" t="s">
        <v>394</v>
      </c>
      <c r="C127" s="1" t="s">
        <v>301</v>
      </c>
      <c r="D127" s="2" t="s">
        <v>58</v>
      </c>
      <c r="E127" s="1" t="s">
        <v>73</v>
      </c>
      <c r="G127" s="1" t="s">
        <v>117</v>
      </c>
      <c r="H127" s="1" t="s">
        <v>99</v>
      </c>
      <c r="I127" s="1"/>
      <c r="K127" s="1" t="b">
        <v>1</v>
      </c>
    </row>
    <row r="128">
      <c r="A128" s="4" t="s">
        <v>395</v>
      </c>
      <c r="B128" s="4" t="s">
        <v>396</v>
      </c>
      <c r="C128" s="1" t="s">
        <v>301</v>
      </c>
      <c r="D128" s="2" t="s">
        <v>58</v>
      </c>
      <c r="E128" s="1" t="s">
        <v>73</v>
      </c>
      <c r="I128" s="1" t="s">
        <v>397</v>
      </c>
      <c r="K128" s="1" t="b">
        <v>1</v>
      </c>
    </row>
    <row r="129">
      <c r="A129" s="4" t="s">
        <v>398</v>
      </c>
      <c r="B129" s="4" t="s">
        <v>399</v>
      </c>
      <c r="C129" s="1" t="s">
        <v>301</v>
      </c>
      <c r="D129" s="2" t="s">
        <v>58</v>
      </c>
      <c r="E129" s="1" t="s">
        <v>73</v>
      </c>
      <c r="G129" s="1" t="s">
        <v>117</v>
      </c>
      <c r="H129" s="1" t="s">
        <v>99</v>
      </c>
      <c r="I129" s="1" t="s">
        <v>400</v>
      </c>
      <c r="K129" s="1" t="b">
        <v>1</v>
      </c>
    </row>
    <row r="130">
      <c r="A130" s="4" t="s">
        <v>401</v>
      </c>
      <c r="B130" s="4" t="s">
        <v>402</v>
      </c>
      <c r="C130" s="1" t="s">
        <v>301</v>
      </c>
      <c r="D130" s="2" t="s">
        <v>58</v>
      </c>
      <c r="E130" s="1" t="s">
        <v>73</v>
      </c>
      <c r="G130" s="1" t="s">
        <v>141</v>
      </c>
      <c r="H130" s="1" t="s">
        <v>99</v>
      </c>
      <c r="K130" s="1" t="b">
        <v>1</v>
      </c>
    </row>
    <row r="131">
      <c r="A131" s="4" t="s">
        <v>403</v>
      </c>
      <c r="B131" s="4" t="s">
        <v>404</v>
      </c>
      <c r="C131" s="1" t="s">
        <v>301</v>
      </c>
      <c r="D131" s="2" t="s">
        <v>58</v>
      </c>
      <c r="E131" s="1" t="s">
        <v>73</v>
      </c>
      <c r="G131" s="1" t="s">
        <v>117</v>
      </c>
      <c r="H131" s="1" t="s">
        <v>99</v>
      </c>
      <c r="I131" s="1" t="s">
        <v>405</v>
      </c>
      <c r="K131" s="1" t="b">
        <v>1</v>
      </c>
    </row>
    <row r="132">
      <c r="A132" s="4" t="s">
        <v>406</v>
      </c>
      <c r="B132" s="4" t="s">
        <v>407</v>
      </c>
      <c r="C132" s="1" t="s">
        <v>301</v>
      </c>
      <c r="D132" s="2" t="s">
        <v>58</v>
      </c>
      <c r="E132" s="1" t="s">
        <v>73</v>
      </c>
      <c r="G132" s="1" t="s">
        <v>141</v>
      </c>
      <c r="H132" s="1" t="s">
        <v>408</v>
      </c>
      <c r="I132" s="1" t="s">
        <v>409</v>
      </c>
      <c r="K132" s="1" t="b">
        <v>1</v>
      </c>
    </row>
    <row r="133">
      <c r="A133" s="4" t="s">
        <v>410</v>
      </c>
      <c r="B133" s="5" t="s">
        <v>411</v>
      </c>
      <c r="C133" s="1" t="s">
        <v>157</v>
      </c>
      <c r="D133" s="2">
        <v>2.0</v>
      </c>
      <c r="F133" s="1">
        <v>3.0</v>
      </c>
      <c r="H133" s="1" t="s">
        <v>181</v>
      </c>
      <c r="I133" s="1" t="s">
        <v>412</v>
      </c>
      <c r="K133" s="1" t="b">
        <v>1</v>
      </c>
    </row>
    <row r="134">
      <c r="A134" s="4" t="s">
        <v>413</v>
      </c>
      <c r="B134" s="4" t="s">
        <v>414</v>
      </c>
      <c r="C134" s="1" t="s">
        <v>157</v>
      </c>
      <c r="D134" s="2">
        <v>2.0</v>
      </c>
      <c r="F134" s="1">
        <v>3.0</v>
      </c>
      <c r="H134" s="1" t="s">
        <v>181</v>
      </c>
      <c r="I134" s="1" t="s">
        <v>412</v>
      </c>
      <c r="K134" s="1" t="b">
        <v>1</v>
      </c>
    </row>
    <row r="135">
      <c r="A135" s="4" t="s">
        <v>415</v>
      </c>
      <c r="B135" s="4" t="s">
        <v>416</v>
      </c>
      <c r="C135" s="1" t="s">
        <v>157</v>
      </c>
      <c r="D135" s="2">
        <v>2.0</v>
      </c>
      <c r="F135" s="1">
        <v>2.5</v>
      </c>
      <c r="H135" s="4" t="s">
        <v>142</v>
      </c>
      <c r="I135" s="4" t="s">
        <v>417</v>
      </c>
      <c r="J135" s="4"/>
      <c r="K135" s="1" t="b">
        <v>1</v>
      </c>
    </row>
    <row r="136">
      <c r="A136" s="4" t="s">
        <v>418</v>
      </c>
      <c r="B136" s="5" t="s">
        <v>419</v>
      </c>
      <c r="C136" s="1" t="s">
        <v>157</v>
      </c>
      <c r="D136" s="2">
        <v>1.0</v>
      </c>
      <c r="E136" s="1" t="s">
        <v>27</v>
      </c>
      <c r="F136" s="1">
        <v>2.0</v>
      </c>
      <c r="H136" s="1" t="s">
        <v>181</v>
      </c>
      <c r="I136" s="1" t="s">
        <v>420</v>
      </c>
      <c r="K136" s="1" t="b">
        <v>1</v>
      </c>
    </row>
    <row r="137">
      <c r="A137" s="4" t="s">
        <v>421</v>
      </c>
      <c r="B137" s="4" t="s">
        <v>422</v>
      </c>
      <c r="C137" s="1" t="s">
        <v>157</v>
      </c>
      <c r="D137" s="2">
        <v>1.0</v>
      </c>
      <c r="E137" s="1" t="s">
        <v>27</v>
      </c>
      <c r="F137" s="1">
        <v>2.0</v>
      </c>
      <c r="H137" s="1" t="s">
        <v>181</v>
      </c>
      <c r="I137" s="1" t="s">
        <v>420</v>
      </c>
      <c r="K137" s="1" t="b">
        <v>1</v>
      </c>
    </row>
    <row r="138">
      <c r="A138" s="4" t="s">
        <v>426</v>
      </c>
      <c r="B138" s="5" t="s">
        <v>427</v>
      </c>
      <c r="C138" s="1" t="s">
        <v>157</v>
      </c>
      <c r="D138" s="2">
        <v>1.0</v>
      </c>
      <c r="E138" s="1" t="s">
        <v>73</v>
      </c>
      <c r="F138" s="1">
        <v>1.5</v>
      </c>
      <c r="H138" s="1" t="s">
        <v>428</v>
      </c>
      <c r="I138" s="1" t="s">
        <v>429</v>
      </c>
      <c r="K138" s="1" t="b">
        <v>1</v>
      </c>
    </row>
    <row r="139">
      <c r="A139" s="4" t="s">
        <v>430</v>
      </c>
      <c r="B139" s="5" t="s">
        <v>431</v>
      </c>
      <c r="C139" s="1" t="s">
        <v>157</v>
      </c>
      <c r="D139" s="2">
        <v>1.0</v>
      </c>
      <c r="E139" s="1" t="s">
        <v>73</v>
      </c>
      <c r="F139" s="1">
        <v>1.5</v>
      </c>
      <c r="H139" s="1" t="s">
        <v>428</v>
      </c>
      <c r="I139" s="1" t="s">
        <v>429</v>
      </c>
      <c r="K139" s="1" t="b">
        <v>1</v>
      </c>
    </row>
    <row r="140">
      <c r="A140" s="4" t="s">
        <v>432</v>
      </c>
      <c r="B140" s="4" t="s">
        <v>367</v>
      </c>
      <c r="C140" s="1" t="s">
        <v>157</v>
      </c>
      <c r="D140" s="2">
        <v>1.0</v>
      </c>
      <c r="E140" s="1" t="s">
        <v>27</v>
      </c>
      <c r="F140" s="1">
        <v>1.5</v>
      </c>
      <c r="H140" s="1" t="s">
        <v>142</v>
      </c>
      <c r="I140" s="1" t="s">
        <v>433</v>
      </c>
      <c r="K140" s="1" t="b">
        <v>1</v>
      </c>
    </row>
    <row r="141">
      <c r="A141" s="4" t="s">
        <v>434</v>
      </c>
      <c r="B141" s="5" t="s">
        <v>435</v>
      </c>
      <c r="C141" s="1" t="s">
        <v>157</v>
      </c>
      <c r="D141" s="2" t="s">
        <v>58</v>
      </c>
      <c r="E141" s="1" t="s">
        <v>27</v>
      </c>
      <c r="F141" s="1">
        <v>1.0</v>
      </c>
      <c r="G141" s="1" t="s">
        <v>117</v>
      </c>
      <c r="H141" s="1" t="s">
        <v>60</v>
      </c>
      <c r="I141" s="1" t="s">
        <v>436</v>
      </c>
      <c r="K141" s="1" t="b">
        <v>1</v>
      </c>
    </row>
    <row r="142">
      <c r="A142" s="4" t="s">
        <v>437</v>
      </c>
      <c r="B142" s="4" t="s">
        <v>438</v>
      </c>
      <c r="C142" s="1" t="s">
        <v>157</v>
      </c>
      <c r="D142" s="2" t="s">
        <v>58</v>
      </c>
      <c r="E142" s="1" t="s">
        <v>27</v>
      </c>
      <c r="F142" s="1">
        <v>1.0</v>
      </c>
      <c r="G142" s="1" t="s">
        <v>117</v>
      </c>
      <c r="H142" s="1" t="s">
        <v>60</v>
      </c>
      <c r="I142" s="1" t="s">
        <v>436</v>
      </c>
      <c r="K142" s="1" t="b">
        <v>1</v>
      </c>
    </row>
    <row r="143">
      <c r="A143" s="4" t="s">
        <v>439</v>
      </c>
      <c r="B143" s="4" t="s">
        <v>440</v>
      </c>
      <c r="C143" s="1" t="s">
        <v>157</v>
      </c>
      <c r="D143" s="2" t="s">
        <v>58</v>
      </c>
      <c r="E143" s="1" t="s">
        <v>27</v>
      </c>
      <c r="F143" s="1">
        <v>0.5</v>
      </c>
      <c r="G143" s="1" t="s">
        <v>137</v>
      </c>
      <c r="H143" s="1"/>
      <c r="I143" s="1"/>
      <c r="K143" s="1" t="b">
        <v>1</v>
      </c>
    </row>
    <row r="144">
      <c r="A144" s="4" t="s">
        <v>441</v>
      </c>
      <c r="B144" s="4" t="s">
        <v>442</v>
      </c>
      <c r="C144" s="1" t="s">
        <v>157</v>
      </c>
      <c r="D144" s="2" t="s">
        <v>58</v>
      </c>
      <c r="E144" s="1" t="s">
        <v>27</v>
      </c>
      <c r="F144" s="1">
        <v>0.5</v>
      </c>
      <c r="G144" s="1" t="s">
        <v>117</v>
      </c>
      <c r="H144" s="1"/>
      <c r="I144" s="1"/>
      <c r="K144" s="1" t="b">
        <v>1</v>
      </c>
    </row>
    <row r="145">
      <c r="A145" s="4" t="s">
        <v>443</v>
      </c>
      <c r="B145" s="4" t="s">
        <v>444</v>
      </c>
      <c r="C145" s="1" t="s">
        <v>157</v>
      </c>
      <c r="D145" s="2">
        <v>1.0</v>
      </c>
      <c r="E145" s="1" t="s">
        <v>73</v>
      </c>
      <c r="K145" s="1" t="b">
        <v>1</v>
      </c>
    </row>
    <row r="146">
      <c r="A146" s="4" t="s">
        <v>445</v>
      </c>
      <c r="B146" s="4" t="s">
        <v>446</v>
      </c>
      <c r="C146" s="1" t="s">
        <v>157</v>
      </c>
      <c r="D146" s="2">
        <v>1.0</v>
      </c>
      <c r="E146" s="1" t="s">
        <v>73</v>
      </c>
      <c r="K146" s="1" t="b">
        <v>1</v>
      </c>
    </row>
    <row r="147">
      <c r="A147" s="4" t="s">
        <v>447</v>
      </c>
      <c r="B147" s="4" t="s">
        <v>448</v>
      </c>
      <c r="C147" s="1" t="s">
        <v>157</v>
      </c>
      <c r="D147" s="2" t="s">
        <v>58</v>
      </c>
      <c r="E147" s="1" t="s">
        <v>73</v>
      </c>
      <c r="G147" s="1" t="s">
        <v>141</v>
      </c>
      <c r="H147" s="1"/>
      <c r="I147" s="1"/>
      <c r="K147" s="1" t="b">
        <v>1</v>
      </c>
    </row>
    <row r="148">
      <c r="A148" s="4" t="s">
        <v>449</v>
      </c>
      <c r="B148" s="4" t="s">
        <v>392</v>
      </c>
      <c r="C148" s="1" t="s">
        <v>157</v>
      </c>
      <c r="D148" s="2" t="s">
        <v>58</v>
      </c>
      <c r="E148" s="1" t="s">
        <v>73</v>
      </c>
      <c r="G148" s="1" t="s">
        <v>117</v>
      </c>
      <c r="H148" s="1"/>
      <c r="I148" s="1"/>
      <c r="K148" s="1" t="b">
        <v>1</v>
      </c>
    </row>
    <row r="149">
      <c r="A149" s="4" t="s">
        <v>450</v>
      </c>
      <c r="B149" s="4" t="s">
        <v>451</v>
      </c>
      <c r="C149" s="1" t="s">
        <v>157</v>
      </c>
      <c r="D149" s="2" t="s">
        <v>58</v>
      </c>
      <c r="E149" s="1" t="s">
        <v>73</v>
      </c>
      <c r="G149" s="1" t="s">
        <v>141</v>
      </c>
      <c r="H149" s="1"/>
      <c r="I149" s="1"/>
      <c r="K149" s="1" t="b">
        <v>1</v>
      </c>
    </row>
    <row r="150">
      <c r="A150" s="4" t="s">
        <v>453</v>
      </c>
      <c r="B150" s="5" t="s">
        <v>454</v>
      </c>
      <c r="C150" s="1" t="s">
        <v>157</v>
      </c>
      <c r="D150" s="2" t="s">
        <v>58</v>
      </c>
      <c r="E150" s="1" t="s">
        <v>73</v>
      </c>
      <c r="G150" s="1" t="s">
        <v>141</v>
      </c>
      <c r="H150" s="1" t="s">
        <v>455</v>
      </c>
      <c r="K150" s="1" t="b">
        <v>1</v>
      </c>
    </row>
    <row r="151">
      <c r="A151" s="4" t="s">
        <v>456</v>
      </c>
      <c r="B151" s="4" t="s">
        <v>334</v>
      </c>
      <c r="C151" s="1" t="s">
        <v>157</v>
      </c>
      <c r="D151" s="2" t="s">
        <v>58</v>
      </c>
      <c r="E151" s="1" t="s">
        <v>73</v>
      </c>
      <c r="H151" s="1" t="s">
        <v>211</v>
      </c>
      <c r="K151" s="1" t="b">
        <v>1</v>
      </c>
    </row>
    <row r="152">
      <c r="A152" s="4" t="s">
        <v>457</v>
      </c>
      <c r="B152" s="4" t="s">
        <v>458</v>
      </c>
      <c r="C152" s="1" t="s">
        <v>168</v>
      </c>
      <c r="D152" s="2">
        <v>2.0</v>
      </c>
      <c r="F152" s="1">
        <v>4.0</v>
      </c>
      <c r="H152" s="4" t="s">
        <v>51</v>
      </c>
      <c r="I152" s="4" t="s">
        <v>459</v>
      </c>
      <c r="J152" s="4"/>
      <c r="K152" s="1" t="b">
        <v>1</v>
      </c>
    </row>
    <row r="153">
      <c r="A153" s="4" t="s">
        <v>460</v>
      </c>
      <c r="B153" s="4" t="s">
        <v>461</v>
      </c>
      <c r="C153" s="1" t="s">
        <v>168</v>
      </c>
      <c r="D153" s="2">
        <v>1.0</v>
      </c>
      <c r="E153" s="1" t="s">
        <v>27</v>
      </c>
      <c r="F153" s="1">
        <v>2.0</v>
      </c>
      <c r="K153" s="1" t="b">
        <v>1</v>
      </c>
    </row>
    <row r="154">
      <c r="A154" s="4" t="s">
        <v>462</v>
      </c>
      <c r="B154" s="5" t="s">
        <v>463</v>
      </c>
      <c r="C154" s="1" t="s">
        <v>168</v>
      </c>
      <c r="D154" s="2">
        <v>1.0</v>
      </c>
      <c r="E154" s="1" t="s">
        <v>27</v>
      </c>
      <c r="F154" s="1">
        <v>2.0</v>
      </c>
      <c r="K154" s="1" t="b">
        <v>1</v>
      </c>
    </row>
    <row r="155">
      <c r="A155" s="4" t="s">
        <v>464</v>
      </c>
      <c r="B155" s="4" t="s">
        <v>465</v>
      </c>
      <c r="C155" s="1" t="s">
        <v>168</v>
      </c>
      <c r="D155" s="2">
        <v>1.0</v>
      </c>
      <c r="E155" s="1" t="s">
        <v>27</v>
      </c>
      <c r="F155" s="1">
        <v>2.0</v>
      </c>
      <c r="K155" s="1" t="b">
        <v>1</v>
      </c>
    </row>
    <row r="156">
      <c r="A156" s="4" t="s">
        <v>466</v>
      </c>
      <c r="B156" s="4" t="s">
        <v>467</v>
      </c>
      <c r="C156" s="1" t="s">
        <v>168</v>
      </c>
      <c r="D156" s="2">
        <v>1.0</v>
      </c>
      <c r="E156" s="1" t="s">
        <v>27</v>
      </c>
      <c r="F156" s="1">
        <v>1.5</v>
      </c>
      <c r="H156" s="1" t="s">
        <v>60</v>
      </c>
      <c r="I156" s="1" t="s">
        <v>468</v>
      </c>
      <c r="K156" s="1" t="b">
        <v>1</v>
      </c>
    </row>
    <row r="157">
      <c r="A157" s="4" t="s">
        <v>469</v>
      </c>
      <c r="B157" s="4" t="s">
        <v>470</v>
      </c>
      <c r="C157" s="1" t="s">
        <v>168</v>
      </c>
      <c r="D157" s="2" t="s">
        <v>58</v>
      </c>
      <c r="E157" s="1" t="s">
        <v>27</v>
      </c>
      <c r="F157" s="1">
        <v>0.5</v>
      </c>
      <c r="G157" s="1" t="s">
        <v>185</v>
      </c>
      <c r="H157" s="1"/>
      <c r="I157" s="1"/>
      <c r="K157" s="6" t="b">
        <v>0</v>
      </c>
    </row>
    <row r="158">
      <c r="A158" s="4" t="s">
        <v>471</v>
      </c>
      <c r="B158" s="5" t="s">
        <v>472</v>
      </c>
      <c r="C158" s="1" t="s">
        <v>168</v>
      </c>
      <c r="D158" s="2" t="s">
        <v>58</v>
      </c>
      <c r="E158" s="1" t="s">
        <v>27</v>
      </c>
      <c r="F158" s="1">
        <v>0.5</v>
      </c>
      <c r="G158" s="1" t="s">
        <v>185</v>
      </c>
      <c r="H158" s="1"/>
      <c r="I158" s="1"/>
      <c r="K158" s="6" t="b">
        <v>0</v>
      </c>
    </row>
    <row r="159">
      <c r="A159" s="4" t="s">
        <v>473</v>
      </c>
      <c r="B159" s="5" t="s">
        <v>474</v>
      </c>
      <c r="C159" s="1" t="s">
        <v>168</v>
      </c>
      <c r="D159" s="2" t="s">
        <v>58</v>
      </c>
      <c r="E159" s="1" t="s">
        <v>27</v>
      </c>
      <c r="F159" s="1">
        <v>0.5</v>
      </c>
      <c r="G159" s="1" t="s">
        <v>117</v>
      </c>
      <c r="H159" s="1" t="s">
        <v>428</v>
      </c>
      <c r="I159" s="1" t="s">
        <v>100</v>
      </c>
      <c r="K159" s="6" t="b">
        <v>0</v>
      </c>
    </row>
    <row r="160">
      <c r="A160" s="4" t="s">
        <v>475</v>
      </c>
      <c r="B160" s="4" t="s">
        <v>476</v>
      </c>
      <c r="C160" s="1" t="s">
        <v>168</v>
      </c>
      <c r="D160" s="2">
        <v>1.0</v>
      </c>
      <c r="E160" s="1" t="s">
        <v>73</v>
      </c>
      <c r="K160" s="1" t="b">
        <v>1</v>
      </c>
    </row>
    <row r="161">
      <c r="A161" s="4" t="s">
        <v>477</v>
      </c>
      <c r="B161" s="4" t="s">
        <v>478</v>
      </c>
      <c r="C161" s="1" t="s">
        <v>168</v>
      </c>
      <c r="D161" s="2" t="s">
        <v>58</v>
      </c>
      <c r="E161" s="1" t="s">
        <v>73</v>
      </c>
      <c r="K161" s="1" t="b">
        <v>1</v>
      </c>
    </row>
    <row r="162">
      <c r="A162" s="4" t="s">
        <v>479</v>
      </c>
      <c r="B162" s="4" t="s">
        <v>480</v>
      </c>
      <c r="C162" s="1" t="s">
        <v>168</v>
      </c>
      <c r="D162" s="2" t="s">
        <v>58</v>
      </c>
      <c r="E162" s="1" t="s">
        <v>27</v>
      </c>
      <c r="G162" s="1" t="s">
        <v>137</v>
      </c>
      <c r="H162" s="1"/>
      <c r="I162" s="1"/>
      <c r="K162" s="1" t="b">
        <v>1</v>
      </c>
    </row>
    <row r="163">
      <c r="A163" s="4" t="s">
        <v>481</v>
      </c>
      <c r="B163" s="4" t="s">
        <v>482</v>
      </c>
      <c r="C163" s="1" t="s">
        <v>168</v>
      </c>
      <c r="D163" s="2" t="s">
        <v>58</v>
      </c>
      <c r="E163" s="1" t="s">
        <v>73</v>
      </c>
      <c r="G163" s="1" t="s">
        <v>141</v>
      </c>
      <c r="H163" s="1"/>
      <c r="I163" s="1"/>
      <c r="K163" s="1" t="b">
        <v>1</v>
      </c>
    </row>
    <row r="164">
      <c r="A164" s="4" t="s">
        <v>483</v>
      </c>
      <c r="B164" s="4" t="s">
        <v>484</v>
      </c>
      <c r="C164" s="1" t="s">
        <v>168</v>
      </c>
      <c r="D164" s="2" t="s">
        <v>58</v>
      </c>
      <c r="E164" s="1" t="s">
        <v>73</v>
      </c>
      <c r="G164" s="1" t="s">
        <v>141</v>
      </c>
      <c r="H164" s="1"/>
      <c r="I164" s="1"/>
      <c r="K164" s="1" t="b">
        <v>1</v>
      </c>
    </row>
    <row r="165">
      <c r="A165" s="4" t="s">
        <v>485</v>
      </c>
      <c r="B165" s="4" t="s">
        <v>486</v>
      </c>
      <c r="C165" s="1" t="s">
        <v>168</v>
      </c>
      <c r="D165" s="2" t="s">
        <v>58</v>
      </c>
      <c r="E165" s="1" t="s">
        <v>73</v>
      </c>
      <c r="G165" s="1" t="s">
        <v>141</v>
      </c>
      <c r="H165" s="1"/>
      <c r="I165" s="1"/>
      <c r="K165" s="1" t="b">
        <v>1</v>
      </c>
    </row>
    <row r="166">
      <c r="A166" s="4" t="s">
        <v>487</v>
      </c>
      <c r="B166" s="4" t="s">
        <v>488</v>
      </c>
      <c r="C166" s="1" t="s">
        <v>113</v>
      </c>
      <c r="D166" s="1" t="s">
        <v>489</v>
      </c>
      <c r="F166" s="1" t="s">
        <v>490</v>
      </c>
      <c r="K166" s="1" t="b">
        <v>1</v>
      </c>
    </row>
    <row r="167">
      <c r="A167" s="4" t="s">
        <v>491</v>
      </c>
      <c r="B167" s="4" t="s">
        <v>492</v>
      </c>
      <c r="C167" s="1" t="s">
        <v>113</v>
      </c>
      <c r="D167" s="1" t="s">
        <v>489</v>
      </c>
      <c r="F167" s="1" t="s">
        <v>490</v>
      </c>
      <c r="K167" s="1" t="b">
        <v>1</v>
      </c>
    </row>
    <row r="168">
      <c r="A168" s="4" t="s">
        <v>493</v>
      </c>
      <c r="B168" s="5" t="s">
        <v>494</v>
      </c>
      <c r="C168" s="1" t="s">
        <v>113</v>
      </c>
      <c r="D168" s="1" t="s">
        <v>489</v>
      </c>
      <c r="F168" s="1" t="s">
        <v>490</v>
      </c>
      <c r="K168" s="1" t="b">
        <v>1</v>
      </c>
    </row>
    <row r="169">
      <c r="A169" s="4" t="s">
        <v>495</v>
      </c>
      <c r="B169" s="4" t="s">
        <v>496</v>
      </c>
      <c r="C169" s="1" t="s">
        <v>113</v>
      </c>
      <c r="D169" s="1" t="s">
        <v>497</v>
      </c>
      <c r="F169" s="1" t="s">
        <v>490</v>
      </c>
      <c r="K169" s="1" t="b">
        <v>1</v>
      </c>
    </row>
    <row r="170">
      <c r="A170" s="4" t="s">
        <v>498</v>
      </c>
      <c r="B170" s="5" t="s">
        <v>499</v>
      </c>
      <c r="C170" s="1" t="s">
        <v>113</v>
      </c>
      <c r="D170" s="2" t="s">
        <v>500</v>
      </c>
      <c r="F170" s="1" t="s">
        <v>490</v>
      </c>
      <c r="K170" s="1" t="b">
        <v>1</v>
      </c>
    </row>
    <row r="171">
      <c r="A171" s="6" t="s">
        <v>501</v>
      </c>
      <c r="B171" s="6" t="s">
        <v>502</v>
      </c>
      <c r="C171" s="1" t="s">
        <v>113</v>
      </c>
      <c r="D171" s="2" t="s">
        <v>500</v>
      </c>
      <c r="F171" s="1" t="s">
        <v>490</v>
      </c>
      <c r="K171" s="1" t="b">
        <v>1</v>
      </c>
    </row>
    <row r="172">
      <c r="A172" s="4" t="s">
        <v>503</v>
      </c>
      <c r="B172" s="4" t="s">
        <v>504</v>
      </c>
      <c r="C172" s="1" t="s">
        <v>113</v>
      </c>
      <c r="D172" s="1" t="s">
        <v>489</v>
      </c>
      <c r="F172" s="1" t="s">
        <v>489</v>
      </c>
      <c r="J172" s="1" t="s">
        <v>73</v>
      </c>
      <c r="K172" s="6" t="b">
        <v>0</v>
      </c>
    </row>
    <row r="173">
      <c r="A173" s="4" t="s">
        <v>505</v>
      </c>
      <c r="B173" s="4" t="s">
        <v>506</v>
      </c>
      <c r="C173" s="1" t="s">
        <v>113</v>
      </c>
      <c r="D173" s="1" t="s">
        <v>497</v>
      </c>
      <c r="F173" s="1" t="s">
        <v>489</v>
      </c>
      <c r="K173" s="1" t="b">
        <v>1</v>
      </c>
    </row>
    <row r="174">
      <c r="A174" s="4" t="s">
        <v>507</v>
      </c>
      <c r="B174" s="4" t="s">
        <v>508</v>
      </c>
      <c r="C174" s="1" t="s">
        <v>113</v>
      </c>
      <c r="D174" s="1" t="s">
        <v>489</v>
      </c>
      <c r="F174" s="1" t="s">
        <v>509</v>
      </c>
      <c r="K174" s="1" t="b">
        <v>1</v>
      </c>
    </row>
    <row r="175">
      <c r="A175" s="4" t="s">
        <v>510</v>
      </c>
      <c r="B175" s="4" t="s">
        <v>511</v>
      </c>
      <c r="C175" s="1" t="s">
        <v>113</v>
      </c>
      <c r="D175" s="1" t="s">
        <v>489</v>
      </c>
      <c r="F175" s="1" t="s">
        <v>509</v>
      </c>
      <c r="K175" s="1" t="b">
        <v>1</v>
      </c>
    </row>
    <row r="176">
      <c r="A176" s="4" t="s">
        <v>512</v>
      </c>
      <c r="B176" s="4" t="s">
        <v>513</v>
      </c>
      <c r="C176" s="1" t="s">
        <v>113</v>
      </c>
      <c r="D176" s="1" t="s">
        <v>489</v>
      </c>
      <c r="F176" s="1" t="s">
        <v>509</v>
      </c>
      <c r="K176" s="1" t="b">
        <v>1</v>
      </c>
    </row>
    <row r="177">
      <c r="A177" s="4" t="s">
        <v>514</v>
      </c>
      <c r="B177" s="4" t="s">
        <v>515</v>
      </c>
      <c r="C177" s="1" t="s">
        <v>113</v>
      </c>
      <c r="D177" s="1" t="s">
        <v>497</v>
      </c>
      <c r="F177" s="1" t="s">
        <v>509</v>
      </c>
      <c r="K177" s="1" t="b">
        <v>1</v>
      </c>
    </row>
    <row r="178">
      <c r="A178" s="4" t="s">
        <v>516</v>
      </c>
      <c r="B178" s="4" t="s">
        <v>517</v>
      </c>
      <c r="C178" s="1" t="s">
        <v>113</v>
      </c>
      <c r="D178" s="1" t="s">
        <v>497</v>
      </c>
      <c r="F178" s="1" t="s">
        <v>509</v>
      </c>
      <c r="K178" s="1" t="b">
        <v>1</v>
      </c>
    </row>
    <row r="179">
      <c r="A179" s="4" t="s">
        <v>518</v>
      </c>
      <c r="B179" s="5" t="s">
        <v>519</v>
      </c>
      <c r="C179" s="1" t="s">
        <v>113</v>
      </c>
      <c r="D179" s="1" t="s">
        <v>497</v>
      </c>
      <c r="F179" s="1" t="s">
        <v>509</v>
      </c>
      <c r="K179" s="1" t="b">
        <v>1</v>
      </c>
    </row>
    <row r="180">
      <c r="A180" s="4" t="s">
        <v>520</v>
      </c>
      <c r="B180" s="4" t="s">
        <v>521</v>
      </c>
      <c r="C180" s="1" t="s">
        <v>113</v>
      </c>
      <c r="D180" s="1" t="s">
        <v>500</v>
      </c>
      <c r="F180" s="1" t="s">
        <v>509</v>
      </c>
      <c r="K180" s="1" t="b">
        <v>1</v>
      </c>
    </row>
    <row r="181">
      <c r="A181" s="6" t="s">
        <v>522</v>
      </c>
      <c r="B181" s="6" t="s">
        <v>523</v>
      </c>
      <c r="C181" s="1" t="s">
        <v>113</v>
      </c>
      <c r="D181" s="2" t="s">
        <v>497</v>
      </c>
      <c r="F181" s="1" t="s">
        <v>524</v>
      </c>
      <c r="J181" s="1" t="s">
        <v>73</v>
      </c>
      <c r="K181" s="1" t="b">
        <v>0</v>
      </c>
    </row>
    <row r="182">
      <c r="A182" s="4" t="s">
        <v>525</v>
      </c>
      <c r="B182" s="5" t="s">
        <v>526</v>
      </c>
      <c r="C182" s="1" t="s">
        <v>113</v>
      </c>
      <c r="D182" s="1" t="s">
        <v>489</v>
      </c>
      <c r="F182" s="1" t="s">
        <v>527</v>
      </c>
      <c r="K182" s="1" t="b">
        <v>1</v>
      </c>
    </row>
    <row r="183">
      <c r="A183" s="4" t="s">
        <v>528</v>
      </c>
      <c r="B183" s="4" t="s">
        <v>529</v>
      </c>
      <c r="C183" s="1" t="s">
        <v>113</v>
      </c>
      <c r="D183" s="1" t="s">
        <v>489</v>
      </c>
      <c r="F183" s="1" t="s">
        <v>527</v>
      </c>
      <c r="K183" s="1" t="b">
        <v>1</v>
      </c>
    </row>
    <row r="184">
      <c r="A184" s="4" t="s">
        <v>530</v>
      </c>
      <c r="B184" s="5" t="s">
        <v>531</v>
      </c>
      <c r="C184" s="1" t="s">
        <v>113</v>
      </c>
      <c r="D184" s="1" t="s">
        <v>497</v>
      </c>
      <c r="F184" s="1" t="s">
        <v>527</v>
      </c>
      <c r="J184" s="1" t="s">
        <v>73</v>
      </c>
      <c r="K184" s="6" t="b">
        <v>0</v>
      </c>
    </row>
    <row r="185">
      <c r="A185" s="4" t="s">
        <v>532</v>
      </c>
      <c r="B185" s="4" t="s">
        <v>533</v>
      </c>
      <c r="C185" s="1" t="s">
        <v>113</v>
      </c>
      <c r="D185" s="1" t="s">
        <v>497</v>
      </c>
      <c r="F185" s="1" t="s">
        <v>527</v>
      </c>
      <c r="J185" s="1" t="s">
        <v>73</v>
      </c>
      <c r="K185" s="6" t="b">
        <v>0</v>
      </c>
    </row>
    <row r="186">
      <c r="A186" s="4" t="s">
        <v>534</v>
      </c>
      <c r="B186" s="4" t="s">
        <v>535</v>
      </c>
      <c r="C186" s="1" t="s">
        <v>113</v>
      </c>
      <c r="D186" s="1" t="s">
        <v>500</v>
      </c>
      <c r="F186" s="1" t="s">
        <v>527</v>
      </c>
      <c r="K186" s="1" t="b">
        <v>1</v>
      </c>
    </row>
    <row r="187">
      <c r="A187" s="4" t="s">
        <v>536</v>
      </c>
      <c r="B187" s="4" t="s">
        <v>537</v>
      </c>
      <c r="C187" s="1" t="s">
        <v>113</v>
      </c>
      <c r="D187" s="1" t="s">
        <v>500</v>
      </c>
      <c r="F187" s="1" t="s">
        <v>527</v>
      </c>
      <c r="K187" s="1" t="b">
        <v>1</v>
      </c>
    </row>
    <row r="188">
      <c r="A188" s="6" t="s">
        <v>538</v>
      </c>
      <c r="B188" s="6" t="s">
        <v>539</v>
      </c>
      <c r="C188" s="1" t="s">
        <v>113</v>
      </c>
      <c r="D188" s="2" t="s">
        <v>500</v>
      </c>
      <c r="F188" s="1" t="s">
        <v>527</v>
      </c>
      <c r="K188" s="1" t="b">
        <v>1</v>
      </c>
    </row>
    <row r="189">
      <c r="A189" s="4" t="s">
        <v>540</v>
      </c>
      <c r="B189" s="5" t="s">
        <v>541</v>
      </c>
      <c r="C189" s="1" t="s">
        <v>113</v>
      </c>
      <c r="D189" s="1" t="s">
        <v>497</v>
      </c>
      <c r="F189" s="1" t="s">
        <v>185</v>
      </c>
      <c r="J189" s="1" t="s">
        <v>73</v>
      </c>
      <c r="K189" s="6" t="b">
        <v>0</v>
      </c>
    </row>
    <row r="190">
      <c r="A190" s="4" t="s">
        <v>542</v>
      </c>
      <c r="B190" s="4" t="s">
        <v>543</v>
      </c>
      <c r="C190" s="1" t="s">
        <v>113</v>
      </c>
      <c r="D190" s="1" t="s">
        <v>497</v>
      </c>
      <c r="F190" s="1" t="s">
        <v>185</v>
      </c>
      <c r="K190" s="1" t="b">
        <v>1</v>
      </c>
    </row>
    <row r="191">
      <c r="A191" s="4" t="s">
        <v>545</v>
      </c>
      <c r="B191" s="4" t="s">
        <v>546</v>
      </c>
      <c r="C191" s="1" t="s">
        <v>113</v>
      </c>
      <c r="D191" s="1" t="s">
        <v>500</v>
      </c>
      <c r="F191" s="1" t="s">
        <v>185</v>
      </c>
      <c r="K191" s="1" t="b">
        <v>1</v>
      </c>
    </row>
    <row r="192">
      <c r="A192" s="4" t="s">
        <v>547</v>
      </c>
      <c r="B192" s="4" t="s">
        <v>548</v>
      </c>
      <c r="C192" s="1" t="s">
        <v>113</v>
      </c>
      <c r="D192" s="1" t="s">
        <v>489</v>
      </c>
      <c r="F192" s="1" t="s">
        <v>141</v>
      </c>
      <c r="J192" s="1" t="s">
        <v>73</v>
      </c>
      <c r="K192" s="6" t="b">
        <v>0</v>
      </c>
    </row>
    <row r="193">
      <c r="A193" s="6" t="s">
        <v>549</v>
      </c>
      <c r="B193" s="6" t="s">
        <v>550</v>
      </c>
      <c r="C193" s="1" t="s">
        <v>113</v>
      </c>
      <c r="D193" s="2" t="s">
        <v>500</v>
      </c>
      <c r="F193" s="1" t="s">
        <v>141</v>
      </c>
      <c r="K193" s="1" t="b">
        <v>1</v>
      </c>
    </row>
    <row r="194">
      <c r="A194" s="4" t="s">
        <v>551</v>
      </c>
      <c r="B194" s="4" t="s">
        <v>552</v>
      </c>
      <c r="C194" s="1" t="s">
        <v>113</v>
      </c>
      <c r="D194" s="1" t="s">
        <v>497</v>
      </c>
      <c r="F194" s="1" t="s">
        <v>553</v>
      </c>
      <c r="K194" s="1" t="b">
        <v>1</v>
      </c>
    </row>
    <row r="195">
      <c r="A195" s="4" t="s">
        <v>554</v>
      </c>
      <c r="B195" s="4" t="s">
        <v>555</v>
      </c>
      <c r="C195" s="1" t="s">
        <v>113</v>
      </c>
      <c r="D195" s="1" t="s">
        <v>497</v>
      </c>
      <c r="F195" s="1" t="s">
        <v>553</v>
      </c>
      <c r="K195" s="1" t="b">
        <v>1</v>
      </c>
    </row>
    <row r="196">
      <c r="A196" s="4" t="s">
        <v>556</v>
      </c>
      <c r="B196" s="4" t="s">
        <v>557</v>
      </c>
      <c r="C196" s="1" t="s">
        <v>113</v>
      </c>
      <c r="D196" s="1" t="s">
        <v>500</v>
      </c>
      <c r="F196" s="1" t="s">
        <v>553</v>
      </c>
      <c r="K196" s="1" t="b">
        <v>1</v>
      </c>
    </row>
    <row r="197">
      <c r="A197" s="6" t="s">
        <v>558</v>
      </c>
      <c r="B197" s="6" t="s">
        <v>559</v>
      </c>
      <c r="C197" s="1" t="s">
        <v>113</v>
      </c>
      <c r="D197" s="2" t="s">
        <v>500</v>
      </c>
      <c r="F197" s="1" t="s">
        <v>553</v>
      </c>
      <c r="K197" s="1" t="b">
        <v>1</v>
      </c>
    </row>
    <row r="198">
      <c r="A198" s="4" t="s">
        <v>560</v>
      </c>
      <c r="B198" s="4" t="s">
        <v>561</v>
      </c>
      <c r="C198" s="1" t="s">
        <v>93</v>
      </c>
      <c r="D198" s="2">
        <v>2.0</v>
      </c>
      <c r="F198" s="1">
        <v>4.0</v>
      </c>
      <c r="H198" s="4" t="s">
        <v>51</v>
      </c>
      <c r="I198" s="5" t="s">
        <v>562</v>
      </c>
      <c r="J198" s="4"/>
      <c r="K198" s="1" t="b">
        <v>1</v>
      </c>
    </row>
    <row r="199">
      <c r="A199" s="4" t="s">
        <v>563</v>
      </c>
      <c r="B199" s="4" t="s">
        <v>564</v>
      </c>
      <c r="C199" s="1" t="s">
        <v>93</v>
      </c>
      <c r="D199" s="2">
        <v>2.0</v>
      </c>
      <c r="F199" s="1">
        <v>3.0</v>
      </c>
      <c r="K199" s="1" t="b">
        <v>1</v>
      </c>
    </row>
    <row r="200">
      <c r="A200" s="4" t="s">
        <v>565</v>
      </c>
      <c r="B200" s="4" t="s">
        <v>566</v>
      </c>
      <c r="C200" s="1" t="s">
        <v>93</v>
      </c>
      <c r="D200" s="2">
        <v>1.0</v>
      </c>
      <c r="E200" s="1" t="s">
        <v>27</v>
      </c>
      <c r="F200" s="1">
        <v>2.0</v>
      </c>
      <c r="H200" s="4" t="s">
        <v>99</v>
      </c>
      <c r="I200" s="4" t="s">
        <v>567</v>
      </c>
      <c r="J200" s="4"/>
      <c r="K200" s="1" t="b">
        <v>1</v>
      </c>
    </row>
    <row r="201">
      <c r="A201" s="4" t="s">
        <v>568</v>
      </c>
      <c r="B201" s="4" t="s">
        <v>569</v>
      </c>
      <c r="C201" s="1" t="s">
        <v>93</v>
      </c>
      <c r="D201" s="2">
        <v>1.0</v>
      </c>
      <c r="E201" s="1" t="s">
        <v>27</v>
      </c>
      <c r="F201" s="1">
        <v>2.0</v>
      </c>
      <c r="K201" s="1" t="b">
        <v>1</v>
      </c>
    </row>
    <row r="202">
      <c r="A202" s="4" t="s">
        <v>570</v>
      </c>
      <c r="B202" s="4" t="s">
        <v>571</v>
      </c>
      <c r="C202" s="1" t="s">
        <v>93</v>
      </c>
      <c r="D202" s="2">
        <v>1.0</v>
      </c>
      <c r="E202" s="1" t="s">
        <v>27</v>
      </c>
      <c r="F202" s="1">
        <v>2.0</v>
      </c>
      <c r="I202" s="1" t="s">
        <v>572</v>
      </c>
      <c r="K202" s="1" t="b">
        <v>1</v>
      </c>
    </row>
    <row r="203">
      <c r="A203" s="4" t="s">
        <v>573</v>
      </c>
      <c r="B203" s="5" t="s">
        <v>574</v>
      </c>
      <c r="C203" s="1" t="s">
        <v>93</v>
      </c>
      <c r="D203" s="2">
        <v>1.0</v>
      </c>
      <c r="E203" s="1" t="s">
        <v>27</v>
      </c>
      <c r="F203" s="1">
        <v>2.0</v>
      </c>
      <c r="I203" s="1" t="s">
        <v>572</v>
      </c>
      <c r="K203" s="1" t="b">
        <v>1</v>
      </c>
    </row>
    <row r="204">
      <c r="A204" s="4" t="s">
        <v>575</v>
      </c>
      <c r="B204" s="5" t="s">
        <v>576</v>
      </c>
      <c r="C204" s="1" t="s">
        <v>93</v>
      </c>
      <c r="D204" s="2" t="s">
        <v>58</v>
      </c>
      <c r="E204" s="1" t="s">
        <v>27</v>
      </c>
      <c r="F204" s="1">
        <v>2.0</v>
      </c>
      <c r="G204" s="1" t="s">
        <v>185</v>
      </c>
      <c r="H204" s="1" t="s">
        <v>577</v>
      </c>
      <c r="I204" s="1"/>
      <c r="K204" s="1" t="b">
        <v>1</v>
      </c>
    </row>
    <row r="205">
      <c r="A205" s="4" t="s">
        <v>578</v>
      </c>
      <c r="B205" s="4" t="s">
        <v>579</v>
      </c>
      <c r="C205" s="1" t="s">
        <v>93</v>
      </c>
      <c r="D205" s="2" t="s">
        <v>58</v>
      </c>
      <c r="E205" s="1" t="s">
        <v>27</v>
      </c>
      <c r="F205" s="1">
        <v>2.0</v>
      </c>
      <c r="G205" s="1" t="s">
        <v>185</v>
      </c>
      <c r="H205" s="1" t="s">
        <v>577</v>
      </c>
      <c r="I205" s="1"/>
      <c r="K205" s="1" t="b">
        <v>1</v>
      </c>
    </row>
    <row r="206">
      <c r="A206" s="4" t="s">
        <v>580</v>
      </c>
      <c r="B206" s="4" t="s">
        <v>581</v>
      </c>
      <c r="C206" s="1" t="s">
        <v>93</v>
      </c>
      <c r="D206" s="2">
        <v>1.0</v>
      </c>
      <c r="E206" s="1" t="s">
        <v>27</v>
      </c>
      <c r="F206" s="1">
        <v>2.0</v>
      </c>
      <c r="H206" s="1" t="s">
        <v>99</v>
      </c>
      <c r="I206" s="1" t="s">
        <v>582</v>
      </c>
      <c r="K206" s="1" t="b">
        <v>1</v>
      </c>
    </row>
    <row r="207">
      <c r="A207" s="4" t="s">
        <v>583</v>
      </c>
      <c r="B207" s="4" t="s">
        <v>584</v>
      </c>
      <c r="C207" s="1" t="s">
        <v>93</v>
      </c>
      <c r="D207" s="2">
        <v>2.0</v>
      </c>
      <c r="F207" s="1">
        <v>2.0</v>
      </c>
      <c r="K207" s="1" t="b">
        <v>1</v>
      </c>
    </row>
    <row r="208">
      <c r="A208" s="4" t="s">
        <v>585</v>
      </c>
      <c r="B208" s="4" t="s">
        <v>586</v>
      </c>
      <c r="C208" s="1" t="s">
        <v>93</v>
      </c>
      <c r="D208" s="2">
        <v>1.0</v>
      </c>
      <c r="E208" s="1" t="s">
        <v>27</v>
      </c>
      <c r="F208" s="1">
        <v>1.5</v>
      </c>
      <c r="K208" s="1" t="b">
        <v>1</v>
      </c>
    </row>
    <row r="209">
      <c r="A209" s="4" t="s">
        <v>587</v>
      </c>
      <c r="B209" s="4" t="s">
        <v>242</v>
      </c>
      <c r="C209" s="1" t="s">
        <v>93</v>
      </c>
      <c r="D209" s="2">
        <v>1.0</v>
      </c>
      <c r="E209" s="1" t="s">
        <v>27</v>
      </c>
      <c r="F209" s="1">
        <v>1.5</v>
      </c>
      <c r="H209" s="1" t="s">
        <v>188</v>
      </c>
      <c r="I209" s="1" t="s">
        <v>588</v>
      </c>
      <c r="K209" s="1" t="b">
        <v>1</v>
      </c>
    </row>
    <row r="210">
      <c r="A210" s="4" t="s">
        <v>589</v>
      </c>
      <c r="B210" s="4" t="s">
        <v>590</v>
      </c>
      <c r="C210" s="1" t="s">
        <v>93</v>
      </c>
      <c r="D210" s="2">
        <v>1.0</v>
      </c>
      <c r="E210" s="1" t="s">
        <v>27</v>
      </c>
      <c r="F210" s="1">
        <v>1.5</v>
      </c>
      <c r="H210" s="1" t="s">
        <v>99</v>
      </c>
      <c r="K210" s="1" t="b">
        <v>1</v>
      </c>
    </row>
    <row r="211">
      <c r="A211" s="4" t="s">
        <v>591</v>
      </c>
      <c r="B211" s="4" t="s">
        <v>592</v>
      </c>
      <c r="C211" s="1" t="s">
        <v>93</v>
      </c>
      <c r="D211" s="2" t="s">
        <v>58</v>
      </c>
      <c r="E211" s="1" t="s">
        <v>27</v>
      </c>
      <c r="F211" s="1">
        <v>1.0</v>
      </c>
      <c r="G211" s="1" t="s">
        <v>117</v>
      </c>
      <c r="H211" s="1" t="s">
        <v>99</v>
      </c>
      <c r="I211" s="1" t="s">
        <v>593</v>
      </c>
      <c r="K211" s="1" t="b">
        <v>1</v>
      </c>
    </row>
    <row r="212">
      <c r="A212" s="4" t="s">
        <v>594</v>
      </c>
      <c r="B212" s="5" t="s">
        <v>273</v>
      </c>
      <c r="C212" s="1" t="s">
        <v>93</v>
      </c>
      <c r="D212" s="2" t="s">
        <v>58</v>
      </c>
      <c r="E212" s="1" t="s">
        <v>27</v>
      </c>
      <c r="F212" s="1">
        <v>1.0</v>
      </c>
      <c r="G212" s="1" t="s">
        <v>117</v>
      </c>
      <c r="H212" s="1" t="s">
        <v>99</v>
      </c>
      <c r="I212" s="1" t="s">
        <v>593</v>
      </c>
      <c r="K212" s="1" t="b">
        <v>1</v>
      </c>
    </row>
    <row r="213">
      <c r="A213" s="4" t="s">
        <v>595</v>
      </c>
      <c r="B213" s="4" t="s">
        <v>151</v>
      </c>
      <c r="C213" s="1" t="s">
        <v>93</v>
      </c>
      <c r="D213" s="2">
        <v>1.0</v>
      </c>
      <c r="E213" s="1" t="s">
        <v>27</v>
      </c>
      <c r="F213" s="1">
        <v>1.0</v>
      </c>
      <c r="H213" s="1" t="s">
        <v>60</v>
      </c>
      <c r="I213" s="1" t="s">
        <v>596</v>
      </c>
      <c r="K213" s="1" t="b">
        <v>1</v>
      </c>
    </row>
    <row r="214">
      <c r="A214" s="4" t="s">
        <v>597</v>
      </c>
      <c r="B214" s="4" t="s">
        <v>598</v>
      </c>
      <c r="C214" s="1" t="s">
        <v>93</v>
      </c>
      <c r="D214" s="2" t="s">
        <v>58</v>
      </c>
      <c r="E214" s="1" t="s">
        <v>73</v>
      </c>
      <c r="G214" s="1" t="s">
        <v>27</v>
      </c>
      <c r="H214" s="1"/>
      <c r="I214" s="1"/>
      <c r="K214" s="1" t="b">
        <v>1</v>
      </c>
    </row>
    <row r="215">
      <c r="A215" s="4" t="s">
        <v>599</v>
      </c>
      <c r="B215" s="4" t="s">
        <v>600</v>
      </c>
      <c r="C215" s="1" t="s">
        <v>93</v>
      </c>
      <c r="D215" s="2">
        <v>1.0</v>
      </c>
      <c r="E215" s="1" t="s">
        <v>73</v>
      </c>
      <c r="K215" s="1" t="b">
        <v>1</v>
      </c>
    </row>
    <row r="216">
      <c r="A216" s="4" t="s">
        <v>601</v>
      </c>
      <c r="B216" s="4" t="s">
        <v>602</v>
      </c>
      <c r="C216" s="1" t="s">
        <v>93</v>
      </c>
      <c r="D216" s="2" t="s">
        <v>58</v>
      </c>
      <c r="E216" s="1" t="s">
        <v>73</v>
      </c>
      <c r="K216" s="1" t="b">
        <v>1</v>
      </c>
    </row>
    <row r="217">
      <c r="A217" s="4" t="s">
        <v>603</v>
      </c>
      <c r="B217" s="4" t="s">
        <v>604</v>
      </c>
      <c r="C217" s="1" t="s">
        <v>93</v>
      </c>
      <c r="D217" s="2">
        <v>1.0</v>
      </c>
      <c r="E217" s="1" t="s">
        <v>73</v>
      </c>
      <c r="K217" s="1" t="b">
        <v>1</v>
      </c>
    </row>
    <row r="218">
      <c r="A218" s="4" t="s">
        <v>605</v>
      </c>
      <c r="B218" s="4" t="s">
        <v>606</v>
      </c>
      <c r="C218" s="1" t="s">
        <v>93</v>
      </c>
      <c r="D218" s="2" t="s">
        <v>58</v>
      </c>
      <c r="E218" s="1" t="s">
        <v>73</v>
      </c>
      <c r="G218" s="1" t="s">
        <v>141</v>
      </c>
      <c r="H218" s="1"/>
      <c r="I218" s="1"/>
      <c r="K218" s="1" t="b">
        <v>1</v>
      </c>
    </row>
    <row r="219">
      <c r="A219" s="4" t="s">
        <v>607</v>
      </c>
      <c r="B219" s="4" t="s">
        <v>608</v>
      </c>
      <c r="C219" s="1" t="s">
        <v>93</v>
      </c>
      <c r="D219" s="2" t="s">
        <v>58</v>
      </c>
      <c r="E219" s="1" t="s">
        <v>73</v>
      </c>
      <c r="G219" s="1" t="s">
        <v>141</v>
      </c>
      <c r="H219" s="1"/>
      <c r="I219" s="1"/>
      <c r="K219" s="1" t="b">
        <v>1</v>
      </c>
    </row>
    <row r="220">
      <c r="A220" s="4" t="s">
        <v>609</v>
      </c>
      <c r="B220" s="4" t="s">
        <v>610</v>
      </c>
      <c r="C220" s="1" t="s">
        <v>93</v>
      </c>
      <c r="D220" s="2" t="s">
        <v>58</v>
      </c>
      <c r="E220" s="1" t="s">
        <v>73</v>
      </c>
      <c r="K220" s="1" t="b">
        <v>1</v>
      </c>
    </row>
    <row r="221">
      <c r="A221" s="4" t="s">
        <v>611</v>
      </c>
      <c r="B221" s="4" t="s">
        <v>612</v>
      </c>
      <c r="C221" s="1" t="s">
        <v>93</v>
      </c>
      <c r="D221" s="2">
        <v>1.0</v>
      </c>
      <c r="E221" s="1" t="s">
        <v>27</v>
      </c>
      <c r="K221" s="1" t="b">
        <v>1</v>
      </c>
    </row>
    <row r="222">
      <c r="A222" s="4" t="s">
        <v>613</v>
      </c>
      <c r="B222" s="4" t="s">
        <v>614</v>
      </c>
      <c r="C222" s="1" t="s">
        <v>93</v>
      </c>
      <c r="D222" s="2" t="s">
        <v>58</v>
      </c>
      <c r="E222" s="1" t="s">
        <v>73</v>
      </c>
      <c r="K222" s="1" t="b">
        <v>1</v>
      </c>
    </row>
    <row r="223">
      <c r="A223" s="4" t="s">
        <v>615</v>
      </c>
      <c r="B223" s="4" t="s">
        <v>25</v>
      </c>
      <c r="C223" s="1" t="s">
        <v>93</v>
      </c>
      <c r="D223" s="2" t="s">
        <v>58</v>
      </c>
      <c r="E223" s="1" t="s">
        <v>73</v>
      </c>
      <c r="G223" s="1" t="s">
        <v>141</v>
      </c>
      <c r="H223" s="1" t="s">
        <v>60</v>
      </c>
      <c r="K223" s="1" t="b">
        <v>1</v>
      </c>
    </row>
    <row r="224">
      <c r="A224" s="4" t="s">
        <v>616</v>
      </c>
      <c r="B224" s="4" t="s">
        <v>617</v>
      </c>
      <c r="C224" s="1" t="s">
        <v>93</v>
      </c>
      <c r="D224" s="2" t="s">
        <v>58</v>
      </c>
      <c r="E224" s="1" t="s">
        <v>73</v>
      </c>
      <c r="K224" s="1" t="b">
        <v>1</v>
      </c>
    </row>
    <row r="225">
      <c r="A225" s="4" t="s">
        <v>618</v>
      </c>
      <c r="B225" s="4" t="s">
        <v>619</v>
      </c>
      <c r="C225" s="1" t="s">
        <v>93</v>
      </c>
      <c r="D225" s="2">
        <v>1.0</v>
      </c>
      <c r="E225" s="1" t="s">
        <v>73</v>
      </c>
      <c r="I225" s="1" t="s">
        <v>298</v>
      </c>
      <c r="K225" s="1" t="b">
        <v>1</v>
      </c>
    </row>
    <row r="226">
      <c r="A226" s="4" t="s">
        <v>620</v>
      </c>
      <c r="B226" s="4" t="s">
        <v>199</v>
      </c>
      <c r="C226" s="1" t="s">
        <v>93</v>
      </c>
      <c r="D226" s="2" t="s">
        <v>58</v>
      </c>
      <c r="E226" s="1" t="s">
        <v>73</v>
      </c>
      <c r="I226" s="1" t="s">
        <v>621</v>
      </c>
      <c r="K226" s="1" t="b">
        <v>1</v>
      </c>
    </row>
    <row r="227">
      <c r="A227" s="4" t="s">
        <v>622</v>
      </c>
      <c r="B227" s="4" t="s">
        <v>623</v>
      </c>
      <c r="C227" s="1" t="s">
        <v>93</v>
      </c>
      <c r="D227" s="2" t="s">
        <v>58</v>
      </c>
      <c r="E227" s="1" t="s">
        <v>73</v>
      </c>
      <c r="H227" s="1" t="s">
        <v>428</v>
      </c>
      <c r="K227" s="1" t="b">
        <v>1</v>
      </c>
    </row>
    <row r="228">
      <c r="A228" s="4" t="s">
        <v>624</v>
      </c>
      <c r="B228" s="4" t="s">
        <v>625</v>
      </c>
      <c r="C228" s="1" t="s">
        <v>93</v>
      </c>
      <c r="D228" s="2" t="s">
        <v>58</v>
      </c>
      <c r="E228" s="1" t="s">
        <v>73</v>
      </c>
      <c r="G228" s="1" t="s">
        <v>27</v>
      </c>
      <c r="H228" s="1" t="s">
        <v>34</v>
      </c>
      <c r="I228" s="1" t="s">
        <v>626</v>
      </c>
      <c r="K228" s="1" t="b">
        <v>1</v>
      </c>
    </row>
    <row r="229">
      <c r="A229" s="4" t="s">
        <v>627</v>
      </c>
      <c r="B229" s="4" t="s">
        <v>628</v>
      </c>
      <c r="C229" s="1" t="s">
        <v>93</v>
      </c>
      <c r="D229" s="2">
        <v>1.0</v>
      </c>
      <c r="E229" s="1" t="s">
        <v>27</v>
      </c>
      <c r="K229" s="1" t="b">
        <v>1</v>
      </c>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sheetData>
  <conditionalFormatting sqref="B1:B994">
    <cfRule type="expression" dxfId="0" priority="1">
      <formula>COUNTIF(B:B, B1) &gt;1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8</v>
      </c>
      <c r="I1" s="1" t="s">
        <v>10</v>
      </c>
      <c r="K1" s="1" t="s">
        <v>3</v>
      </c>
      <c r="L1" s="1" t="s">
        <v>12</v>
      </c>
      <c r="M1" s="1" t="s">
        <v>14</v>
      </c>
      <c r="N1" s="1" t="s">
        <v>16</v>
      </c>
      <c r="O1" s="1" t="s">
        <v>18</v>
      </c>
      <c r="P1" s="1" t="s">
        <v>20</v>
      </c>
      <c r="Q1" s="1" t="s">
        <v>21</v>
      </c>
    </row>
    <row r="2">
      <c r="C2" s="1" t="str">
        <f t="array" ref="C2">IF(NOT(ISBLANK($A2)), (_xlfn.XLOOKUP($A2,Index!$B$2:$B$995,Index!$C$2:$C$995,"Not Found")),"")</f>
        <v/>
      </c>
      <c r="D2" s="1" t="str">
        <f t="array" ref="D2">IF(NOT(ISBLANK(A2)), (_xlfn.XLOOKUP($A2,Index!$B$2:B$995,Index!$A$2:$A$995,"Not Found")),"")</f>
        <v/>
      </c>
      <c r="E2" s="2" t="str">
        <f t="array" ref="E2">IF(NOT(ISBLANK($A2)), (_xlfn.XLOOKUP($A2,Index!$B$2:$B$995,Index!$D$2:$D$995,"Not Found")),"")</f>
        <v/>
      </c>
      <c r="F2" s="1" t="str">
        <f t="array" ref="F2">IF(NOT(ISBLANK($A2)), (_xlfn.XLOOKUP($A2,Index!$B$2:$B$995,Index!$E$2:$E$995,"Not Found")),"")</f>
        <v/>
      </c>
      <c r="G2" s="1" t="str">
        <f t="array" ref="G2">IF(NOT(ISBLANK(A2)), ((_xlfn.XLOOKUP(A2,Index!$B$2:$B$995,Index!$F$2:$F$995,"Not Found"))*B2),"")</f>
        <v/>
      </c>
      <c r="I2" s="6">
        <f>SUM(B2:B38)</f>
        <v>0</v>
      </c>
      <c r="L2" s="6" t="str">
        <f t="shared" ref="L2:L6" si="1">IF(NOT(ISBLANK(K2)), SUM(M2:P2), "")</f>
        <v/>
      </c>
      <c r="M2" s="1" t="str">
        <f t="shared" ref="M2:M5" si="2">IF(NOT(ISBLANK($K2)), SUMIFS($B$2:$B$32, $E$2:$E$32, "B", $C$2:$C$32,$K2), "")</f>
        <v/>
      </c>
      <c r="N2" s="1" t="str">
        <f t="shared" ref="N2:N5" si="3">IF(NOT(ISBLANK($K2)),SUMIFS($B$2:$B$32,$E$2:$E$32, "1", $C$2:$C$32,$K2,$F$2:$F$32,"N"), "")</f>
        <v/>
      </c>
      <c r="O2" s="1" t="str">
        <f t="shared" ref="O2:O5" si="4">IF(NOT(ISBLANK($K2)),SUMIFS($B$2:$B$32,$E$2:$E$32, "1", $C$2:$C$32,$K2,$F$2:$F$32,"Y"), "")</f>
        <v/>
      </c>
      <c r="P2" s="1" t="str">
        <f t="shared" ref="P2:P5" si="5">IF(NOT(ISBLANK($K2)),SUMIFS($B$2:$B$32,$E$2:$E$32, "2", $C$2:$C$32,$K2), "")</f>
        <v/>
      </c>
      <c r="Q2" s="1" t="str">
        <f t="shared" ref="Q2:Q5" si="6">IF(NOT(ISBLANK($K2)),SUMIFS($B$2:$B$32,$E$2:$E$32, "B", $C$2:$C$32,$K2,$F$2:$F$32,"N"), "")</f>
        <v/>
      </c>
    </row>
    <row r="3">
      <c r="C3" s="1" t="str">
        <f t="array" ref="C3">IF(NOT(ISBLANK($A3)), (_xlfn.XLOOKUP($A3,Index!$B$2:$B$995,Index!$C$2:$C$995,"Not Found")),"")</f>
        <v/>
      </c>
      <c r="D3" s="1" t="str">
        <f t="array" ref="D3">IF(NOT(ISBLANK(A3)), (_xlfn.XLOOKUP($A3,Index!$B$2:B$995,Index!$A$2:$A$995,"Not Found")),"")</f>
        <v/>
      </c>
      <c r="E3" s="2" t="str">
        <f t="array" ref="E3">IF(NOT(ISBLANK($A3)), (_xlfn.XLOOKUP($A3,Index!$B$2:$B$995,Index!$D$2:$D$995,"Not Found")),"")</f>
        <v/>
      </c>
      <c r="F3" s="1" t="str">
        <f t="array" ref="F3">IF(NOT(ISBLANK($A3)), (_xlfn.XLOOKUP($A3,Index!$B$2:$B$995,Index!$E$2:$E$995,"Not Found")),"")</f>
        <v/>
      </c>
      <c r="G3" s="1" t="str">
        <f t="array" ref="G3">IF(NOT(ISBLANK(A3)), ((_xlfn.XLOOKUP(A3,Index!$B$2:$B$995,Index!$F$2:$F$995,"Not Found"))*B3),"")</f>
        <v/>
      </c>
      <c r="L3" s="6" t="str">
        <f t="shared" si="1"/>
        <v/>
      </c>
      <c r="M3" s="1" t="str">
        <f t="shared" si="2"/>
        <v/>
      </c>
      <c r="N3" s="1" t="str">
        <f t="shared" si="3"/>
        <v/>
      </c>
      <c r="O3" s="1" t="str">
        <f t="shared" si="4"/>
        <v/>
      </c>
      <c r="P3" s="1" t="str">
        <f t="shared" si="5"/>
        <v/>
      </c>
      <c r="Q3" s="1" t="str">
        <f t="shared" si="6"/>
        <v/>
      </c>
    </row>
    <row r="4">
      <c r="C4" s="1" t="str">
        <f t="array" ref="C4">IF(NOT(ISBLANK($A4)), (_xlfn.XLOOKUP($A4,Index!$B$2:$B$995,Index!$C$2:$C$995,"Not Found")),"")</f>
        <v/>
      </c>
      <c r="D4" s="1" t="str">
        <f t="array" ref="D4">IF(NOT(ISBLANK(A4)), (_xlfn.XLOOKUP($A4,Index!$B$2:B$995,Index!$A$2:$A$995,"Not Found")),"")</f>
        <v/>
      </c>
      <c r="E4" s="2" t="str">
        <f t="array" ref="E4">IF(NOT(ISBLANK($A4)), (_xlfn.XLOOKUP($A4,Index!$B$2:$B$995,Index!$D$2:$D$995,"Not Found")),"")</f>
        <v/>
      </c>
      <c r="F4" s="1" t="str">
        <f t="array" ref="F4">IF(NOT(ISBLANK($A4)), (_xlfn.XLOOKUP($A4,Index!$B$2:$B$995,Index!$E$2:$E$995,"Not Found")),"")</f>
        <v/>
      </c>
      <c r="G4" s="1" t="str">
        <f t="array" ref="G4">IF(NOT(ISBLANK(A4)), ((_xlfn.XLOOKUP(A4,Index!$B$2:$B$995,Index!$F$2:$F$995,"Not Found"))*B4),"")</f>
        <v/>
      </c>
      <c r="L4" s="6" t="str">
        <f t="shared" si="1"/>
        <v/>
      </c>
      <c r="M4" s="1" t="str">
        <f t="shared" si="2"/>
        <v/>
      </c>
      <c r="N4" s="1" t="str">
        <f t="shared" si="3"/>
        <v/>
      </c>
      <c r="O4" s="1" t="str">
        <f t="shared" si="4"/>
        <v/>
      </c>
      <c r="P4" s="1" t="str">
        <f t="shared" si="5"/>
        <v/>
      </c>
      <c r="Q4" s="1" t="str">
        <f t="shared" si="6"/>
        <v/>
      </c>
    </row>
    <row r="5">
      <c r="C5" s="1" t="str">
        <f t="array" ref="C5">IF(NOT(ISBLANK($A5)), (_xlfn.XLOOKUP($A5,Index!$B$2:$B$995,Index!$C$2:$C$995,"Not Found")),"")</f>
        <v/>
      </c>
      <c r="D5" s="1" t="str">
        <f t="array" ref="D5">IF(NOT(ISBLANK(A5)), (_xlfn.XLOOKUP($A5,Index!$B$2:B$995,Index!$A$2:$A$995,"Not Found")),"")</f>
        <v/>
      </c>
      <c r="E5" s="2" t="str">
        <f t="array" ref="E5">IF(NOT(ISBLANK($A5)), (_xlfn.XLOOKUP($A5,Index!$B$2:$B$995,Index!$D$2:$D$995,"Not Found")),"")</f>
        <v/>
      </c>
      <c r="F5" s="1" t="str">
        <f t="array" ref="F5">IF(NOT(ISBLANK($A5)), (_xlfn.XLOOKUP($A5,Index!$B$2:$B$995,Index!$E$2:$E$995,"Not Found")),"")</f>
        <v/>
      </c>
      <c r="G5" s="1" t="str">
        <f t="array" ref="G5">IF(NOT(ISBLANK(A5)), ((_xlfn.XLOOKUP(A5,Index!$B$2:$B$995,Index!$F$2:$F$995,"Not Found"))*B5),"")</f>
        <v/>
      </c>
      <c r="L5" s="6" t="str">
        <f t="shared" si="1"/>
        <v/>
      </c>
      <c r="M5" s="1" t="str">
        <f t="shared" si="2"/>
        <v/>
      </c>
      <c r="N5" s="1" t="str">
        <f t="shared" si="3"/>
        <v/>
      </c>
      <c r="O5" s="1" t="str">
        <f t="shared" si="4"/>
        <v/>
      </c>
      <c r="P5" s="1" t="str">
        <f t="shared" si="5"/>
        <v/>
      </c>
      <c r="Q5" s="1" t="str">
        <f t="shared" si="6"/>
        <v/>
      </c>
    </row>
    <row r="6">
      <c r="C6" s="1" t="str">
        <f t="array" ref="C6">IF(NOT(ISBLANK($A6)), (_xlfn.XLOOKUP($A6,Index!$B$2:$B$995,Index!$C$2:$C$995,"Not Found")),"")</f>
        <v/>
      </c>
      <c r="D6" s="1" t="str">
        <f t="array" ref="D6">IF(NOT(ISBLANK(A6)), (_xlfn.XLOOKUP($A6,Index!$B$2:B$995,Index!$A$2:$A$995,"Not Found")),"")</f>
        <v/>
      </c>
      <c r="E6" s="2" t="str">
        <f t="array" ref="E6">IF(NOT(ISBLANK($A6)), (_xlfn.XLOOKUP($A6,Index!$B$2:$B$995,Index!$D$2:$D$995,"Not Found")),"")</f>
        <v/>
      </c>
      <c r="F6" s="1" t="str">
        <f t="array" ref="F6">IF(NOT(ISBLANK($A6)), (_xlfn.XLOOKUP($A6,Index!$B$2:$B$995,Index!$E$2:$E$995,"Not Found")),"")</f>
        <v/>
      </c>
      <c r="G6" s="1" t="str">
        <f t="array" ref="G6">IF(NOT(ISBLANK(A6)), ((_xlfn.XLOOKUP(A6,Index!$B$2:$B$995,Index!$F$2:$F$995,"Not Found"))*B6),"")</f>
        <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C7" s="1" t="str">
        <f t="array" ref="C7">IF(NOT(ISBLANK($A7)), (_xlfn.XLOOKUP($A7,Index!$B$2:$B$995,Index!$C$2:$C$995,"Not Found")),"")</f>
        <v/>
      </c>
      <c r="D7" s="1" t="str">
        <f t="array" ref="D7">IF(NOT(ISBLANK(A7)), (_xlfn.XLOOKUP($A7,Index!$B$2:B$995,Index!$A$2:$A$995,"Not Found")),"")</f>
        <v/>
      </c>
      <c r="E7" s="2" t="str">
        <f t="array" ref="E7">IF(NOT(ISBLANK($A7)), (_xlfn.XLOOKUP($A7,Index!$B$2:$B$995,Index!$D$2:$D$995,"Not Found")),"")</f>
        <v/>
      </c>
      <c r="F7" s="1" t="str">
        <f t="array" ref="F7">IF(NOT(ISBLANK($A7)), (_xlfn.XLOOKUP($A7,Index!$B$2:$B$995,Index!$E$2:$E$995,"Not Found")),"")</f>
        <v/>
      </c>
      <c r="G7" s="1" t="str">
        <f t="array" ref="G7">IF(NOT(ISBLANK(A7)), ((_xlfn.XLOOKUP(A7,Index!$B$2:$B$995,Index!$F$2:$F$995,"Not Found"))*B7),"")</f>
        <v/>
      </c>
      <c r="K7" s="1" t="s">
        <v>358</v>
      </c>
      <c r="L7" s="6">
        <f t="shared" ref="L7:Q7" si="7">SUM(L2:L6)</f>
        <v>0</v>
      </c>
      <c r="M7" s="6">
        <f t="shared" si="7"/>
        <v>0</v>
      </c>
      <c r="N7" s="6">
        <f t="shared" si="7"/>
        <v>0</v>
      </c>
      <c r="O7" s="6">
        <f t="shared" si="7"/>
        <v>0</v>
      </c>
      <c r="P7" s="6">
        <f t="shared" si="7"/>
        <v>0</v>
      </c>
      <c r="Q7" s="6">
        <f t="shared" si="7"/>
        <v>0</v>
      </c>
    </row>
    <row r="8">
      <c r="C8" s="1" t="str">
        <f t="array" ref="C8">IF(NOT(ISBLANK($A8)), (_xlfn.XLOOKUP($A8,Index!$B$2:$B$995,Index!$C$2:$C$995,"Not Found")),"")</f>
        <v/>
      </c>
      <c r="D8" s="1" t="str">
        <f t="array" ref="D8">IF(NOT(ISBLANK(A8)), (_xlfn.XLOOKUP($A8,Index!$B$2:B$995,Index!$A$2:$A$995,"Not Found")),"")</f>
        <v/>
      </c>
      <c r="E8" s="2" t="str">
        <f t="array" ref="E8">IF(NOT(ISBLANK($A8)), (_xlfn.XLOOKUP($A8,Index!$B$2:$B$995,Index!$D$2:$D$995,"Not Found")),"")</f>
        <v/>
      </c>
      <c r="F8" s="1" t="str">
        <f t="array" ref="F8">IF(NOT(ISBLANK($A8)), (_xlfn.XLOOKUP($A8,Index!$B$2:$B$995,Index!$E$2:$E$995,"Not Found")),"")</f>
        <v/>
      </c>
      <c r="G8" s="1" t="str">
        <f t="array" ref="G8">IF(NOT(ISBLANK(A8)), ((_xlfn.XLOOKUP(A8,Index!$B$2:$B$995,Index!$F$2:$F$995,"Not Found"))*B8),"")</f>
        <v/>
      </c>
    </row>
    <row r="9">
      <c r="C9" s="1" t="str">
        <f t="array" ref="C9">IF(NOT(ISBLANK($A9)), (_xlfn.XLOOKUP($A9,Index!$B$2:$B$995,Index!$C$2:$C$995,"Not Found")),"")</f>
        <v/>
      </c>
      <c r="D9" s="1" t="str">
        <f t="array" ref="D9">IF(NOT(ISBLANK(A9)), (_xlfn.XLOOKUP($A9,Index!$B$2:B$995,Index!$A$2:$A$995,"Not Found")),"")</f>
        <v/>
      </c>
      <c r="E9" s="2" t="str">
        <f t="array" ref="E9">IF(NOT(ISBLANK($A9)), (_xlfn.XLOOKUP($A9,Index!$B$2:$B$995,Index!$D$2:$D$995,"Not Found")),"")</f>
        <v/>
      </c>
      <c r="F9" s="1" t="str">
        <f t="array" ref="F9">IF(NOT(ISBLANK($A9)), (_xlfn.XLOOKUP($A9,Index!$B$2:$B$995,Index!$E$2:$E$995,"Not Found")),"")</f>
        <v/>
      </c>
      <c r="G9" s="1" t="str">
        <f t="array" ref="G9">IF(NOT(ISBLANK(A9)), ((_xlfn.XLOOKUP(A9,Index!$B$2:$B$995,Index!$F$2:$F$995,"Not Found"))*B9),"")</f>
        <v/>
      </c>
      <c r="M9" s="1" t="s">
        <v>423</v>
      </c>
      <c r="N9" s="1" t="s">
        <v>424</v>
      </c>
      <c r="O9" s="1" t="s">
        <v>425</v>
      </c>
    </row>
    <row r="10">
      <c r="C10" s="1" t="str">
        <f t="array" ref="C10">IF(NOT(ISBLANK($A10)), (_xlfn.XLOOKUP($A10,Index!$B$2:$B$995,Index!$C$2:$C$995,"Not Found")),"")</f>
        <v/>
      </c>
      <c r="D10" s="1" t="str">
        <f t="array" ref="D10">IF(NOT(ISBLANK(A10)), (_xlfn.XLOOKUP($A10,Index!$B$2:B$995,Index!$A$2:$A$995,"Not Found")),"")</f>
        <v/>
      </c>
      <c r="E10" s="2" t="str">
        <f t="array" ref="E10">IF(NOT(ISBLANK($A10)), (_xlfn.XLOOKUP($A10,Index!$B$2:$B$995,Index!$D$2:$D$995,"Not Found")),"")</f>
        <v/>
      </c>
      <c r="F10" s="1" t="str">
        <f t="array" ref="F10">IF(NOT(ISBLANK($A10)), (_xlfn.XLOOKUP($A10,Index!$B$2:$B$995,Index!$E$2:$E$995,"Not Found")),"")</f>
        <v/>
      </c>
      <c r="G10" s="1" t="str">
        <f t="array" ref="G10">IF(NOT(ISBLANK(A10)), ((_xlfn.XLOOKUP(A10,Index!$B$2:$B$995,Index!$F$2:$F$995,"Not Found"))*B10),"")</f>
        <v/>
      </c>
      <c r="K10" s="1" t="s">
        <v>452</v>
      </c>
      <c r="L10" s="6">
        <f>SUM(M10:P10)</f>
        <v>0</v>
      </c>
      <c r="M10" s="6">
        <f>IF(NOT(ISBLANK($K10)), SUMIFS($B$2:$B$32,$E$2:$E$32, "C", $C$2:$C$32,"T"), "")</f>
        <v>0</v>
      </c>
      <c r="N10" s="6">
        <f>IF(NOT(ISBLANK($K10)), SUMIFS($B$2:$B$32,$E$2:$E$32, "U", $C$2:$C$32,"T"), "")</f>
        <v>0</v>
      </c>
      <c r="O10" s="6" t="str">
        <f>IF(NOT(ISBLANK($K$2)), SUMIFS($B$2:$B$32,$E$2:$E$32, "R", $C$2:$C$32,"T"), "")</f>
        <v/>
      </c>
    </row>
    <row r="11">
      <c r="C11" s="1" t="str">
        <f t="array" ref="C11">IF(NOT(ISBLANK($A11)), (_xlfn.XLOOKUP($A11,Index!$B$2:$B$995,Index!$C$2:$C$995,"Not Found")),"")</f>
        <v/>
      </c>
      <c r="D11" s="1" t="str">
        <f t="array" ref="D11">IF(NOT(ISBLANK(A11)), (_xlfn.XLOOKUP($A11,Index!$B$2:B$995,Index!$A$2:$A$995,"Not Found")),"")</f>
        <v/>
      </c>
      <c r="E11" s="2" t="str">
        <f t="array" ref="E11">IF(NOT(ISBLANK($A11)), (_xlfn.XLOOKUP($A11,Index!$B$2:$B$995,Index!$D$2:$D$995,"Not Found")),"")</f>
        <v/>
      </c>
      <c r="F11" s="1" t="str">
        <f t="array" ref="F11">IF(NOT(ISBLANK($A11)), (_xlfn.XLOOKUP($A11,Index!$B$2:$B$995,Index!$E$2:$E$995,"Not Found")),"")</f>
        <v/>
      </c>
      <c r="G11" s="1" t="str">
        <f t="array" ref="G11">IF(NOT(ISBLANK(A11)), ((_xlfn.XLOOKUP(A11,Index!$B$2:$B$995,Index!$F$2:$F$995,"Not Found"))*B11),"")</f>
        <v/>
      </c>
      <c r="K11" s="1" t="s">
        <v>226</v>
      </c>
      <c r="L11" s="1" t="str">
        <f>IF(NOT(ISBLANK($K$2)), SUMIFS($B$2:$B$32, $C$2:$C$32,"Energy"), "")</f>
        <v/>
      </c>
    </row>
    <row r="12">
      <c r="C12" s="1" t="str">
        <f t="array" ref="C12">IF(NOT(ISBLANK($A12)), (_xlfn.XLOOKUP($A12,Index!$B$2:$B$995,Index!$C$2:$C$995,"Not Found")),"")</f>
        <v/>
      </c>
      <c r="D12" s="1" t="str">
        <f t="array" ref="D12">IF(NOT(ISBLANK(A12)), (_xlfn.XLOOKUP($A12,Index!$B$2:B$995,Index!$A$2:$A$995,"Not Found")),"")</f>
        <v/>
      </c>
      <c r="E12" s="2" t="str">
        <f t="array" ref="E12">IF(NOT(ISBLANK($A12)), (_xlfn.XLOOKUP($A12,Index!$B$2:$B$995,Index!$D$2:$D$995,"Not Found")),"")</f>
        <v/>
      </c>
      <c r="F12" s="1" t="str">
        <f t="array" ref="F12">IF(NOT(ISBLANK($A12)), (_xlfn.XLOOKUP($A12,Index!$B$2:$B$995,Index!$E$2:$E$995,"Not Found")),"")</f>
        <v/>
      </c>
      <c r="G12" s="1" t="str">
        <f t="array" ref="G12">IF(NOT(ISBLANK(A12)), ((_xlfn.XLOOKUP(A12,Index!$B$2:$B$995,Index!$F$2:$F$995,"Not Found"))*B12),"")</f>
        <v/>
      </c>
      <c r="K12" s="1" t="s">
        <v>544</v>
      </c>
      <c r="L12" s="6">
        <f>L7</f>
        <v>0</v>
      </c>
    </row>
    <row r="13">
      <c r="C13" s="1" t="str">
        <f t="array" ref="C13">IF(NOT(ISBLANK($A13)), (_xlfn.XLOOKUP($A13,Index!$B$2:$B$995,Index!$C$2:$C$995,"Not Found")),"")</f>
        <v/>
      </c>
      <c r="D13" s="1" t="str">
        <f t="array" ref="D13">IF(NOT(ISBLANK(A13)), (_xlfn.XLOOKUP($A13,Index!$B$2:B$995,Index!$A$2:$A$995,"Not Found")),"")</f>
        <v/>
      </c>
      <c r="E13" s="2" t="str">
        <f t="array" ref="E13">IF(NOT(ISBLANK($A13)), (_xlfn.XLOOKUP($A13,Index!$B$2:$B$995,Index!$D$2:$D$995,"Not Found")),"")</f>
        <v/>
      </c>
      <c r="F13" s="1" t="str">
        <f t="array" ref="F13">IF(NOT(ISBLANK($A13)), (_xlfn.XLOOKUP($A13,Index!$B$2:$B$995,Index!$E$2:$E$995,"Not Found")),"")</f>
        <v/>
      </c>
      <c r="G13" s="1" t="str">
        <f t="array" ref="G13">IF(NOT(ISBLANK(A13)), ((_xlfn.XLOOKUP(A13,Index!$B$2:$B$995,Index!$F$2:$F$995,"Not Found"))*B13),"")</f>
        <v/>
      </c>
    </row>
    <row r="14">
      <c r="C14" s="1" t="str">
        <f t="array" ref="C14">IF(NOT(ISBLANK($A14)), (_xlfn.XLOOKUP($A14,Index!$B$2:$B$995,Index!$C$2:$C$995,"Not Found")),"")</f>
        <v/>
      </c>
      <c r="D14" s="1" t="str">
        <f t="array" ref="D14">IF(NOT(ISBLANK(A14)), (_xlfn.XLOOKUP($A14,Index!$B$2:B$995,Index!$A$2:$A$995,"Not Found")),"")</f>
        <v/>
      </c>
      <c r="E14" s="2" t="str">
        <f t="array" ref="E14">IF(NOT(ISBLANK($A14)), (_xlfn.XLOOKUP($A14,Index!$B$2:$B$995,Index!$D$2:$D$995,"Not Found")),"")</f>
        <v/>
      </c>
      <c r="F14" s="1" t="str">
        <f t="array" ref="F14">IF(NOT(ISBLANK($A14)), (_xlfn.XLOOKUP($A14,Index!$B$2:$B$995,Index!$E$2:$E$995,"Not Found")),"")</f>
        <v/>
      </c>
      <c r="G14" s="1" t="str">
        <f t="array" ref="G14">IF(NOT(ISBLANK(A14)), ((_xlfn.XLOOKUP(A14,Index!$B$2:$B$995,Index!$F$2:$F$995,"Not Found"))*B14),"")</f>
        <v/>
      </c>
    </row>
    <row r="15">
      <c r="C15" s="1" t="str">
        <f t="array" ref="C15">IF(NOT(ISBLANK($A15)), (_xlfn.XLOOKUP($A15,Index!$B$2:$B$995,Index!$C$2:$C$995,"Not Found")),"")</f>
        <v/>
      </c>
      <c r="D15" s="1" t="str">
        <f t="array" ref="D15">IF(NOT(ISBLANK(A15)), (_xlfn.XLOOKUP($A15,Index!$B$2:B$995,Index!$A$2:$A$995,"Not Found")),"")</f>
        <v/>
      </c>
      <c r="E15" s="2" t="str">
        <f t="array" ref="E15">IF(NOT(ISBLANK($A15)), (_xlfn.XLOOKUP($A15,Index!$B$2:$B$995,Index!$D$2:$D$995,"Not Found")),"")</f>
        <v/>
      </c>
      <c r="F15" s="1" t="str">
        <f t="array" ref="F15">IF(NOT(ISBLANK($A15)), (_xlfn.XLOOKUP($A15,Index!$B$2:$B$995,Index!$E$2:$E$995,"Not Found")),"")</f>
        <v/>
      </c>
      <c r="G15" s="1" t="str">
        <f t="array" ref="G15">IF(NOT(ISBLANK(A15)), ((_xlfn.XLOOKUP(A15,Index!$B$2:$B$995,Index!$F$2:$F$995,"Not Found"))*B15),"")</f>
        <v/>
      </c>
      <c r="K15" s="1" t="s">
        <v>629</v>
      </c>
    </row>
    <row r="16">
      <c r="C16" s="1" t="str">
        <f t="array" ref="C16">IF(NOT(ISBLANK($A16)), (_xlfn.XLOOKUP($A16,Index!$B$2:$B$995,Index!$C$2:$C$995,"Not Found")),"")</f>
        <v/>
      </c>
      <c r="D16" s="1" t="str">
        <f t="array" ref="D16">IF(NOT(ISBLANK(A16)), (_xlfn.XLOOKUP($A16,Index!$B$2:B$995,Index!$A$2:$A$995,"Not Found")),"")</f>
        <v/>
      </c>
      <c r="E16" s="2" t="str">
        <f t="array" ref="E16">IF(NOT(ISBLANK($A16)), (_xlfn.XLOOKUP($A16,Index!$B$2:$B$995,Index!$D$2:$D$995,"Not Found")),"")</f>
        <v/>
      </c>
      <c r="F16" s="1" t="str">
        <f t="array" ref="F16">IF(NOT(ISBLANK($A16)), (_xlfn.XLOOKUP($A16,Index!$B$2:$B$995,Index!$E$2:$E$995,"Not Found")),"")</f>
        <v/>
      </c>
      <c r="G16" s="1" t="str">
        <f t="array" ref="G16">IF(NOT(ISBLANK(A16)), ((_xlfn.XLOOKUP(A16,Index!$B$2:$B$995,Index!$F$2:$F$995,"Not Found"))*B16),"")</f>
        <v/>
      </c>
      <c r="K16" s="6" t="str">
        <f t="shared" ref="K16:K20" si="8">K2</f>
        <v/>
      </c>
      <c r="L16" s="1" t="str">
        <f t="shared" ref="L16:L19" si="9">IF(NOT(ISBLANK($K2)), SUMIFS($G$2:$G$32, $C$2:$C$32,$K2), "")</f>
        <v/>
      </c>
    </row>
    <row r="17">
      <c r="C17" s="1" t="str">
        <f t="array" ref="C17">IF(NOT(ISBLANK($A17)), (_xlfn.XLOOKUP($A17,Index!$B$2:$B$995,Index!$C$2:$C$995,"Not Found")),"")</f>
        <v/>
      </c>
      <c r="D17" s="1" t="str">
        <f t="array" ref="D17">IF(NOT(ISBLANK(A17)), (_xlfn.XLOOKUP($A17,Index!$B$2:B$995,Index!$A$2:$A$995,"Not Found")),"")</f>
        <v/>
      </c>
      <c r="E17" s="2" t="str">
        <f t="array" ref="E17">IF(NOT(ISBLANK($A17)), (_xlfn.XLOOKUP($A17,Index!$B$2:$B$995,Index!$D$2:$D$995,"Not Found")),"")</f>
        <v/>
      </c>
      <c r="F17" s="1" t="str">
        <f t="array" ref="F17">IF(NOT(ISBLANK($A17)), (_xlfn.XLOOKUP($A17,Index!$B$2:$B$995,Index!$E$2:$E$995,"Not Found")),"")</f>
        <v/>
      </c>
      <c r="G17" s="1" t="str">
        <f t="array" ref="G17">IF(NOT(ISBLANK(A17)), ((_xlfn.XLOOKUP(A17,Index!$B$2:$B$995,Index!$F$2:$F$995,"Not Found"))*B17),"")</f>
        <v/>
      </c>
      <c r="K17" s="6" t="str">
        <f t="shared" si="8"/>
        <v/>
      </c>
      <c r="L17" s="1" t="str">
        <f t="shared" si="9"/>
        <v/>
      </c>
    </row>
    <row r="18">
      <c r="C18" s="1" t="str">
        <f t="array" ref="C18">IF(NOT(ISBLANK($A18)), (_xlfn.XLOOKUP($A18,Index!$B$2:$B$995,Index!$C$2:$C$995,"Not Found")),"")</f>
        <v/>
      </c>
      <c r="D18" s="1" t="str">
        <f t="array" ref="D18">IF(NOT(ISBLANK(A18)), (_xlfn.XLOOKUP($A18,Index!$B$2:B$995,Index!$A$2:$A$995,"Not Found")),"")</f>
        <v/>
      </c>
      <c r="E18" s="2" t="str">
        <f t="array" ref="E18">IF(NOT(ISBLANK($A18)), (_xlfn.XLOOKUP($A18,Index!$B$2:$B$995,Index!$D$2:$D$995,"Not Found")),"")</f>
        <v/>
      </c>
      <c r="F18" s="1" t="str">
        <f t="array" ref="F18">IF(NOT(ISBLANK($A18)), (_xlfn.XLOOKUP($A18,Index!$B$2:$B$995,Index!$E$2:$E$995,"Not Found")),"")</f>
        <v/>
      </c>
      <c r="G18" s="1" t="str">
        <f t="array" ref="G18">IF(NOT(ISBLANK(A18)), ((_xlfn.XLOOKUP(A18,Index!$B$2:$B$995,Index!$F$2:$F$995,"Not Found"))*B18),"")</f>
        <v/>
      </c>
      <c r="K18" s="6" t="str">
        <f t="shared" si="8"/>
        <v/>
      </c>
      <c r="L18" s="1" t="str">
        <f t="shared" si="9"/>
        <v/>
      </c>
    </row>
    <row r="19">
      <c r="C19" s="1" t="str">
        <f t="array" ref="C19">IF(NOT(ISBLANK($A19)), (_xlfn.XLOOKUP($A19,Index!$B$2:$B$995,Index!$C$2:$C$995,"Not Found")),"")</f>
        <v/>
      </c>
      <c r="D19" s="1" t="str">
        <f t="array" ref="D19">IF(NOT(ISBLANK(A19)), (_xlfn.XLOOKUP($A19,Index!$B$2:B$995,Index!$A$2:$A$995,"Not Found")),"")</f>
        <v/>
      </c>
      <c r="E19" s="2" t="str">
        <f t="array" ref="E19">IF(NOT(ISBLANK($A19)), (_xlfn.XLOOKUP($A19,Index!$B$2:$B$995,Index!$D$2:$D$995,"Not Found")),"")</f>
        <v/>
      </c>
      <c r="F19" s="1" t="str">
        <f t="array" ref="F19">IF(NOT(ISBLANK($A19)), (_xlfn.XLOOKUP($A19,Index!$B$2:$B$995,Index!$E$2:$E$995,"Not Found")),"")</f>
        <v/>
      </c>
      <c r="G19" s="1" t="str">
        <f t="array" ref="G19">IF(NOT(ISBLANK(A19)), ((_xlfn.XLOOKUP(A19,Index!$B$2:$B$995,Index!$F$2:$F$995,"Not Found"))*B19),"")</f>
        <v/>
      </c>
      <c r="K19" s="6" t="str">
        <f t="shared" si="8"/>
        <v/>
      </c>
      <c r="L19" s="1" t="str">
        <f t="shared" si="9"/>
        <v/>
      </c>
    </row>
    <row r="20">
      <c r="C20" s="1" t="str">
        <f t="array" ref="C20">IF(NOT(ISBLANK($A20)), (_xlfn.XLOOKUP($A20,Index!$B$2:$B$995,Index!$C$2:$C$995,"Not Found")),"")</f>
        <v/>
      </c>
      <c r="D20" s="1" t="str">
        <f t="array" ref="D20">IF(NOT(ISBLANK(A20)), (_xlfn.XLOOKUP($A20,Index!$B$2:B$995,Index!$A$2:$A$995,"Not Found")),"")</f>
        <v/>
      </c>
      <c r="E20" s="2" t="str">
        <f t="array" ref="E20">IF(NOT(ISBLANK($A20)), (_xlfn.XLOOKUP($A20,Index!$B$2:$B$995,Index!$D$2:$D$995,"Not Found")),"")</f>
        <v/>
      </c>
      <c r="F20" s="1" t="str">
        <f t="array" ref="F20">IF(NOT(ISBLANK($A20)), (_xlfn.XLOOKUP($A20,Index!$B$2:$B$995,Index!$E$2:$E$995,"Not Found")),"")</f>
        <v/>
      </c>
      <c r="G20" s="1" t="str">
        <f t="array" ref="G20">IF(NOT(ISBLANK(A20)), ((_xlfn.XLOOKUP(A20,Index!$B$2:$B$995,Index!$F$2:$F$995,"Not Found"))*B20),"")</f>
        <v/>
      </c>
      <c r="K20" s="6" t="str">
        <f t="shared" si="8"/>
        <v/>
      </c>
    </row>
    <row r="21">
      <c r="C21" s="1" t="str">
        <f t="array" ref="C21">IF(NOT(ISBLANK($A21)), (_xlfn.XLOOKUP($A21,Index!$B$2:$B$995,Index!$C$2:$C$995,"Not Found")),"")</f>
        <v/>
      </c>
      <c r="D21" s="1" t="str">
        <f t="array" ref="D21">IF(NOT(ISBLANK(A21)), (_xlfn.XLOOKUP($A21,Index!$B$2:B$995,Index!$A$2:$A$995,"Not Found")),"")</f>
        <v/>
      </c>
      <c r="E21" s="2" t="str">
        <f t="array" ref="E21">IF(NOT(ISBLANK($A21)), (_xlfn.XLOOKUP($A21,Index!$B$2:$B$995,Index!$D$2:$D$995,"Not Found")),"")</f>
        <v/>
      </c>
      <c r="F21" s="1" t="str">
        <f t="array" ref="F21">IF(NOT(ISBLANK($A21)), (_xlfn.XLOOKUP($A21,Index!$B$2:$B$995,Index!$E$2:$E$995,"Not Found")),"")</f>
        <v/>
      </c>
      <c r="G21" s="1" t="str">
        <f t="array" ref="G21">IF(NOT(ISBLANK(A21)), ((_xlfn.XLOOKUP(A21,Index!$B$2:$B$995,Index!$F$2:$F$995,"Not Found"))*B21),"")</f>
        <v/>
      </c>
      <c r="K21" s="1" t="s">
        <v>630</v>
      </c>
      <c r="L21" s="6">
        <f>SUM(L15:L19)</f>
        <v>0</v>
      </c>
    </row>
    <row r="22">
      <c r="C22" s="1" t="str">
        <f t="array" ref="C22">IF(NOT(ISBLANK($A22)), (_xlfn.XLOOKUP($A22,Index!$B$2:$B$995,Index!$C$2:$C$995,"Not Found")),"")</f>
        <v/>
      </c>
      <c r="D22" s="1" t="str">
        <f t="array" ref="D22">IF(NOT(ISBLANK(A22)), (_xlfn.XLOOKUP($A22,Index!$B$2:B$995,Index!$A$2:$A$995,"Not Found")),"")</f>
        <v/>
      </c>
      <c r="E22" s="2"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631</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8</v>
      </c>
      <c r="I1" s="1" t="s">
        <v>10</v>
      </c>
      <c r="K1" s="1" t="s">
        <v>3</v>
      </c>
      <c r="L1" s="1" t="s">
        <v>12</v>
      </c>
      <c r="M1" s="1" t="s">
        <v>14</v>
      </c>
      <c r="N1" s="1" t="s">
        <v>16</v>
      </c>
      <c r="O1" s="1" t="s">
        <v>18</v>
      </c>
      <c r="P1" s="1" t="s">
        <v>20</v>
      </c>
      <c r="Q1" s="1" t="s">
        <v>21</v>
      </c>
    </row>
    <row r="2">
      <c r="A2" s="1" t="s">
        <v>25</v>
      </c>
      <c r="B2" s="1">
        <v>4.0</v>
      </c>
      <c r="C2" s="1" t="str">
        <f t="array" ref="C2">IF(NOT(ISBLANK($A2)), (_xlfn.XLOOKUP($A2,Index!$B$2:$B$995,Index!$C$2:$C$995,"Not Found")),"")</f>
        <v>W</v>
      </c>
      <c r="D2" s="1" t="str">
        <f t="array" ref="D2">IF(NOT(ISBLANK(A2)), (_xlfn.XLOOKUP($A2,Index!$B$2:B$995,Index!$A$2:$A$995,"Not Found")),"")</f>
        <v>base3-49</v>
      </c>
      <c r="E2" s="2"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6">
        <f>SUM(B2:B38)</f>
        <v>60</v>
      </c>
      <c r="K2" s="1" t="s">
        <v>93</v>
      </c>
      <c r="L2" s="6">
        <f t="shared" ref="L2:L6" si="1">IF(NOT(ISBLANK(K2)), SUM(M2:P2), "")</f>
        <v>12</v>
      </c>
      <c r="M2" s="1">
        <f t="shared" ref="M2:M5" si="2">IF(NOT(ISBLANK($K2)), SUMIFS($B$2:$B$32, $E$2:$E$32, "B", $C$2:$C$32,$K2), "")</f>
        <v>8</v>
      </c>
      <c r="N2" s="1">
        <f t="shared" ref="N2:N5" si="3">IF(NOT(ISBLANK($K2)),SUMIFS($B$2:$B$32,$E$2:$E$32, "1", $C$2:$C$32,$K2,$F$2:$F$32,"N"), "")</f>
        <v>4</v>
      </c>
      <c r="O2" s="1">
        <f t="shared" ref="O2:O5" si="4">IF(NOT(ISBLANK($K2)),SUMIFS($B$2:$B$32,$E$2:$E$32, "1", $C$2:$C$32,$K2,$F$2:$F$32,"Y"), "")</f>
        <v>0</v>
      </c>
      <c r="P2" s="1">
        <f t="shared" ref="P2:P5" si="5">IF(NOT(ISBLANK($K2)),SUMIFS($B$2:$B$32,$E$2:$E$32, "2", $C$2:$C$32,$K2), "")</f>
        <v>0</v>
      </c>
      <c r="Q2" s="1">
        <f t="shared" ref="Q2:Q5" si="6">IF(NOT(ISBLANK($K2)),SUMIFS($B$2:$B$32,$E$2:$E$32, "B", $C$2:$C$32,$K2,$F$2:$F$32,"N"), "")</f>
        <v>1</v>
      </c>
    </row>
    <row r="3">
      <c r="A3" s="1" t="s">
        <v>151</v>
      </c>
      <c r="B3" s="1">
        <v>2.0</v>
      </c>
      <c r="C3" s="1" t="str">
        <f t="array" ref="C3">IF(NOT(ISBLANK($A3)), (_xlfn.XLOOKUP($A3,Index!$B$2:$B$995,Index!$C$2:$C$995,"Not Found")),"")</f>
        <v>W</v>
      </c>
      <c r="D3" s="1" t="str">
        <f t="array" ref="D3">IF(NOT(ISBLANK(A3)), (_xlfn.XLOOKUP($A3,Index!$B$2:B$995,Index!$A$2:$A$995,"Not Found")),"")</f>
        <v>base3-42</v>
      </c>
      <c r="E3" s="2">
        <f t="array" ref="E3">IF(NOT(ISBLANK($A3)), (_xlfn.XLOOKUP($A3,Index!$B$2:$B$995,Index!$D$2:$D$995,"Not Found")),"")</f>
        <v>1</v>
      </c>
      <c r="F3" s="1" t="str">
        <f t="array" ref="F3">IF(NOT(ISBLANK($A3)), (_xlfn.XLOOKUP($A3,Index!$B$2:$B$995,Index!$E$2:$E$995,"Not Found")),"")</f>
        <v>n</v>
      </c>
      <c r="G3" s="1">
        <f t="array" ref="G3">IF(NOT(ISBLANK(A3)), ((_xlfn.XLOOKUP(A3,Index!$B$2:$B$995,Index!$F$2:$F$995,"Not Found"))*B3),"")</f>
        <v>2</v>
      </c>
      <c r="K3" s="1" t="s">
        <v>157</v>
      </c>
      <c r="L3" s="6">
        <f t="shared" si="1"/>
        <v>9</v>
      </c>
      <c r="M3" s="1">
        <f t="shared" si="2"/>
        <v>6</v>
      </c>
      <c r="N3" s="1">
        <f t="shared" si="3"/>
        <v>3</v>
      </c>
      <c r="O3" s="1">
        <f t="shared" si="4"/>
        <v>0</v>
      </c>
      <c r="P3" s="1">
        <f t="shared" si="5"/>
        <v>0</v>
      </c>
      <c r="Q3" s="1">
        <f t="shared" si="6"/>
        <v>0</v>
      </c>
    </row>
    <row r="4">
      <c r="A4" s="1" t="s">
        <v>199</v>
      </c>
      <c r="B4" s="1">
        <v>3.0</v>
      </c>
      <c r="C4" s="1" t="str">
        <f t="array" ref="C4">IF(NOT(ISBLANK($A4)), (_xlfn.XLOOKUP($A4,Index!$B$2:$B$995,Index!$C$2:$C$995,"Not Found")),"")</f>
        <v>W</v>
      </c>
      <c r="D4" s="1" t="str">
        <f t="array" ref="D4">IF(NOT(ISBLANK(A4)), (_xlfn.XLOOKUP($A4,Index!$B$2:B$995,Index!$A$2:$A$995,"Not Found")),"")</f>
        <v>base3-53</v>
      </c>
      <c r="E4" s="2" t="str">
        <f t="array" ref="E4">IF(NOT(ISBLANK($A4)), (_xlfn.XLOOKUP($A4,Index!$B$2:$B$995,Index!$D$2:$D$995,"Not Found")),"")</f>
        <v>b</v>
      </c>
      <c r="F4" s="1" t="str">
        <f t="array" ref="F4">IF(NOT(ISBLANK($A4)), (_xlfn.XLOOKUP($A4,Index!$B$2:$B$995,Index!$E$2:$E$995,"Not Found")),"")</f>
        <v>y</v>
      </c>
      <c r="G4" s="1">
        <f t="array" ref="G4">IF(NOT(ISBLANK(A4)), ((_xlfn.XLOOKUP(A4,Index!$B$2:$B$995,Index!$F$2:$F$995,"Not Found"))*B4),"")</f>
        <v>0</v>
      </c>
      <c r="K4" s="1" t="s">
        <v>26</v>
      </c>
      <c r="L4" s="6">
        <f t="shared" si="1"/>
        <v>1</v>
      </c>
      <c r="M4" s="1">
        <f t="shared" si="2"/>
        <v>1</v>
      </c>
      <c r="N4" s="1">
        <f t="shared" si="3"/>
        <v>0</v>
      </c>
      <c r="O4" s="1">
        <f t="shared" si="4"/>
        <v>0</v>
      </c>
      <c r="P4" s="1">
        <f t="shared" si="5"/>
        <v>0</v>
      </c>
      <c r="Q4" s="1">
        <f t="shared" si="6"/>
        <v>1</v>
      </c>
    </row>
    <row r="5">
      <c r="A5" s="1" t="s">
        <v>242</v>
      </c>
      <c r="B5" s="1">
        <v>2.0</v>
      </c>
      <c r="C5" s="1" t="str">
        <f t="array" ref="C5">IF(NOT(ISBLANK($A5)), (_xlfn.XLOOKUP($A5,Index!$B$2:$B$995,Index!$C$2:$C$995,"Not Found")),"")</f>
        <v>W</v>
      </c>
      <c r="D5" s="1" t="str">
        <f t="array" ref="D5">IF(NOT(ISBLANK(A5)), (_xlfn.XLOOKUP($A5,Index!$B$2:B$995,Index!$A$2:$A$995,"Not Found")),"")</f>
        <v>base3-35</v>
      </c>
      <c r="E5" s="2">
        <f t="array" ref="E5">IF(NOT(ISBLANK($A5)), (_xlfn.XLOOKUP($A5,Index!$B$2:$B$995,Index!$D$2:$D$995,"Not Found")),"")</f>
        <v>1</v>
      </c>
      <c r="F5" s="1" t="str">
        <f t="array" ref="F5">IF(NOT(ISBLANK($A5)), (_xlfn.XLOOKUP($A5,Index!$B$2:$B$995,Index!$E$2:$E$995,"Not Found")),"")</f>
        <v>n</v>
      </c>
      <c r="G5" s="1">
        <f t="array" ref="G5">IF(NOT(ISBLANK(A5)), ((_xlfn.XLOOKUP(A5,Index!$B$2:$B$995,Index!$F$2:$F$995,"Not Found"))*B5),"")</f>
        <v>3</v>
      </c>
      <c r="L5" s="6" t="str">
        <f t="shared" si="1"/>
        <v/>
      </c>
      <c r="M5" s="1" t="str">
        <f t="shared" si="2"/>
        <v/>
      </c>
      <c r="N5" s="1" t="str">
        <f t="shared" si="3"/>
        <v/>
      </c>
      <c r="O5" s="1" t="str">
        <f t="shared" si="4"/>
        <v/>
      </c>
      <c r="P5" s="1" t="str">
        <f t="shared" si="5"/>
        <v/>
      </c>
      <c r="Q5" s="1" t="str">
        <f t="shared" si="6"/>
        <v/>
      </c>
    </row>
    <row r="6">
      <c r="A6" s="1" t="s">
        <v>273</v>
      </c>
      <c r="B6" s="1">
        <v>1.0</v>
      </c>
      <c r="C6" s="1" t="str">
        <f t="array" ref="C6">IF(NOT(ISBLANK($A6)), (_xlfn.XLOOKUP($A6,Index!$B$2:$B$995,Index!$C$2:$C$995,"Not Found")),"")</f>
        <v>W</v>
      </c>
      <c r="D6" s="1" t="str">
        <f t="array" ref="D6">IF(NOT(ISBLANK(A6)), (_xlfn.XLOOKUP($A6,Index!$B$2:B$995,Index!$A$2:$A$995,"Not Found")),"")</f>
        <v>base3-25</v>
      </c>
      <c r="E6" s="2" t="str">
        <f t="array" ref="E6">IF(NOT(ISBLANK($A6)), (_xlfn.XLOOKUP($A6,Index!$B$2:$B$995,Index!$D$2:$D$995,"Not Found")),"")</f>
        <v>b</v>
      </c>
      <c r="F6" s="1" t="str">
        <f t="array" ref="F6">IF(NOT(ISBLANK($A6)), (_xlfn.XLOOKUP($A6,Index!$B$2:$B$995,Index!$E$2:$E$995,"Not Found")),"")</f>
        <v>n</v>
      </c>
      <c r="G6" s="1">
        <f t="array" ref="G6">IF(NOT(ISBLANK(A6)), ((_xlfn.XLOOKUP(A6,Index!$B$2:$B$995,Index!$F$2:$F$995,"Not Found"))*B6),"")</f>
        <v>1</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334</v>
      </c>
      <c r="B7" s="1">
        <v>3.0</v>
      </c>
      <c r="C7" s="1" t="str">
        <f t="array" ref="C7">IF(NOT(ISBLANK($A7)), (_xlfn.XLOOKUP($A7,Index!$B$2:$B$995,Index!$C$2:$C$995,"Not Found")),"")</f>
        <v>P</v>
      </c>
      <c r="D7" s="1" t="str">
        <f t="array" ref="D7">IF(NOT(ISBLANK(A7)), (_xlfn.XLOOKUP($A7,Index!$B$2:B$995,Index!$A$2:$A$995,"Not Found")),"")</f>
        <v>base3-55</v>
      </c>
      <c r="E7" s="2"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358</v>
      </c>
      <c r="L7" s="6">
        <f t="shared" ref="L7:Q7" si="7">SUM(L2:L6)</f>
        <v>22</v>
      </c>
      <c r="M7" s="6">
        <f t="shared" si="7"/>
        <v>15</v>
      </c>
      <c r="N7" s="6">
        <f t="shared" si="7"/>
        <v>7</v>
      </c>
      <c r="O7" s="6">
        <f t="shared" si="7"/>
        <v>0</v>
      </c>
      <c r="P7" s="6">
        <f t="shared" si="7"/>
        <v>0</v>
      </c>
      <c r="Q7" s="6">
        <f t="shared" si="7"/>
        <v>2</v>
      </c>
    </row>
    <row r="8">
      <c r="A8" s="1" t="s">
        <v>367</v>
      </c>
      <c r="B8" s="1">
        <v>2.0</v>
      </c>
      <c r="C8" s="1" t="str">
        <f t="array" ref="C8">IF(NOT(ISBLANK($A8)), (_xlfn.XLOOKUP($A8,Index!$B$2:$B$995,Index!$C$2:$C$995,"Not Found")),"")</f>
        <v>P</v>
      </c>
      <c r="D8" s="1" t="str">
        <f t="array" ref="D8">IF(NOT(ISBLANK(A8)), (_xlfn.XLOOKUP($A8,Index!$B$2:B$995,Index!$A$2:$A$995,"Not Found")),"")</f>
        <v>base3-43</v>
      </c>
      <c r="E8" s="2">
        <f t="array" ref="E8">IF(NOT(ISBLANK($A8)), (_xlfn.XLOOKUP($A8,Index!$B$2:$B$995,Index!$D$2:$D$995,"Not Found")),"")</f>
        <v>1</v>
      </c>
      <c r="F8" s="1" t="str">
        <f t="array" ref="F8">IF(NOT(ISBLANK($A8)), (_xlfn.XLOOKUP($A8,Index!$B$2:$B$995,Index!$E$2:$E$995,"Not Found")),"")</f>
        <v>n</v>
      </c>
      <c r="G8" s="1">
        <f t="array" ref="G8">IF(NOT(ISBLANK(A8)), ((_xlfn.XLOOKUP(A8,Index!$B$2:$B$995,Index!$F$2:$F$995,"Not Found"))*B8),"")</f>
        <v>3</v>
      </c>
    </row>
    <row r="9">
      <c r="A9" s="1" t="s">
        <v>392</v>
      </c>
      <c r="B9" s="1">
        <v>3.0</v>
      </c>
      <c r="C9" s="1" t="str">
        <f t="array" ref="C9">IF(NOT(ISBLANK($A9)), (_xlfn.XLOOKUP($A9,Index!$B$2:$B$995,Index!$C$2:$C$995,"Not Found")),"")</f>
        <v>P</v>
      </c>
      <c r="D9" s="1" t="str">
        <f t="array" ref="D9">IF(NOT(ISBLANK(A9)), (_xlfn.XLOOKUP($A9,Index!$B$2:B$995,Index!$A$2:$A$995,"Not Found")),"")</f>
        <v>base1-49</v>
      </c>
      <c r="E9" s="2" t="str">
        <f t="array" ref="E9">IF(NOT(ISBLANK($A9)), (_xlfn.XLOOKUP($A9,Index!$B$2:$B$995,Index!$D$2:$D$995,"Not Found")),"")</f>
        <v>b</v>
      </c>
      <c r="F9" s="1" t="str">
        <f t="array" ref="F9">IF(NOT(ISBLANK($A9)), (_xlfn.XLOOKUP($A9,Index!$B$2:$B$995,Index!$E$2:$E$995,"Not Found")),"")</f>
        <v>y</v>
      </c>
      <c r="G9" s="1">
        <f t="array" ref="G9">IF(NOT(ISBLANK(A9)), ((_xlfn.XLOOKUP(A9,Index!$B$2:$B$995,Index!$F$2:$F$995,"Not Found"))*B9),"")</f>
        <v>0</v>
      </c>
      <c r="M9" s="1" t="s">
        <v>423</v>
      </c>
      <c r="N9" s="1" t="s">
        <v>424</v>
      </c>
      <c r="O9" s="1" t="s">
        <v>425</v>
      </c>
    </row>
    <row r="10">
      <c r="A10" s="1" t="s">
        <v>419</v>
      </c>
      <c r="B10" s="1">
        <v>1.0</v>
      </c>
      <c r="C10" s="1" t="str">
        <f t="array" ref="C10">IF(NOT(ISBLANK($A10)), (_xlfn.XLOOKUP($A10,Index!$B$2:$B$995,Index!$C$2:$C$995,"Not Found")),"")</f>
        <v>P</v>
      </c>
      <c r="D10" s="1" t="str">
        <f t="array" ref="D10">IF(NOT(ISBLANK(A10)), (_xlfn.XLOOKUP($A10,Index!$B$2:B$995,Index!$A$2:$A$995,"Not Found")),"")</f>
        <v>base3-23</v>
      </c>
      <c r="E10" s="2">
        <f t="array" ref="E10">IF(NOT(ISBLANK($A10)), (_xlfn.XLOOKUP($A10,Index!$B$2:$B$995,Index!$D$2:$D$995,"Not Found")),"")</f>
        <v>1</v>
      </c>
      <c r="F10" s="1" t="str">
        <f t="array" ref="F10">IF(NOT(ISBLANK($A10)), (_xlfn.XLOOKUP($A10,Index!$B$2:$B$995,Index!$E$2:$E$995,"Not Found")),"")</f>
        <v>n</v>
      </c>
      <c r="G10" s="1">
        <f t="array" ref="G10">IF(NOT(ISBLANK(A10)), ((_xlfn.XLOOKUP(A10,Index!$B$2:$B$995,Index!$F$2:$F$995,"Not Found"))*B10),"")</f>
        <v>2</v>
      </c>
      <c r="K10" s="1" t="s">
        <v>452</v>
      </c>
      <c r="L10" s="6">
        <f>SUM(M10:P10)</f>
        <v>10</v>
      </c>
      <c r="M10" s="6">
        <f>IF(NOT(ISBLANK($K10)), SUMIFS($B$2:$B$32,$E$2:$E$32, "C", $C$2:$C$32,"T"), "")</f>
        <v>6</v>
      </c>
      <c r="N10" s="6">
        <f>IF(NOT(ISBLANK($K10)), SUMIFS($B$2:$B$32,$E$2:$E$32, "U", $C$2:$C$32,"T"), "")</f>
        <v>3</v>
      </c>
      <c r="O10" s="6">
        <f>IF(NOT(ISBLANK($K$2)), SUMIFS($B$2:$B$32,$E$2:$E$32, "R", $C$2:$C$32,"T"), "")</f>
        <v>1</v>
      </c>
    </row>
    <row r="11">
      <c r="A11" s="1" t="s">
        <v>98</v>
      </c>
      <c r="B11" s="1">
        <v>1.0</v>
      </c>
      <c r="C11" s="1" t="str">
        <f t="array" ref="C11">IF(NOT(ISBLANK($A11)), (_xlfn.XLOOKUP($A11,Index!$B$2:$B$995,Index!$C$2:$C$995,"Not Found")),"")</f>
        <v>C</v>
      </c>
      <c r="D11" s="1" t="str">
        <f t="array" ref="D11">IF(NOT(ISBLANK(A11)), (_xlfn.XLOOKUP($A11,Index!$B$2:B$995,Index!$A$2:$A$995,"Not Found")),"")</f>
        <v>base2-38</v>
      </c>
      <c r="E11" s="2" t="str">
        <f t="array" ref="E11">IF(NOT(ISBLANK($A11)), (_xlfn.XLOOKUP($A11,Index!$B$2:$B$995,Index!$D$2:$D$995,"Not Found")),"")</f>
        <v>b</v>
      </c>
      <c r="F11" s="1" t="str">
        <f t="array" ref="F11">IF(NOT(ISBLANK($A11)), (_xlfn.XLOOKUP($A11,Index!$B$2:$B$995,Index!$E$2:$E$995,"Not Found")),"")</f>
        <v>n</v>
      </c>
      <c r="G11" s="1">
        <f t="array" ref="G11">IF(NOT(ISBLANK(A11)), ((_xlfn.XLOOKUP(A11,Index!$B$2:$B$995,Index!$F$2:$F$995,"Not Found"))*B11),"")</f>
        <v>0.5</v>
      </c>
      <c r="K11" s="1" t="s">
        <v>226</v>
      </c>
      <c r="L11" s="1">
        <f>IF(NOT(ISBLANK($K$2)), SUMIFS($B$2:$B$32, $C$2:$C$32,"Energy"), "")</f>
        <v>28</v>
      </c>
    </row>
    <row r="12">
      <c r="A12" s="1" t="s">
        <v>239</v>
      </c>
      <c r="B12" s="1">
        <v>16.0</v>
      </c>
      <c r="C12" s="1" t="str">
        <f t="array" ref="C12">IF(NOT(ISBLANK($A12)), (_xlfn.XLOOKUP($A12,Index!$B$2:$B$995,Index!$C$2:$C$995,"Not Found")),"")</f>
        <v>Energy</v>
      </c>
      <c r="D12" s="1" t="str">
        <f t="array" ref="D12">IF(NOT(ISBLANK(A12)), (_xlfn.XLOOKUP($A12,Index!$B$2:B$995,Index!$A$2:$A$995,"Not Found")),"")</f>
        <v>base1-102</v>
      </c>
      <c r="E12" s="2" t="str">
        <f t="array" ref="E12">IF(NOT(ISBLANK($A12)), (_xlfn.XLOOKUP($A12,Index!$B$2:$B$995,Index!$D$2:$D$995,"Not Found")),"")</f>
        <v/>
      </c>
      <c r="F12" s="1" t="str">
        <f t="array" ref="F12">IF(NOT(ISBLANK($A12)), (_xlfn.XLOOKUP($A12,Index!$B$2:$B$995,Index!$E$2:$E$995,"Not Found")),"")</f>
        <v/>
      </c>
      <c r="G12" s="1">
        <f t="array" ref="G12">IF(NOT(ISBLANK(A12)), ((_xlfn.XLOOKUP(A12,Index!$B$2:$B$995,Index!$F$2:$F$995,"Not Found"))*B12),"")</f>
        <v>0</v>
      </c>
      <c r="K12" s="1" t="s">
        <v>544</v>
      </c>
      <c r="L12" s="6">
        <f>L7</f>
        <v>22</v>
      </c>
    </row>
    <row r="13">
      <c r="A13" s="1" t="s">
        <v>237</v>
      </c>
      <c r="B13" s="1">
        <v>12.0</v>
      </c>
      <c r="C13" s="1" t="str">
        <f t="array" ref="C13">IF(NOT(ISBLANK($A13)), (_xlfn.XLOOKUP($A13,Index!$B$2:$B$995,Index!$C$2:$C$995,"Not Found")),"")</f>
        <v>Energy</v>
      </c>
      <c r="D13" s="1" t="str">
        <f t="array" ref="D13">IF(NOT(ISBLANK(A13)), (_xlfn.XLOOKUP($A13,Index!$B$2:B$995,Index!$A$2:$A$995,"Not Found")),"")</f>
        <v>base1-101</v>
      </c>
      <c r="E13" s="2" t="str">
        <f t="array" ref="E13">IF(NOT(ISBLANK($A13)), (_xlfn.XLOOKUP($A13,Index!$B$2:$B$995,Index!$D$2:$D$995,"Not Found")),"")</f>
        <v/>
      </c>
      <c r="F13" s="1" t="str">
        <f t="array" ref="F13">IF(NOT(ISBLANK($A13)), (_xlfn.XLOOKUP($A13,Index!$B$2:$B$995,Index!$E$2:$E$995,"Not Found")),"")</f>
        <v/>
      </c>
      <c r="G13" s="1">
        <f t="array" ref="G13">IF(NOT(ISBLANK(A13)), ((_xlfn.XLOOKUP(A13,Index!$B$2:$B$995,Index!$F$2:$F$995,"Not Found"))*B13),"")</f>
        <v>0</v>
      </c>
    </row>
    <row r="14">
      <c r="A14" s="1" t="s">
        <v>502</v>
      </c>
      <c r="B14" s="1">
        <v>1.0</v>
      </c>
      <c r="C14" s="1" t="str">
        <f t="array" ref="C14">IF(NOT(ISBLANK($A14)), (_xlfn.XLOOKUP($A14,Index!$B$2:$B$995,Index!$C$2:$C$995,"Not Found")),"")</f>
        <v>T</v>
      </c>
      <c r="D14" s="1" t="str">
        <f t="array" ref="D14">IF(NOT(ISBLANK(A14)), (_xlfn.XLOOKUP($A14,Index!$B$2:B$995,Index!$A$2:$A$995,"Not Found")),"")</f>
        <v>base3-59</v>
      </c>
      <c r="E14" s="2"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494</v>
      </c>
      <c r="B15" s="1">
        <v>1.0</v>
      </c>
      <c r="C15" s="1" t="str">
        <f t="array" ref="C15">IF(NOT(ISBLANK($A15)), (_xlfn.XLOOKUP($A15,Index!$B$2:$B$995,Index!$C$2:$C$995,"Not Found")),"")</f>
        <v>T</v>
      </c>
      <c r="D15" s="1" t="str">
        <f t="array" ref="D15">IF(NOT(ISBLANK(A15)), (_xlfn.XLOOKUP($A15,Index!$B$2:B$995,Index!$A$2:$A$995,"Not Found")),"")</f>
        <v>base1-77</v>
      </c>
      <c r="E15" s="2" t="str">
        <f t="array" ref="E15">IF(NOT(ISBLANK($A15)), (_xlfn.XLOOKUP($A15,Index!$B$2:$B$995,Index!$D$2:$D$995,"Not Found")),"")</f>
        <v>r</v>
      </c>
      <c r="F15" s="1" t="str">
        <f t="array" ref="F15">IF(NOT(ISBLANK($A15)), (_xlfn.XLOOKUP($A15,Index!$B$2:$B$995,Index!$E$2:$E$995,"Not Found")),"")</f>
        <v/>
      </c>
      <c r="G15" s="1" t="str">
        <f t="array" ref="G15">IF(NOT(ISBLANK(A15)), ((_xlfn.XLOOKUP(A15,Index!$B$2:$B$995,Index!$F$2:$F$995,"Not Found"))*B15),"")</f>
        <v>#VALUE!</v>
      </c>
      <c r="K15" s="1" t="s">
        <v>629</v>
      </c>
    </row>
    <row r="16">
      <c r="A16" s="1" t="s">
        <v>543</v>
      </c>
      <c r="B16" s="1">
        <v>1.0</v>
      </c>
      <c r="C16" s="1" t="str">
        <f t="array" ref="C16">IF(NOT(ISBLANK($A16)), (_xlfn.XLOOKUP($A16,Index!$B$2:$B$995,Index!$C$2:$C$995,"Not Found")),"")</f>
        <v>T</v>
      </c>
      <c r="D16" s="1" t="str">
        <f t="array" ref="D16">IF(NOT(ISBLANK(A16)), (_xlfn.XLOOKUP($A16,Index!$B$2:B$995,Index!$A$2:$A$995,"Not Found")),"")</f>
        <v>base1-90</v>
      </c>
      <c r="E16" s="2" t="str">
        <f t="array" ref="E16">IF(NOT(ISBLANK($A16)), (_xlfn.XLOOKUP($A16,Index!$B$2:$B$995,Index!$D$2:$D$995,"Not Found")),"")</f>
        <v>u</v>
      </c>
      <c r="F16" s="1" t="str">
        <f t="array" ref="F16">IF(NOT(ISBLANK($A16)), (_xlfn.XLOOKUP($A16,Index!$B$2:$B$995,Index!$E$2:$E$995,"Not Found")),"")</f>
        <v/>
      </c>
      <c r="G16" s="1" t="str">
        <f t="array" ref="G16">IF(NOT(ISBLANK(A16)), ((_xlfn.XLOOKUP(A16,Index!$B$2:$B$995,Index!$F$2:$F$995,"Not Found"))*B16),"")</f>
        <v>#VALUE!</v>
      </c>
      <c r="K16" s="6" t="str">
        <f t="shared" ref="K16:K20" si="8">K2</f>
        <v>W</v>
      </c>
      <c r="L16" s="1">
        <f t="shared" ref="L16:L19" si="9">IF(NOT(ISBLANK($K2)), SUMIFS($G$2:$G$32, $C$2:$C$32,$K2), "")</f>
        <v>6</v>
      </c>
    </row>
    <row r="17">
      <c r="A17" s="1" t="s">
        <v>557</v>
      </c>
      <c r="B17" s="1">
        <v>2.0</v>
      </c>
      <c r="C17" s="1" t="str">
        <f t="array" ref="C17">IF(NOT(ISBLANK($A17)), (_xlfn.XLOOKUP($A17,Index!$B$2:$B$995,Index!$C$2:$C$995,"Not Found")),"")</f>
        <v>T</v>
      </c>
      <c r="D17" s="1" t="str">
        <f t="array" ref="D17">IF(NOT(ISBLANK(A17)), (_xlfn.XLOOKUP($A17,Index!$B$2:B$995,Index!$A$2:$A$995,"Not Found")),"")</f>
        <v>base1-91</v>
      </c>
      <c r="E17" s="2" t="str">
        <f t="array" ref="E17">IF(NOT(ISBLANK($A17)), (_xlfn.XLOOKUP($A17,Index!$B$2:$B$995,Index!$D$2:$D$995,"Not Found")),"")</f>
        <v>c</v>
      </c>
      <c r="F17" s="1" t="str">
        <f t="array" ref="F17">IF(NOT(ISBLANK($A17)), (_xlfn.XLOOKUP($A17,Index!$B$2:$B$995,Index!$E$2:$E$995,"Not Found")),"")</f>
        <v/>
      </c>
      <c r="G17" s="1" t="str">
        <f t="array" ref="G17">IF(NOT(ISBLANK(A17)), ((_xlfn.XLOOKUP(A17,Index!$B$2:$B$995,Index!$F$2:$F$995,"Not Found"))*B17),"")</f>
        <v>#VALUE!</v>
      </c>
      <c r="K17" s="6" t="str">
        <f t="shared" si="8"/>
        <v>P</v>
      </c>
      <c r="L17" s="1">
        <f t="shared" si="9"/>
        <v>5</v>
      </c>
    </row>
    <row r="18">
      <c r="A18" s="1" t="s">
        <v>555</v>
      </c>
      <c r="B18" s="1">
        <v>1.0</v>
      </c>
      <c r="C18" s="1" t="str">
        <f t="array" ref="C18">IF(NOT(ISBLANK($A18)), (_xlfn.XLOOKUP($A18,Index!$B$2:$B$995,Index!$C$2:$C$995,"Not Found")),"")</f>
        <v>T</v>
      </c>
      <c r="D18" s="1" t="str">
        <f t="array" ref="D18">IF(NOT(ISBLANK(A18)), (_xlfn.XLOOKUP($A18,Index!$B$2:B$995,Index!$A$2:$A$995,"Not Found")),"")</f>
        <v>base1-88</v>
      </c>
      <c r="E18" s="2" t="str">
        <f t="array" ref="E18">IF(NOT(ISBLANK($A18)), (_xlfn.XLOOKUP($A18,Index!$B$2:$B$995,Index!$D$2:$D$995,"Not Found")),"")</f>
        <v>u</v>
      </c>
      <c r="F18" s="1" t="str">
        <f t="array" ref="F18">IF(NOT(ISBLANK($A18)), (_xlfn.XLOOKUP($A18,Index!$B$2:$B$995,Index!$E$2:$E$995,"Not Found")),"")</f>
        <v/>
      </c>
      <c r="G18" s="1" t="str">
        <f t="array" ref="G18">IF(NOT(ISBLANK(A18)), ((_xlfn.XLOOKUP(A18,Index!$B$2:$B$995,Index!$F$2:$F$995,"Not Found"))*B18),"")</f>
        <v>#VALUE!</v>
      </c>
      <c r="K18" s="6" t="str">
        <f t="shared" si="8"/>
        <v>C</v>
      </c>
      <c r="L18" s="1">
        <f t="shared" si="9"/>
        <v>0.5</v>
      </c>
    </row>
    <row r="19">
      <c r="A19" s="1" t="s">
        <v>499</v>
      </c>
      <c r="B19" s="1">
        <v>2.0</v>
      </c>
      <c r="C19" s="1" t="str">
        <f t="array" ref="C19">IF(NOT(ISBLANK($A19)), (_xlfn.XLOOKUP($A19,Index!$B$2:$B$995,Index!$C$2:$C$995,"Not Found")),"")</f>
        <v>T</v>
      </c>
      <c r="D19" s="1" t="str">
        <f t="array" ref="D19">IF(NOT(ISBLANK(A19)), (_xlfn.XLOOKUP($A19,Index!$B$2:B$995,Index!$A$2:$A$995,"Not Found")),"")</f>
        <v>base2-64</v>
      </c>
      <c r="E19" s="2"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535</v>
      </c>
      <c r="B20" s="1">
        <v>1.0</v>
      </c>
      <c r="C20" s="1" t="str">
        <f t="array" ref="C20">IF(NOT(ISBLANK($A20)), (_xlfn.XLOOKUP($A20,Index!$B$2:$B$995,Index!$C$2:$C$995,"Not Found")),"")</f>
        <v>T</v>
      </c>
      <c r="D20" s="1" t="str">
        <f t="array" ref="D20">IF(NOT(ISBLANK(A20)), (_xlfn.XLOOKUP($A20,Index!$B$2:B$995,Index!$A$2:$A$995,"Not Found")),"")</f>
        <v>base1-93</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496</v>
      </c>
      <c r="B21" s="1">
        <v>1.0</v>
      </c>
      <c r="C21" s="1" t="str">
        <f t="array" ref="C21">IF(NOT(ISBLANK($A21)), (_xlfn.XLOOKUP($A21,Index!$B$2:$B$995,Index!$C$2:$C$995,"Not Found")),"")</f>
        <v>T</v>
      </c>
      <c r="D21" s="1" t="str">
        <f t="array" ref="D21">IF(NOT(ISBLANK(A21)), (_xlfn.XLOOKUP($A21,Index!$B$2:B$995,Index!$A$2:$A$995,"Not Found")),"")</f>
        <v>base1-81</v>
      </c>
      <c r="E21" s="2"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630</v>
      </c>
      <c r="L21" s="6">
        <f>SUM(L15:L19)</f>
        <v>11.5</v>
      </c>
    </row>
    <row r="22">
      <c r="C22" s="1" t="str">
        <f t="array" ref="C22">IF(NOT(ISBLANK($A22)), (_xlfn.XLOOKUP($A22,Index!$B$2:$B$995,Index!$C$2:$C$995,"Not Found")),"")</f>
        <v/>
      </c>
      <c r="D22" s="1" t="str">
        <f t="array" ref="D22">IF(NOT(ISBLANK(A22)), (_xlfn.XLOOKUP($A22,Index!$B$2:B$995,Index!$A$2:$A$995,"Not Found")),"")</f>
        <v/>
      </c>
      <c r="E22" s="2"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631</v>
      </c>
      <c r="L24" s="1" t="s">
        <v>584</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8</v>
      </c>
      <c r="I1" s="1" t="s">
        <v>10</v>
      </c>
      <c r="K1" s="1" t="s">
        <v>3</v>
      </c>
      <c r="L1" s="1" t="s">
        <v>12</v>
      </c>
      <c r="M1" s="1" t="s">
        <v>14</v>
      </c>
      <c r="N1" s="1" t="s">
        <v>16</v>
      </c>
      <c r="O1" s="1" t="s">
        <v>18</v>
      </c>
      <c r="P1" s="1" t="s">
        <v>20</v>
      </c>
      <c r="Q1" s="1" t="s">
        <v>21</v>
      </c>
    </row>
    <row r="2">
      <c r="A2" s="1" t="s">
        <v>23</v>
      </c>
      <c r="B2" s="1">
        <v>4.0</v>
      </c>
      <c r="C2" s="1" t="str">
        <f t="array" ref="C2">IF(NOT(ISBLANK($A2)), (_xlfn.XLOOKUP($A2,Index!$B$2:$B$995,Index!$C$2:$C$995,"Not Found")),"")</f>
        <v>F</v>
      </c>
      <c r="D2" s="1" t="str">
        <f t="array" ref="D2">IF(NOT(ISBLANK(A2)), (_xlfn.XLOOKUP($A2,Index!$B$2:B$995,Index!$A$2:$A$995,"Not Found")),"")</f>
        <v>base3-47</v>
      </c>
      <c r="E2" s="2"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6">
        <f>SUM(B2:B38)</f>
        <v>60</v>
      </c>
      <c r="K2" s="1" t="s">
        <v>94</v>
      </c>
      <c r="L2" s="6">
        <f t="shared" ref="L2:L6" si="1">IF(NOT(ISBLANK(K2)), SUM(M2:P2), "")</f>
        <v>12</v>
      </c>
      <c r="M2" s="1">
        <f t="shared" ref="M2:M5" si="2">IF(NOT(ISBLANK($K2)), SUMIFS($B$2:$B$32, $E$2:$E$32, "B", $C$2:$C$32,$K2), "")</f>
        <v>8</v>
      </c>
      <c r="N2" s="1">
        <f t="shared" ref="N2:N5" si="3">IF(NOT(ISBLANK($K2)),SUMIFS($B$2:$B$32,$E$2:$E$32, "1", $C$2:$C$32,$K2,$F$2:$F$32,"N"), "")</f>
        <v>0</v>
      </c>
      <c r="O2" s="1">
        <f t="shared" ref="O2:O5" si="4">IF(NOT(ISBLANK($K2)),SUMIFS($B$2:$B$32,$E$2:$E$32, "1", $C$2:$C$32,$K2,$F$2:$F$32,"Y"), "")</f>
        <v>3</v>
      </c>
      <c r="P2" s="1">
        <f t="shared" ref="P2:P5" si="5">IF(NOT(ISBLANK($K2)),SUMIFS($B$2:$B$32,$E$2:$E$32, "2", $C$2:$C$32,$K2), "")</f>
        <v>1</v>
      </c>
      <c r="Q2" s="1">
        <f t="shared" ref="Q2:Q5" si="6">IF(NOT(ISBLANK($K2)),SUMIFS($B$2:$B$32,$E$2:$E$32, "B", $C$2:$C$32,$K2,$F$2:$F$32,"N"), "")</f>
        <v>4</v>
      </c>
    </row>
    <row r="3">
      <c r="A3" s="1" t="s">
        <v>155</v>
      </c>
      <c r="B3" s="1">
        <v>3.0</v>
      </c>
      <c r="C3" s="1" t="str">
        <f t="array" ref="C3">IF(NOT(ISBLANK($A3)), (_xlfn.XLOOKUP($A3,Index!$B$2:$B$995,Index!$C$2:$C$995,"Not Found")),"")</f>
        <v>F</v>
      </c>
      <c r="D3" s="1" t="str">
        <f t="array" ref="D3">IF(NOT(ISBLANK(A3)), (_xlfn.XLOOKUP($A3,Index!$B$2:B$995,Index!$A$2:$A$995,"Not Found")),"")</f>
        <v>base3-37</v>
      </c>
      <c r="E3" s="2">
        <f t="array" ref="E3">IF(NOT(ISBLANK($A3)), (_xlfn.XLOOKUP($A3,Index!$B$2:$B$995,Index!$D$2:$D$995,"Not Found")),"")</f>
        <v>1</v>
      </c>
      <c r="F3" s="1" t="str">
        <f t="array" ref="F3">IF(NOT(ISBLANK($A3)), (_xlfn.XLOOKUP($A3,Index!$B$2:$B$995,Index!$E$2:$E$995,"Not Found")),"")</f>
        <v>y</v>
      </c>
      <c r="G3" s="1">
        <f t="array" ref="G3">IF(NOT(ISBLANK(A3)), ((_xlfn.XLOOKUP(A3,Index!$B$2:$B$995,Index!$F$2:$F$995,"Not Found"))*B3),"")</f>
        <v>0</v>
      </c>
      <c r="K3" s="1" t="s">
        <v>121</v>
      </c>
      <c r="L3" s="6">
        <f t="shared" si="1"/>
        <v>6</v>
      </c>
      <c r="M3" s="1">
        <f t="shared" si="2"/>
        <v>4</v>
      </c>
      <c r="N3" s="1">
        <f t="shared" si="3"/>
        <v>2</v>
      </c>
      <c r="O3" s="1">
        <f t="shared" si="4"/>
        <v>0</v>
      </c>
      <c r="P3" s="1">
        <f t="shared" si="5"/>
        <v>0</v>
      </c>
      <c r="Q3" s="1">
        <f t="shared" si="6"/>
        <v>1</v>
      </c>
    </row>
    <row r="4">
      <c r="A4" s="1" t="s">
        <v>195</v>
      </c>
      <c r="B4" s="1">
        <v>1.0</v>
      </c>
      <c r="C4" s="1" t="str">
        <f t="array" ref="C4">IF(NOT(ISBLANK($A4)), (_xlfn.XLOOKUP($A4,Index!$B$2:$B$995,Index!$C$2:$C$995,"Not Found")),"")</f>
        <v>F</v>
      </c>
      <c r="D4" s="1" t="str">
        <f t="array" ref="D4">IF(NOT(ISBLANK(A4)), (_xlfn.XLOOKUP($A4,Index!$B$2:B$995,Index!$A$2:$A$995,"Not Found")),"")</f>
        <v>base3-36</v>
      </c>
      <c r="E4" s="2">
        <f t="array" ref="E4">IF(NOT(ISBLANK($A4)), (_xlfn.XLOOKUP($A4,Index!$B$2:$B$995,Index!$D$2:$D$995,"Not Found")),"")</f>
        <v>2</v>
      </c>
      <c r="F4" s="1" t="str">
        <f t="array" ref="F4">IF(NOT(ISBLANK($A4)), (_xlfn.XLOOKUP($A4,Index!$B$2:$B$995,Index!$E$2:$E$995,"Not Found")),"")</f>
        <v/>
      </c>
      <c r="G4" s="1">
        <f t="array" ref="G4">IF(NOT(ISBLANK(A4)), ((_xlfn.XLOOKUP(A4,Index!$B$2:$B$995,Index!$F$2:$F$995,"Not Found"))*B4),"")</f>
        <v>3</v>
      </c>
      <c r="K4" s="1" t="s">
        <v>26</v>
      </c>
      <c r="L4" s="6">
        <f t="shared" si="1"/>
        <v>4</v>
      </c>
      <c r="M4" s="1">
        <f t="shared" si="2"/>
        <v>3</v>
      </c>
      <c r="N4" s="1">
        <f t="shared" si="3"/>
        <v>1</v>
      </c>
      <c r="O4" s="1">
        <f t="shared" si="4"/>
        <v>0</v>
      </c>
      <c r="P4" s="1">
        <f t="shared" si="5"/>
        <v>0</v>
      </c>
      <c r="Q4" s="1">
        <f t="shared" si="6"/>
        <v>1</v>
      </c>
    </row>
    <row r="5">
      <c r="A5" s="1" t="s">
        <v>245</v>
      </c>
      <c r="B5" s="1">
        <v>1.0</v>
      </c>
      <c r="C5" s="1" t="str">
        <f t="array" ref="C5">IF(NOT(ISBLANK($A5)), (_xlfn.XLOOKUP($A5,Index!$B$2:$B$995,Index!$C$2:$C$995,"Not Found")),"")</f>
        <v>F</v>
      </c>
      <c r="D5" s="1" t="str">
        <f t="array" ref="D5">IF(NOT(ISBLANK(A5)), (_xlfn.XLOOKUP($A5,Index!$B$2:B$995,Index!$A$2:$A$995,"Not Found")),"")</f>
        <v>base3-22</v>
      </c>
      <c r="E5" s="2" t="str">
        <f t="array" ref="E5">IF(NOT(ISBLANK($A5)), (_xlfn.XLOOKUP($A5,Index!$B$2:$B$995,Index!$D$2:$D$995,"Not Found")),"")</f>
        <v>b</v>
      </c>
      <c r="F5" s="1" t="str">
        <f t="array" ref="F5">IF(NOT(ISBLANK($A5)), (_xlfn.XLOOKUP($A5,Index!$B$2:$B$995,Index!$E$2:$E$995,"Not Found")),"")</f>
        <v>n</v>
      </c>
      <c r="G5" s="1">
        <f t="array" ref="G5">IF(NOT(ISBLANK(A5)), ((_xlfn.XLOOKUP(A5,Index!$B$2:$B$995,Index!$F$2:$F$995,"Not Found"))*B5),"")</f>
        <v>1</v>
      </c>
      <c r="L5" s="6" t="str">
        <f t="shared" si="1"/>
        <v/>
      </c>
      <c r="M5" s="1" t="str">
        <f t="shared" si="2"/>
        <v/>
      </c>
      <c r="N5" s="1" t="str">
        <f t="shared" si="3"/>
        <v/>
      </c>
      <c r="O5" s="1" t="str">
        <f t="shared" si="4"/>
        <v/>
      </c>
      <c r="P5" s="1" t="str">
        <f t="shared" si="5"/>
        <v/>
      </c>
      <c r="Q5" s="1" t="str">
        <f t="shared" si="6"/>
        <v/>
      </c>
    </row>
    <row r="6">
      <c r="A6" s="1" t="s">
        <v>272</v>
      </c>
      <c r="B6" s="1">
        <v>2.0</v>
      </c>
      <c r="C6" s="1" t="str">
        <f t="array" ref="C6">IF(NOT(ISBLANK($A6)), (_xlfn.XLOOKUP($A6,Index!$B$2:$B$995,Index!$C$2:$C$995,"Not Found")),"")</f>
        <v>F</v>
      </c>
      <c r="D6" s="1" t="str">
        <f t="array" ref="D6">IF(NOT(ISBLANK(A6)), (_xlfn.XLOOKUP($A6,Index!$B$2:B$995,Index!$A$2:$A$995,"Not Found")),"")</f>
        <v>base1-7</v>
      </c>
      <c r="E6" s="2" t="str">
        <f t="array" ref="E6">IF(NOT(ISBLANK($A6)), (_xlfn.XLOOKUP($A6,Index!$B$2:$B$995,Index!$D$2:$D$995,"Not Found")),"")</f>
        <v>b</v>
      </c>
      <c r="F6" s="1" t="str">
        <f t="array" ref="F6">IF(NOT(ISBLANK($A6)), (_xlfn.XLOOKUP($A6,Index!$B$2:$B$995,Index!$E$2:$E$995,"Not Found")),"")</f>
        <v>n</v>
      </c>
      <c r="G6" s="1">
        <f t="array" ref="G6">IF(NOT(ISBLANK(A6)), ((_xlfn.XLOOKUP(A6,Index!$B$2:$B$995,Index!$F$2:$F$995,"Not Found"))*B6),"")</f>
        <v>1</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222</v>
      </c>
      <c r="B7" s="1">
        <v>3.0</v>
      </c>
      <c r="C7" s="1" t="str">
        <f t="array" ref="C7">IF(NOT(ISBLANK($A7)), (_xlfn.XLOOKUP($A7,Index!$B$2:$B$995,Index!$C$2:$C$995,"Not Found")),"")</f>
        <v>E</v>
      </c>
      <c r="D7" s="1" t="str">
        <f t="array" ref="D7">IF(NOT(ISBLANK(A7)), (_xlfn.XLOOKUP($A7,Index!$B$2:B$995,Index!$A$2:$A$995,"Not Found")),"")</f>
        <v>base2-60</v>
      </c>
      <c r="E7" s="2"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358</v>
      </c>
      <c r="L7" s="6">
        <f t="shared" ref="L7:Q7" si="7">SUM(L2:L6)</f>
        <v>22</v>
      </c>
      <c r="M7" s="6">
        <f t="shared" si="7"/>
        <v>15</v>
      </c>
      <c r="N7" s="6">
        <f t="shared" si="7"/>
        <v>3</v>
      </c>
      <c r="O7" s="6">
        <f t="shared" si="7"/>
        <v>3</v>
      </c>
      <c r="P7" s="6">
        <f t="shared" si="7"/>
        <v>1</v>
      </c>
      <c r="Q7" s="6">
        <f t="shared" si="7"/>
        <v>6</v>
      </c>
    </row>
    <row r="8">
      <c r="A8" s="1" t="s">
        <v>191</v>
      </c>
      <c r="B8" s="1">
        <v>1.0</v>
      </c>
      <c r="C8" s="1" t="str">
        <f t="array" ref="C8">IF(NOT(ISBLANK($A8)), (_xlfn.XLOOKUP($A8,Index!$B$2:$B$995,Index!$C$2:$C$995,"Not Found")),"")</f>
        <v>E</v>
      </c>
      <c r="D8" s="1" t="str">
        <f t="array" ref="D8">IF(NOT(ISBLANK(A8)), (_xlfn.XLOOKUP($A8,Index!$B$2:B$995,Index!$A$2:$A$995,"Not Found")),"")</f>
        <v>base3-29</v>
      </c>
      <c r="E8" s="2">
        <f t="array" ref="E8">IF(NOT(ISBLANK($A8)), (_xlfn.XLOOKUP($A8,Index!$B$2:$B$995,Index!$D$2:$D$995,"Not Found")),"")</f>
        <v>1</v>
      </c>
      <c r="F8" s="1" t="str">
        <f t="array" ref="F8">IF(NOT(ISBLANK($A8)), (_xlfn.XLOOKUP($A8,Index!$B$2:$B$995,Index!$E$2:$E$995,"Not Found")),"")</f>
        <v>n</v>
      </c>
      <c r="G8" s="1">
        <f t="array" ref="G8">IF(NOT(ISBLANK(A8)), ((_xlfn.XLOOKUP(A8,Index!$B$2:$B$995,Index!$F$2:$F$995,"Not Found"))*B8),"")</f>
        <v>2</v>
      </c>
    </row>
    <row r="9">
      <c r="A9" s="1" t="s">
        <v>180</v>
      </c>
      <c r="B9" s="1">
        <v>1.0</v>
      </c>
      <c r="C9" s="1" t="str">
        <f t="array" ref="C9">IF(NOT(ISBLANK($A9)), (_xlfn.XLOOKUP($A9,Index!$B$2:$B$995,Index!$C$2:$C$995,"Not Found")),"")</f>
        <v>E</v>
      </c>
      <c r="D9" s="1" t="str">
        <f t="array" ref="D9">IF(NOT(ISBLANK(A9)), (_xlfn.XLOOKUP($A9,Index!$B$2:B$995,Index!$A$2:$A$995,"Not Found")),"")</f>
        <v>base3-14</v>
      </c>
      <c r="E9" s="2">
        <f t="array" ref="E9">IF(NOT(ISBLANK($A9)), (_xlfn.XLOOKUP($A9,Index!$B$2:$B$995,Index!$D$2:$D$995,"Not Found")),"")</f>
        <v>1</v>
      </c>
      <c r="F9" s="1" t="str">
        <f t="array" ref="F9">IF(NOT(ISBLANK($A9)), (_xlfn.XLOOKUP($A9,Index!$B$2:$B$995,Index!$E$2:$E$995,"Not Found")),"")</f>
        <v>n</v>
      </c>
      <c r="G9" s="1">
        <f t="array" ref="G9">IF(NOT(ISBLANK(A9)), ((_xlfn.XLOOKUP(A9,Index!$B$2:$B$995,Index!$F$2:$F$995,"Not Found"))*B9),"")</f>
        <v>2</v>
      </c>
      <c r="M9" s="1" t="s">
        <v>423</v>
      </c>
      <c r="N9" s="1" t="s">
        <v>424</v>
      </c>
      <c r="O9" s="1" t="s">
        <v>425</v>
      </c>
    </row>
    <row r="10">
      <c r="A10" s="1" t="s">
        <v>210</v>
      </c>
      <c r="B10" s="1">
        <v>1.0</v>
      </c>
      <c r="C10" s="1" t="str">
        <f t="array" ref="C10">IF(NOT(ISBLANK($A10)), (_xlfn.XLOOKUP($A10,Index!$B$2:$B$995,Index!$C$2:$C$995,"Not Found")),"")</f>
        <v>E</v>
      </c>
      <c r="D10" s="1" t="str">
        <f t="array" ref="D10">IF(NOT(ISBLANK(A10)), (_xlfn.XLOOKUP($A10,Index!$B$2:B$995,Index!$A$2:$A$995,"Not Found")),"")</f>
        <v>base1-20</v>
      </c>
      <c r="E10" s="2" t="str">
        <f t="array" ref="E10">IF(NOT(ISBLANK($A10)), (_xlfn.XLOOKUP($A10,Index!$B$2:$B$995,Index!$D$2:$D$995,"Not Found")),"")</f>
        <v>b</v>
      </c>
      <c r="F10" s="1" t="str">
        <f t="array" ref="F10">IF(NOT(ISBLANK($A10)), (_xlfn.XLOOKUP($A10,Index!$B$2:$B$995,Index!$E$2:$E$995,"Not Found")),"")</f>
        <v>n</v>
      </c>
      <c r="G10" s="1">
        <f t="array" ref="G10">IF(NOT(ISBLANK(A10)), ((_xlfn.XLOOKUP(A10,Index!$B$2:$B$995,Index!$F$2:$F$995,"Not Found"))*B10),"")</f>
        <v>1</v>
      </c>
      <c r="K10" s="1" t="s">
        <v>452</v>
      </c>
      <c r="L10" s="6">
        <f>SUM(M10:P10)</f>
        <v>10</v>
      </c>
      <c r="M10" s="6">
        <f>IF(NOT(ISBLANK($K10)), SUMIFS($B$2:$B$32,$E$2:$E$32, "C", $C$2:$C$32,"T"), "")</f>
        <v>6</v>
      </c>
      <c r="N10" s="6">
        <f>IF(NOT(ISBLANK($K10)), SUMIFS($B$2:$B$32,$E$2:$E$32, "U", $C$2:$C$32,"T"), "")</f>
        <v>3</v>
      </c>
      <c r="O10" s="6">
        <f>IF(NOT(ISBLANK($K$2)), SUMIFS($B$2:$B$32,$E$2:$E$32, "R", $C$2:$C$32,"T"), "")</f>
        <v>1</v>
      </c>
    </row>
    <row r="11">
      <c r="A11" s="1" t="s">
        <v>134</v>
      </c>
      <c r="B11" s="1">
        <v>2.0</v>
      </c>
      <c r="C11" s="1" t="str">
        <f t="array" ref="C11">IF(NOT(ISBLANK($A11)), (_xlfn.XLOOKUP($A11,Index!$B$2:$B$995,Index!$C$2:$C$995,"Not Found")),"")</f>
        <v>C</v>
      </c>
      <c r="D11" s="1" t="str">
        <f t="array" ref="D11">IF(NOT(ISBLANK(A11)), (_xlfn.XLOOKUP($A11,Index!$B$2:B$995,Index!$A$2:$A$995,"Not Found")),"")</f>
        <v>base1-61</v>
      </c>
      <c r="E11" s="2" t="str">
        <f t="array" ref="E11">IF(NOT(ISBLANK($A11)), (_xlfn.XLOOKUP($A11,Index!$B$2:$B$995,Index!$D$2:$D$995,"Not Found")),"")</f>
        <v>b</v>
      </c>
      <c r="F11" s="1" t="str">
        <f t="array" ref="F11">IF(NOT(ISBLANK($A11)), (_xlfn.XLOOKUP($A11,Index!$B$2:$B$995,Index!$E$2:$E$995,"Not Found")),"")</f>
        <v>y</v>
      </c>
      <c r="G11" s="1">
        <f t="array" ref="G11">IF(NOT(ISBLANK(A11)), ((_xlfn.XLOOKUP(A11,Index!$B$2:$B$995,Index!$F$2:$F$995,"Not Found"))*B11),"")</f>
        <v>0</v>
      </c>
      <c r="K11" s="1" t="s">
        <v>226</v>
      </c>
      <c r="L11" s="1">
        <f>IF(NOT(ISBLANK($K$2)), SUMIFS($B$2:$B$32, $C$2:$C$32,"Energy"), "")</f>
        <v>28</v>
      </c>
    </row>
    <row r="12">
      <c r="A12" s="1" t="s">
        <v>124</v>
      </c>
      <c r="B12" s="1">
        <v>1.0</v>
      </c>
      <c r="C12" s="1" t="str">
        <f t="array" ref="C12">IF(NOT(ISBLANK($A12)), (_xlfn.XLOOKUP($A12,Index!$B$2:$B$995,Index!$C$2:$C$995,"Not Found")),"")</f>
        <v>C</v>
      </c>
      <c r="D12" s="1" t="str">
        <f t="array" ref="D12">IF(NOT(ISBLANK(A12)), (_xlfn.XLOOKUP($A12,Index!$B$2:B$995,Index!$A$2:$A$995,"Not Found")),"")</f>
        <v>base1-40</v>
      </c>
      <c r="E12" s="2">
        <f t="array" ref="E12">IF(NOT(ISBLANK($A12)), (_xlfn.XLOOKUP($A12,Index!$B$2:$B$995,Index!$D$2:$D$995,"Not Found")),"")</f>
        <v>1</v>
      </c>
      <c r="F12" s="1" t="str">
        <f t="array" ref="F12">IF(NOT(ISBLANK($A12)), (_xlfn.XLOOKUP($A12,Index!$B$2:$B$995,Index!$E$2:$E$995,"Not Found")),"")</f>
        <v>n</v>
      </c>
      <c r="G12" s="1">
        <f t="array" ref="G12">IF(NOT(ISBLANK(A12)), ((_xlfn.XLOOKUP(A12,Index!$B$2:$B$995,Index!$F$2:$F$995,"Not Found"))*B12),"")</f>
        <v>0</v>
      </c>
      <c r="K12" s="1" t="s">
        <v>544</v>
      </c>
      <c r="L12" s="6">
        <f>L7</f>
        <v>22</v>
      </c>
    </row>
    <row r="13">
      <c r="A13" s="1" t="s">
        <v>102</v>
      </c>
      <c r="B13" s="1">
        <v>1.0</v>
      </c>
      <c r="C13" s="1" t="str">
        <f t="array" ref="C13">IF(NOT(ISBLANK($A13)), (_xlfn.XLOOKUP($A13,Index!$B$2:$B$995,Index!$C$2:$C$995,"Not Found")),"")</f>
        <v>C</v>
      </c>
      <c r="D13" s="1" t="str">
        <f t="array" ref="D13">IF(NOT(ISBLANK(A13)), (_xlfn.XLOOKUP($A13,Index!$B$2:B$995,Index!$A$2:$A$995,"Not Found")),"")</f>
        <v>base3-18</v>
      </c>
      <c r="E13" s="2" t="str">
        <f t="array" ref="E13">IF(NOT(ISBLANK($A13)), (_xlfn.XLOOKUP($A13,Index!$B$2:$B$995,Index!$D$2:$D$995,"Not Found")),"")</f>
        <v>b</v>
      </c>
      <c r="F13" s="1" t="str">
        <f t="array" ref="F13">IF(NOT(ISBLANK($A13)), (_xlfn.XLOOKUP($A13,Index!$B$2:$B$995,Index!$E$2:$E$995,"Not Found")),"")</f>
        <v>n</v>
      </c>
      <c r="G13" s="1">
        <f t="array" ref="G13">IF(NOT(ISBLANK(A13)), ((_xlfn.XLOOKUP(A13,Index!$B$2:$B$995,Index!$F$2:$F$995,"Not Found"))*B13),"")</f>
        <v>0.5</v>
      </c>
    </row>
    <row r="14">
      <c r="A14" s="1" t="s">
        <v>228</v>
      </c>
      <c r="B14" s="1">
        <v>18.0</v>
      </c>
      <c r="C14" s="1" t="str">
        <f t="array" ref="C14">IF(NOT(ISBLANK($A14)), (_xlfn.XLOOKUP($A14,Index!$B$2:$B$995,Index!$C$2:$C$995,"Not Found")),"")</f>
        <v>Energy</v>
      </c>
      <c r="D14" s="1" t="str">
        <f t="array" ref="D14">IF(NOT(ISBLANK(A14)), (_xlfn.XLOOKUP($A14,Index!$B$2:B$995,Index!$A$2:$A$995,"Not Found")),"")</f>
        <v>base1-97</v>
      </c>
      <c r="E14" s="2" t="str">
        <f t="array" ref="E14">IF(NOT(ISBLANK($A14)), (_xlfn.XLOOKUP($A14,Index!$B$2:$B$995,Index!$D$2:$D$995,"Not Found")),"")</f>
        <v/>
      </c>
      <c r="F14" s="1" t="str">
        <f t="array" ref="F14">IF(NOT(ISBLANK($A14)), (_xlfn.XLOOKUP($A14,Index!$B$2:$B$995,Index!$E$2:$E$995,"Not Found")),"")</f>
        <v/>
      </c>
      <c r="G14" s="1">
        <f t="array" ref="G14">IF(NOT(ISBLANK(A14)), ((_xlfn.XLOOKUP(A14,Index!$B$2:$B$995,Index!$F$2:$F$995,"Not Found"))*B14),"")</f>
        <v>0</v>
      </c>
    </row>
    <row r="15">
      <c r="A15" s="1" t="s">
        <v>235</v>
      </c>
      <c r="B15" s="1">
        <v>10.0</v>
      </c>
      <c r="C15" s="1" t="str">
        <f t="array" ref="C15">IF(NOT(ISBLANK($A15)), (_xlfn.XLOOKUP($A15,Index!$B$2:$B$995,Index!$C$2:$C$995,"Not Found")),"")</f>
        <v>Energy</v>
      </c>
      <c r="D15" s="1" t="str">
        <f t="array" ref="D15">IF(NOT(ISBLANK(A15)), (_xlfn.XLOOKUP($A15,Index!$B$2:B$995,Index!$A$2:$A$995,"Not Found")),"")</f>
        <v>base1-100</v>
      </c>
      <c r="E15" s="2" t="str">
        <f t="array" ref="E15">IF(NOT(ISBLANK($A15)), (_xlfn.XLOOKUP($A15,Index!$B$2:$B$995,Index!$D$2:$D$995,"Not Found")),"")</f>
        <v/>
      </c>
      <c r="F15" s="1" t="str">
        <f t="array" ref="F15">IF(NOT(ISBLANK($A15)), (_xlfn.XLOOKUP($A15,Index!$B$2:$B$995,Index!$E$2:$E$995,"Not Found")),"")</f>
        <v/>
      </c>
      <c r="G15" s="1">
        <f t="array" ref="G15">IF(NOT(ISBLANK(A15)), ((_xlfn.XLOOKUP(A15,Index!$B$2:$B$995,Index!$F$2:$F$995,"Not Found"))*B15),"")</f>
        <v>0</v>
      </c>
      <c r="K15" s="1" t="s">
        <v>629</v>
      </c>
    </row>
    <row r="16">
      <c r="A16" s="1" t="s">
        <v>511</v>
      </c>
      <c r="B16" s="1">
        <v>1.0</v>
      </c>
      <c r="C16" s="1" t="str">
        <f t="array" ref="C16">IF(NOT(ISBLANK($A16)), (_xlfn.XLOOKUP($A16,Index!$B$2:$B$995,Index!$C$2:$C$995,"Not Found")),"")</f>
        <v>T</v>
      </c>
      <c r="D16" s="1" t="str">
        <f t="array" ref="D16">IF(NOT(ISBLANK(A16)), (_xlfn.XLOOKUP($A16,Index!$B$2:B$995,Index!$A$2:$A$995,"Not Found")),"")</f>
        <v>base1-75</v>
      </c>
      <c r="E16" s="2" t="str">
        <f t="array" ref="E16">IF(NOT(ISBLANK($A16)), (_xlfn.XLOOKUP($A16,Index!$B$2:$B$995,Index!$D$2:$D$995,"Not Found")),"")</f>
        <v>r</v>
      </c>
      <c r="F16" s="1" t="str">
        <f t="array" ref="F16">IF(NOT(ISBLANK($A16)), (_xlfn.XLOOKUP($A16,Index!$B$2:$B$995,Index!$E$2:$E$995,"Not Found")),"")</f>
        <v/>
      </c>
      <c r="G16" s="1" t="str">
        <f t="array" ref="G16">IF(NOT(ISBLANK(A16)), ((_xlfn.XLOOKUP(A16,Index!$B$2:$B$995,Index!$F$2:$F$995,"Not Found"))*B16),"")</f>
        <v>#VALUE!</v>
      </c>
      <c r="K16" s="6" t="str">
        <f t="shared" ref="K16:K20" si="8">K2</f>
        <v>F</v>
      </c>
      <c r="L16" s="1">
        <f t="shared" ref="L16:L19" si="9">IF(NOT(ISBLANK($K2)), SUMIFS($G$2:$G$32, $C$2:$C$32,$K2), "")</f>
        <v>6</v>
      </c>
    </row>
    <row r="17">
      <c r="A17" s="1" t="s">
        <v>557</v>
      </c>
      <c r="B17" s="1">
        <v>2.0</v>
      </c>
      <c r="C17" s="1" t="str">
        <f t="array" ref="C17">IF(NOT(ISBLANK($A17)), (_xlfn.XLOOKUP($A17,Index!$B$2:$B$995,Index!$C$2:$C$995,"Not Found")),"")</f>
        <v>T</v>
      </c>
      <c r="D17" s="1" t="str">
        <f t="array" ref="D17">IF(NOT(ISBLANK(A17)), (_xlfn.XLOOKUP($A17,Index!$B$2:B$995,Index!$A$2:$A$995,"Not Found")),"")</f>
        <v>base1-91</v>
      </c>
      <c r="E17" s="2" t="str">
        <f t="array" ref="E17">IF(NOT(ISBLANK($A17)), (_xlfn.XLOOKUP($A17,Index!$B$2:$B$995,Index!$D$2:$D$995,"Not Found")),"")</f>
        <v>c</v>
      </c>
      <c r="F17" s="1" t="str">
        <f t="array" ref="F17">IF(NOT(ISBLANK($A17)), (_xlfn.XLOOKUP($A17,Index!$B$2:$B$995,Index!$E$2:$E$995,"Not Found")),"")</f>
        <v/>
      </c>
      <c r="G17" s="1" t="str">
        <f t="array" ref="G17">IF(NOT(ISBLANK(A17)), ((_xlfn.XLOOKUP(A17,Index!$B$2:$B$995,Index!$F$2:$F$995,"Not Found"))*B17),"")</f>
        <v>#VALUE!</v>
      </c>
      <c r="K17" s="6" t="str">
        <f t="shared" si="8"/>
        <v>E</v>
      </c>
      <c r="L17" s="1">
        <f t="shared" si="9"/>
        <v>5</v>
      </c>
    </row>
    <row r="18">
      <c r="A18" s="1" t="s">
        <v>555</v>
      </c>
      <c r="B18" s="1">
        <v>1.0</v>
      </c>
      <c r="C18" s="1" t="str">
        <f t="array" ref="C18">IF(NOT(ISBLANK($A18)), (_xlfn.XLOOKUP($A18,Index!$B$2:$B$995,Index!$C$2:$C$995,"Not Found")),"")</f>
        <v>T</v>
      </c>
      <c r="D18" s="1" t="str">
        <f t="array" ref="D18">IF(NOT(ISBLANK(A18)), (_xlfn.XLOOKUP($A18,Index!$B$2:B$995,Index!$A$2:$A$995,"Not Found")),"")</f>
        <v>base1-88</v>
      </c>
      <c r="E18" s="2" t="str">
        <f t="array" ref="E18">IF(NOT(ISBLANK($A18)), (_xlfn.XLOOKUP($A18,Index!$B$2:$B$995,Index!$D$2:$D$995,"Not Found")),"")</f>
        <v>u</v>
      </c>
      <c r="F18" s="1" t="str">
        <f t="array" ref="F18">IF(NOT(ISBLANK($A18)), (_xlfn.XLOOKUP($A18,Index!$B$2:$B$995,Index!$E$2:$E$995,"Not Found")),"")</f>
        <v/>
      </c>
      <c r="G18" s="1" t="str">
        <f t="array" ref="G18">IF(NOT(ISBLANK(A18)), ((_xlfn.XLOOKUP(A18,Index!$B$2:$B$995,Index!$F$2:$F$995,"Not Found"))*B18),"")</f>
        <v>#VALUE!</v>
      </c>
      <c r="K18" s="6" t="str">
        <f t="shared" si="8"/>
        <v>C</v>
      </c>
      <c r="L18" s="1">
        <f t="shared" si="9"/>
        <v>0.5</v>
      </c>
    </row>
    <row r="19">
      <c r="A19" s="1" t="s">
        <v>502</v>
      </c>
      <c r="B19" s="1">
        <v>1.0</v>
      </c>
      <c r="C19" s="1" t="str">
        <f t="array" ref="C19">IF(NOT(ISBLANK($A19)), (_xlfn.XLOOKUP($A19,Index!$B$2:$B$995,Index!$C$2:$C$995,"Not Found")),"")</f>
        <v>T</v>
      </c>
      <c r="D19" s="1" t="str">
        <f t="array" ref="D19">IF(NOT(ISBLANK(A19)), (_xlfn.XLOOKUP($A19,Index!$B$2:B$995,Index!$A$2:$A$995,"Not Found")),"")</f>
        <v>base3-59</v>
      </c>
      <c r="E19" s="2"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499</v>
      </c>
      <c r="B20" s="1">
        <v>1.0</v>
      </c>
      <c r="C20" s="1" t="str">
        <f t="array" ref="C20">IF(NOT(ISBLANK($A20)), (_xlfn.XLOOKUP($A20,Index!$B$2:$B$995,Index!$C$2:$C$995,"Not Found")),"")</f>
        <v>T</v>
      </c>
      <c r="D20" s="1" t="str">
        <f t="array" ref="D20">IF(NOT(ISBLANK(A20)), (_xlfn.XLOOKUP($A20,Index!$B$2:B$995,Index!$A$2:$A$995,"Not Found")),"")</f>
        <v>base2-64</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521</v>
      </c>
      <c r="B21" s="1">
        <v>1.0</v>
      </c>
      <c r="C21" s="1" t="str">
        <f t="array" ref="C21">IF(NOT(ISBLANK($A21)), (_xlfn.XLOOKUP($A21,Index!$B$2:$B$995,Index!$C$2:$C$995,"Not Found")),"")</f>
        <v>T</v>
      </c>
      <c r="D21" s="1" t="str">
        <f t="array" ref="D21">IF(NOT(ISBLANK(A21)), (_xlfn.XLOOKUP($A21,Index!$B$2:B$995,Index!$A$2:$A$995,"Not Found")),"")</f>
        <v>base1-92</v>
      </c>
      <c r="E21" s="2" t="str">
        <f t="array" ref="E21">IF(NOT(ISBLANK($A21)), (_xlfn.XLOOKUP($A21,Index!$B$2:$B$995,Index!$D$2:$D$995,"Not Found")),"")</f>
        <v>c</v>
      </c>
      <c r="F21" s="1" t="str">
        <f t="array" ref="F21">IF(NOT(ISBLANK($A21)), (_xlfn.XLOOKUP($A21,Index!$B$2:$B$995,Index!$E$2:$E$995,"Not Found")),"")</f>
        <v/>
      </c>
      <c r="G21" s="1" t="str">
        <f t="array" ref="G21">IF(NOT(ISBLANK(A21)), ((_xlfn.XLOOKUP(A21,Index!$B$2:$B$995,Index!$F$2:$F$995,"Not Found"))*B21),"")</f>
        <v>#VALUE!</v>
      </c>
      <c r="K21" s="1" t="s">
        <v>630</v>
      </c>
      <c r="L21" s="6">
        <f>SUM(L15:L19)</f>
        <v>11.5</v>
      </c>
    </row>
    <row r="22">
      <c r="A22" s="1" t="s">
        <v>546</v>
      </c>
      <c r="B22" s="1">
        <v>1.0</v>
      </c>
      <c r="C22" s="1" t="str">
        <f t="array" ref="C22">IF(NOT(ISBLANK($A22)), (_xlfn.XLOOKUP($A22,Index!$B$2:$B$995,Index!$C$2:$C$995,"Not Found")),"")</f>
        <v>T</v>
      </c>
      <c r="D22" s="1" t="str">
        <f t="array" ref="D22">IF(NOT(ISBLANK(A22)), (_xlfn.XLOOKUP($A22,Index!$B$2:B$995,Index!$A$2:$A$995,"Not Found")),"")</f>
        <v>base1-94</v>
      </c>
      <c r="E22" s="2" t="str">
        <f t="array" ref="E22">IF(NOT(ISBLANK($A22)), (_xlfn.XLOOKUP($A22,Index!$B$2:$B$995,Index!$D$2:$D$995,"Not Found")),"")</f>
        <v>c</v>
      </c>
      <c r="F22" s="1" t="str">
        <f t="array" ref="F22">IF(NOT(ISBLANK($A22)), (_xlfn.XLOOKUP($A22,Index!$B$2:$B$995,Index!$E$2:$E$995,"Not Found")),"")</f>
        <v/>
      </c>
      <c r="G22" s="1" t="str">
        <f t="array" ref="G22">IF(NOT(ISBLANK(A22)), ((_xlfn.XLOOKUP(A22,Index!$B$2:$B$995,Index!$F$2:$F$995,"Not Found"))*B22),"")</f>
        <v>#VALUE!</v>
      </c>
    </row>
    <row r="23">
      <c r="A23" s="1" t="s">
        <v>496</v>
      </c>
      <c r="B23" s="1">
        <v>2.0</v>
      </c>
      <c r="C23" s="1" t="str">
        <f t="array" ref="C23">IF(NOT(ISBLANK($A23)), (_xlfn.XLOOKUP($A23,Index!$B$2:$B$995,Index!$C$2:$C$995,"Not Found")),"")</f>
        <v>T</v>
      </c>
      <c r="D23" s="1" t="str">
        <f t="array" ref="D23">IF(NOT(ISBLANK(A23)), (_xlfn.XLOOKUP($A23,Index!$B$2:B$995,Index!$A$2:$A$995,"Not Found")),"")</f>
        <v>base1-81</v>
      </c>
      <c r="E23" s="2" t="str">
        <f t="array" ref="E23">IF(NOT(ISBLANK($A23)), (_xlfn.XLOOKUP($A23,Index!$B$2:$B$995,Index!$D$2:$D$995,"Not Found")),"")</f>
        <v>u</v>
      </c>
      <c r="F23" s="1" t="str">
        <f t="array" ref="F23">IF(NOT(ISBLANK($A23)), (_xlfn.XLOOKUP($A23,Index!$B$2:$B$995,Index!$E$2:$E$995,"Not Found")),"")</f>
        <v/>
      </c>
      <c r="G23" s="1" t="str">
        <f t="array" ref="G23">IF(NOT(ISBLANK(A23)), ((_xlfn.XLOOKUP(A23,Index!$B$2:$B$995,Index!$F$2:$F$995,"Not Found"))*B23),"")</f>
        <v>#VALUE!</v>
      </c>
    </row>
    <row r="24">
      <c r="A24" s="1" t="s">
        <v>245</v>
      </c>
      <c r="B24" s="1">
        <v>1.0</v>
      </c>
      <c r="C24" s="1" t="str">
        <f t="array" ref="C24">IF(NOT(ISBLANK($A24)), (_xlfn.XLOOKUP($A24,Index!$B$2:$B$995,Index!$C$2:$C$995,"Not Found")),"")</f>
        <v>F</v>
      </c>
      <c r="D24" s="1" t="str">
        <f t="array" ref="D24">IF(NOT(ISBLANK(A24)), (_xlfn.XLOOKUP($A24,Index!$B$2:B$995,Index!$A$2:$A$995,"Not Found")),"")</f>
        <v>base3-22</v>
      </c>
      <c r="E24" s="2" t="str">
        <f t="array" ref="E24">IF(NOT(ISBLANK($A24)), (_xlfn.XLOOKUP($A24,Index!$B$2:$B$995,Index!$D$2:$D$995,"Not Found")),"")</f>
        <v>b</v>
      </c>
      <c r="F24" s="1" t="str">
        <f t="array" ref="F24">IF(NOT(ISBLANK($A24)), (_xlfn.XLOOKUP($A24,Index!$B$2:$B$995,Index!$E$2:$E$995,"Not Found")),"")</f>
        <v>n</v>
      </c>
      <c r="G24" s="1">
        <f t="array" ref="G24">IF(NOT(ISBLANK(A24)), ((_xlfn.XLOOKUP(A24,Index!$B$2:$B$995,Index!$F$2:$F$995,"Not Found"))*B24),"")</f>
        <v>1</v>
      </c>
      <c r="K24" s="1" t="s">
        <v>631</v>
      </c>
      <c r="L24" s="1" t="s">
        <v>271</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8</v>
      </c>
      <c r="I1" s="1" t="s">
        <v>10</v>
      </c>
      <c r="K1" s="1" t="s">
        <v>3</v>
      </c>
      <c r="L1" s="1" t="s">
        <v>12</v>
      </c>
      <c r="M1" s="1" t="s">
        <v>14</v>
      </c>
      <c r="N1" s="1" t="s">
        <v>16</v>
      </c>
      <c r="O1" s="1" t="s">
        <v>18</v>
      </c>
      <c r="P1" s="1" t="s">
        <v>20</v>
      </c>
      <c r="Q1" s="1" t="s">
        <v>21</v>
      </c>
    </row>
    <row r="2">
      <c r="A2" s="1" t="s">
        <v>404</v>
      </c>
      <c r="B2" s="1">
        <v>3.0</v>
      </c>
      <c r="C2" s="1" t="str">
        <f t="array" ref="C2">IF(NOT(ISBLANK($A2)), (_xlfn.XLOOKUP($A2,Index!$B$2:$B$995,Index!$C$2:$C$995,"Not Found")),"")</f>
        <v>G</v>
      </c>
      <c r="D2" s="1" t="str">
        <f t="array" ref="D2">IF(NOT(ISBLANK(A2)), (_xlfn.XLOOKUP($A2,Index!$B$2:B$995,Index!$A$2:$A$995,"Not Found")),"")</f>
        <v>base3-48</v>
      </c>
      <c r="E2" s="2"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6">
        <f>SUM(B2:B38)</f>
        <v>60</v>
      </c>
      <c r="K2" s="1" t="s">
        <v>301</v>
      </c>
      <c r="L2" s="6">
        <f t="shared" ref="L2:L6" si="1">IF(NOT(ISBLANK(K2)), SUM(M2:P2), "")</f>
        <v>12</v>
      </c>
      <c r="M2" s="1">
        <f t="shared" ref="M2:M5" si="2">IF(NOT(ISBLANK($K2)), SUMIFS($B$2:$B$32, $E$2:$E$32, "B", $C$2:$C$32,$K2), "")</f>
        <v>8</v>
      </c>
      <c r="N2" s="1">
        <f t="shared" ref="N2:N5" si="3">IF(NOT(ISBLANK($K2)),SUMIFS($B$2:$B$32,$E$2:$E$32, "1", $C$2:$C$32,$K2,$F$2:$F$32,"N"), "")</f>
        <v>4</v>
      </c>
      <c r="O2" s="1">
        <f t="shared" ref="O2:O5" si="4">IF(NOT(ISBLANK($K2)),SUMIFS($B$2:$B$32,$E$2:$E$32, "1", $C$2:$C$32,$K2,$F$2:$F$32,"Y"), "")</f>
        <v>0</v>
      </c>
      <c r="P2" s="1">
        <f t="shared" ref="P2:P5" si="5">IF(NOT(ISBLANK($K2)),SUMIFS($B$2:$B$32,$E$2:$E$32, "2", $C$2:$C$32,$K2), "")</f>
        <v>0</v>
      </c>
      <c r="Q2" s="1">
        <f t="shared" ref="Q2:Q5" si="6">IF(NOT(ISBLANK($K2)),SUMIFS($B$2:$B$32,$E$2:$E$32, "B", $C$2:$C$32,$K2,$F$2:$F$32,"N"), "")</f>
        <v>0</v>
      </c>
    </row>
    <row r="3">
      <c r="A3" s="1" t="s">
        <v>336</v>
      </c>
      <c r="B3" s="1">
        <v>1.0</v>
      </c>
      <c r="C3" s="1" t="str">
        <f t="array" ref="C3">IF(NOT(ISBLANK($A3)), (_xlfn.XLOOKUP($A3,Index!$B$2:$B$995,Index!$C$2:$C$995,"Not Found")),"")</f>
        <v>G</v>
      </c>
      <c r="D3" s="1" t="str">
        <f t="array" ref="D3">IF(NOT(ISBLANK(A3)), (_xlfn.XLOOKUP($A3,Index!$B$2:B$995,Index!$A$2:$A$995,"Not Found")),"")</f>
        <v>base3-13</v>
      </c>
      <c r="E3" s="2">
        <f t="array" ref="E3">IF(NOT(ISBLANK($A3)), (_xlfn.XLOOKUP($A3,Index!$B$2:$B$995,Index!$D$2:$D$995,"Not Found")),"")</f>
        <v>1</v>
      </c>
      <c r="F3" s="1" t="str">
        <f t="array" ref="F3">IF(NOT(ISBLANK($A3)), (_xlfn.XLOOKUP($A3,Index!$B$2:$B$995,Index!$E$2:$E$995,"Not Found")),"")</f>
        <v>n</v>
      </c>
      <c r="G3" s="1">
        <f t="array" ref="G3">IF(NOT(ISBLANK(A3)), ((_xlfn.XLOOKUP(A3,Index!$B$2:$B$995,Index!$F$2:$F$995,"Not Found"))*B3),"")</f>
        <v>2</v>
      </c>
      <c r="K3" s="1" t="s">
        <v>93</v>
      </c>
      <c r="L3" s="6">
        <f t="shared" si="1"/>
        <v>9</v>
      </c>
      <c r="M3" s="1">
        <f t="shared" si="2"/>
        <v>7</v>
      </c>
      <c r="N3" s="1">
        <f t="shared" si="3"/>
        <v>2</v>
      </c>
      <c r="O3" s="1">
        <f t="shared" si="4"/>
        <v>0</v>
      </c>
      <c r="P3" s="1">
        <f t="shared" si="5"/>
        <v>0</v>
      </c>
      <c r="Q3" s="1">
        <f t="shared" si="6"/>
        <v>2</v>
      </c>
    </row>
    <row r="4">
      <c r="A4" s="1" t="s">
        <v>339</v>
      </c>
      <c r="B4" s="1">
        <v>1.0</v>
      </c>
      <c r="C4" s="1" t="str">
        <f t="array" ref="C4">IF(NOT(ISBLANK($A4)), (_xlfn.XLOOKUP($A4,Index!$B$2:$B$995,Index!$C$2:$C$995,"Not Found")),"")</f>
        <v>G</v>
      </c>
      <c r="D4" s="1" t="str">
        <f t="array" ref="D4">IF(NOT(ISBLANK(A4)), (_xlfn.XLOOKUP($A4,Index!$B$2:B$995,Index!$A$2:$A$995,"Not Found")),"")</f>
        <v>base3-28</v>
      </c>
      <c r="E4" s="2">
        <f t="array" ref="E4">IF(NOT(ISBLANK($A4)), (_xlfn.XLOOKUP($A4,Index!$B$2:$B$995,Index!$D$2:$D$995,"Not Found")),"")</f>
        <v>1</v>
      </c>
      <c r="F4" s="1" t="str">
        <f t="array" ref="F4">IF(NOT(ISBLANK($A4)), (_xlfn.XLOOKUP($A4,Index!$B$2:$B$995,Index!$E$2:$E$995,"Not Found")),"")</f>
        <v>n</v>
      </c>
      <c r="G4" s="1">
        <f t="array" ref="G4">IF(NOT(ISBLANK(A4)), ((_xlfn.XLOOKUP(A4,Index!$B$2:$B$995,Index!$F$2:$F$995,"Not Found"))*B4),"")</f>
        <v>2</v>
      </c>
      <c r="K4" s="1" t="s">
        <v>26</v>
      </c>
      <c r="L4" s="6">
        <f t="shared" si="1"/>
        <v>1</v>
      </c>
      <c r="M4" s="1">
        <f t="shared" si="2"/>
        <v>1</v>
      </c>
      <c r="N4" s="1">
        <f t="shared" si="3"/>
        <v>0</v>
      </c>
      <c r="O4" s="1">
        <f t="shared" si="4"/>
        <v>0</v>
      </c>
      <c r="P4" s="1">
        <f t="shared" si="5"/>
        <v>0</v>
      </c>
      <c r="Q4" s="1">
        <f t="shared" si="6"/>
        <v>1</v>
      </c>
    </row>
    <row r="5">
      <c r="A5" s="1" t="s">
        <v>407</v>
      </c>
      <c r="B5" s="1">
        <v>3.0</v>
      </c>
      <c r="C5" s="1" t="str">
        <f t="array" ref="C5">IF(NOT(ISBLANK($A5)), (_xlfn.XLOOKUP($A5,Index!$B$2:$B$995,Index!$C$2:$C$995,"Not Found")),"")</f>
        <v>G</v>
      </c>
      <c r="D5" s="1" t="str">
        <f t="array" ref="D5">IF(NOT(ISBLANK(A5)), (_xlfn.XLOOKUP($A5,Index!$B$2:B$995,Index!$A$2:$A$995,"Not Found")),"")</f>
        <v>base3-57</v>
      </c>
      <c r="E5" s="2" t="str">
        <f t="array" ref="E5">IF(NOT(ISBLANK($A5)), (_xlfn.XLOOKUP($A5,Index!$B$2:$B$995,Index!$D$2:$D$995,"Not Found")),"")</f>
        <v>b</v>
      </c>
      <c r="F5" s="1" t="str">
        <f t="array" ref="F5">IF(NOT(ISBLANK($A5)), (_xlfn.XLOOKUP($A5,Index!$B$2:$B$995,Index!$E$2:$E$995,"Not Found")),"")</f>
        <v>y</v>
      </c>
      <c r="G5" s="1">
        <f t="array" ref="G5">IF(NOT(ISBLANK(A5)), ((_xlfn.XLOOKUP(A5,Index!$B$2:$B$995,Index!$F$2:$F$995,"Not Found"))*B5),"")</f>
        <v>0</v>
      </c>
      <c r="L5" s="6" t="str">
        <f t="shared" si="1"/>
        <v/>
      </c>
      <c r="M5" s="1" t="str">
        <f t="shared" si="2"/>
        <v/>
      </c>
      <c r="N5" s="1" t="str">
        <f t="shared" si="3"/>
        <v/>
      </c>
      <c r="O5" s="1" t="str">
        <f t="shared" si="4"/>
        <v/>
      </c>
      <c r="P5" s="1" t="str">
        <f t="shared" si="5"/>
        <v/>
      </c>
      <c r="Q5" s="1" t="str">
        <f t="shared" si="6"/>
        <v/>
      </c>
    </row>
    <row r="6">
      <c r="A6" s="1" t="s">
        <v>351</v>
      </c>
      <c r="B6" s="1">
        <v>1.0</v>
      </c>
      <c r="C6" s="1" t="str">
        <f t="array" ref="C6">IF(NOT(ISBLANK($A6)), (_xlfn.XLOOKUP($A6,Index!$B$2:$B$995,Index!$C$2:$C$995,"Not Found")),"")</f>
        <v>G</v>
      </c>
      <c r="D6" s="1" t="str">
        <f t="array" ref="D6">IF(NOT(ISBLANK(A6)), (_xlfn.XLOOKUP($A6,Index!$B$2:B$995,Index!$A$2:$A$995,"Not Found")),"")</f>
        <v>base3-34</v>
      </c>
      <c r="E6" s="2">
        <f t="array" ref="E6">IF(NOT(ISBLANK($A6)), (_xlfn.XLOOKUP($A6,Index!$B$2:$B$995,Index!$D$2:$D$995,"Not Found")),"")</f>
        <v>1</v>
      </c>
      <c r="F6" s="1" t="str">
        <f t="array" ref="F6">IF(NOT(ISBLANK($A6)), (_xlfn.XLOOKUP($A6,Index!$B$2:$B$995,Index!$E$2:$E$995,"Not Found")),"")</f>
        <v>n</v>
      </c>
      <c r="G6" s="1">
        <f t="array" ref="G6">IF(NOT(ISBLANK(A6)), ((_xlfn.XLOOKUP(A6,Index!$B$2:$B$995,Index!$F$2:$F$995,"Not Found"))*B6),"")</f>
        <v>1</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402</v>
      </c>
      <c r="B7" s="1">
        <v>2.0</v>
      </c>
      <c r="C7" s="1" t="str">
        <f t="array" ref="C7">IF(NOT(ISBLANK($A7)), (_xlfn.XLOOKUP($A7,Index!$B$2:$B$995,Index!$C$2:$C$995,"Not Found")),"")</f>
        <v>G</v>
      </c>
      <c r="D7" s="1" t="str">
        <f t="array" ref="D7">IF(NOT(ISBLANK(A7)), (_xlfn.XLOOKUP($A7,Index!$B$2:B$995,Index!$A$2:$A$995,"Not Found")),"")</f>
        <v>base3-46</v>
      </c>
      <c r="E7" s="2"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358</v>
      </c>
      <c r="L7" s="6">
        <f t="shared" ref="L7:Q7" si="7">SUM(L2:L6)</f>
        <v>22</v>
      </c>
      <c r="M7" s="6">
        <f t="shared" si="7"/>
        <v>16</v>
      </c>
      <c r="N7" s="6">
        <f t="shared" si="7"/>
        <v>6</v>
      </c>
      <c r="O7" s="6">
        <f t="shared" si="7"/>
        <v>0</v>
      </c>
      <c r="P7" s="6">
        <f t="shared" si="7"/>
        <v>0</v>
      </c>
      <c r="Q7" s="6">
        <f t="shared" si="7"/>
        <v>3</v>
      </c>
    </row>
    <row r="8">
      <c r="A8" s="1" t="s">
        <v>343</v>
      </c>
      <c r="B8" s="1">
        <v>1.0</v>
      </c>
      <c r="C8" s="1" t="str">
        <f t="array" ref="C8">IF(NOT(ISBLANK($A8)), (_xlfn.XLOOKUP($A8,Index!$B$2:$B$995,Index!$C$2:$C$995,"Not Found")),"")</f>
        <v>G</v>
      </c>
      <c r="D8" s="1" t="str">
        <f t="array" ref="D8">IF(NOT(ISBLANK(A8)), (_xlfn.XLOOKUP($A8,Index!$B$2:B$995,Index!$A$2:$A$995,"Not Found")),"")</f>
        <v>base3-31</v>
      </c>
      <c r="E8" s="2">
        <f t="array" ref="E8">IF(NOT(ISBLANK($A8)), (_xlfn.XLOOKUP($A8,Index!$B$2:$B$995,Index!$D$2:$D$995,"Not Found")),"")</f>
        <v>1</v>
      </c>
      <c r="F8" s="1" t="str">
        <f t="array" ref="F8">IF(NOT(ISBLANK($A8)), (_xlfn.XLOOKUP($A8,Index!$B$2:$B$995,Index!$E$2:$E$995,"Not Found")),"")</f>
        <v>n</v>
      </c>
      <c r="G8" s="1">
        <f t="array" ref="G8">IF(NOT(ISBLANK(A8)), ((_xlfn.XLOOKUP(A8,Index!$B$2:$B$995,Index!$F$2:$F$995,"Not Found"))*B8),"")</f>
        <v>1.5</v>
      </c>
    </row>
    <row r="9">
      <c r="A9" s="1" t="s">
        <v>623</v>
      </c>
      <c r="B9" s="1">
        <v>3.0</v>
      </c>
      <c r="C9" s="1" t="str">
        <f t="array" ref="C9">IF(NOT(ISBLANK($A9)), (_xlfn.XLOOKUP($A9,Index!$B$2:$B$995,Index!$C$2:$C$995,"Not Found")),"")</f>
        <v>W</v>
      </c>
      <c r="D9" s="1" t="str">
        <f t="array" ref="D9">IF(NOT(ISBLANK(A9)), (_xlfn.XLOOKUP($A9,Index!$B$2:B$995,Index!$A$2:$A$995,"Not Found")),"")</f>
        <v>base3-54</v>
      </c>
      <c r="E9" s="2" t="str">
        <f t="array" ref="E9">IF(NOT(ISBLANK($A9)), (_xlfn.XLOOKUP($A9,Index!$B$2:$B$995,Index!$D$2:$D$995,"Not Found")),"")</f>
        <v>b</v>
      </c>
      <c r="F9" s="1" t="str">
        <f t="array" ref="F9">IF(NOT(ISBLANK($A9)), (_xlfn.XLOOKUP($A9,Index!$B$2:$B$995,Index!$E$2:$E$995,"Not Found")),"")</f>
        <v>y</v>
      </c>
      <c r="G9" s="1">
        <f t="array" ref="G9">IF(NOT(ISBLANK(A9)), ((_xlfn.XLOOKUP(A9,Index!$B$2:$B$995,Index!$F$2:$F$995,"Not Found"))*B9),"")</f>
        <v>0</v>
      </c>
      <c r="M9" s="1" t="s">
        <v>423</v>
      </c>
      <c r="N9" s="1" t="s">
        <v>424</v>
      </c>
      <c r="O9" s="1" t="s">
        <v>425</v>
      </c>
    </row>
    <row r="10">
      <c r="A10" s="1" t="s">
        <v>581</v>
      </c>
      <c r="B10" s="1">
        <v>1.0</v>
      </c>
      <c r="C10" s="1" t="str">
        <f t="array" ref="C10">IF(NOT(ISBLANK($A10)), (_xlfn.XLOOKUP($A10,Index!$B$2:$B$995,Index!$C$2:$C$995,"Not Found")),"")</f>
        <v>W</v>
      </c>
      <c r="D10" s="1" t="str">
        <f t="array" ref="D10">IF(NOT(ISBLANK(A10)), (_xlfn.XLOOKUP($A10,Index!$B$2:B$995,Index!$A$2:$A$995,"Not Found")),"")</f>
        <v>base3-32</v>
      </c>
      <c r="E10" s="2">
        <f t="array" ref="E10">IF(NOT(ISBLANK($A10)), (_xlfn.XLOOKUP($A10,Index!$B$2:$B$995,Index!$D$2:$D$995,"Not Found")),"")</f>
        <v>1</v>
      </c>
      <c r="F10" s="1" t="str">
        <f t="array" ref="F10">IF(NOT(ISBLANK($A10)), (_xlfn.XLOOKUP($A10,Index!$B$2:$B$995,Index!$E$2:$E$995,"Not Found")),"")</f>
        <v>n</v>
      </c>
      <c r="G10" s="1">
        <f t="array" ref="G10">IF(NOT(ISBLANK(A10)), ((_xlfn.XLOOKUP(A10,Index!$B$2:$B$995,Index!$F$2:$F$995,"Not Found"))*B10),"")</f>
        <v>2</v>
      </c>
      <c r="K10" s="1" t="s">
        <v>452</v>
      </c>
      <c r="L10" s="6">
        <f>SUM(M10:P10)</f>
        <v>10</v>
      </c>
      <c r="M10" s="6">
        <f>IF(NOT(ISBLANK($K10)), SUMIFS($B$2:$B$32,$E$2:$E$32, "C", $C$2:$C$32,"T"), "")</f>
        <v>6</v>
      </c>
      <c r="N10" s="6">
        <f>IF(NOT(ISBLANK($K10)), SUMIFS($B$2:$B$32,$E$2:$E$32, "U", $C$2:$C$32,"T"), "")</f>
        <v>3</v>
      </c>
      <c r="O10" s="6">
        <f>IF(NOT(ISBLANK($K$2)), SUMIFS($B$2:$B$32,$E$2:$E$32, "R", $C$2:$C$32,"T"), "")</f>
        <v>1</v>
      </c>
    </row>
    <row r="11">
      <c r="A11" s="1" t="s">
        <v>617</v>
      </c>
      <c r="B11" s="1">
        <v>2.0</v>
      </c>
      <c r="C11" s="1" t="str">
        <f t="array" ref="C11">IF(NOT(ISBLANK($A11)), (_xlfn.XLOOKUP($A11,Index!$B$2:$B$995,Index!$C$2:$C$995,"Not Found")),"")</f>
        <v>W</v>
      </c>
      <c r="D11" s="1" t="str">
        <f t="array" ref="D11">IF(NOT(ISBLANK(A11)), (_xlfn.XLOOKUP($A11,Index!$B$2:B$995,Index!$A$2:$A$995,"Not Found")),"")</f>
        <v>base3-51</v>
      </c>
      <c r="E11" s="2" t="str">
        <f t="array" ref="E11">IF(NOT(ISBLANK($A11)), (_xlfn.XLOOKUP($A11,Index!$B$2:$B$995,Index!$D$2:$D$995,"Not Found")),"")</f>
        <v>b</v>
      </c>
      <c r="F11" s="1" t="str">
        <f t="array" ref="F11">IF(NOT(ISBLANK($A11)), (_xlfn.XLOOKUP($A11,Index!$B$2:$B$995,Index!$E$2:$E$995,"Not Found")),"")</f>
        <v>y</v>
      </c>
      <c r="G11" s="1">
        <f t="array" ref="G11">IF(NOT(ISBLANK(A11)), ((_xlfn.XLOOKUP(A11,Index!$B$2:$B$995,Index!$F$2:$F$995,"Not Found"))*B11),"")</f>
        <v>0</v>
      </c>
      <c r="K11" s="1" t="s">
        <v>226</v>
      </c>
      <c r="L11" s="1">
        <f>IF(NOT(ISBLANK($K$2)), SUMIFS($B$2:$B$32, $C$2:$C$32,"Energy"), "")</f>
        <v>28</v>
      </c>
    </row>
    <row r="12">
      <c r="A12" s="1" t="s">
        <v>628</v>
      </c>
      <c r="B12" s="1">
        <v>1.0</v>
      </c>
      <c r="C12" s="1" t="str">
        <f t="array" ref="C12">IF(NOT(ISBLANK($A12)), (_xlfn.XLOOKUP($A12,Index!$B$2:$B$995,Index!$C$2:$C$995,"Not Found")),"")</f>
        <v>W</v>
      </c>
      <c r="D12" s="1" t="str">
        <f t="array" ref="D12">IF(NOT(ISBLANK(A12)), (_xlfn.XLOOKUP($A12,Index!$B$2:B$995,Index!$A$2:$A$995,"Not Found")),"")</f>
        <v>base3-38</v>
      </c>
      <c r="E12" s="2">
        <f t="array" ref="E12">IF(NOT(ISBLANK($A12)), (_xlfn.XLOOKUP($A12,Index!$B$2:$B$995,Index!$D$2:$D$995,"Not Found")),"")</f>
        <v>1</v>
      </c>
      <c r="F12" s="1" t="str">
        <f t="array" ref="F12">IF(NOT(ISBLANK($A12)), (_xlfn.XLOOKUP($A12,Index!$B$2:$B$995,Index!$E$2:$E$995,"Not Found")),"")</f>
        <v>n</v>
      </c>
      <c r="G12" s="1">
        <f t="array" ref="G12">IF(NOT(ISBLANK(A12)), ((_xlfn.XLOOKUP(A12,Index!$B$2:$B$995,Index!$F$2:$F$995,"Not Found"))*B12),"")</f>
        <v>0</v>
      </c>
      <c r="K12" s="1" t="s">
        <v>544</v>
      </c>
      <c r="L12" s="6">
        <f>L7</f>
        <v>22</v>
      </c>
    </row>
    <row r="13">
      <c r="A13" s="1" t="s">
        <v>592</v>
      </c>
      <c r="B13" s="1">
        <v>1.0</v>
      </c>
      <c r="C13" s="1" t="str">
        <f t="array" ref="C13">IF(NOT(ISBLANK($A13)), (_xlfn.XLOOKUP($A13,Index!$B$2:$B$995,Index!$C$2:$C$995,"Not Found")),"")</f>
        <v>W</v>
      </c>
      <c r="D13" s="1" t="str">
        <f t="array" ref="D13">IF(NOT(ISBLANK(A13)), (_xlfn.XLOOKUP($A13,Index!$B$2:B$995,Index!$A$2:$A$995,"Not Found")),"")</f>
        <v>base3-10</v>
      </c>
      <c r="E13" s="2" t="str">
        <f t="array" ref="E13">IF(NOT(ISBLANK($A13)), (_xlfn.XLOOKUP($A13,Index!$B$2:$B$995,Index!$D$2:$D$995,"Not Found")),"")</f>
        <v>b</v>
      </c>
      <c r="F13" s="1" t="str">
        <f t="array" ref="F13">IF(NOT(ISBLANK($A13)), (_xlfn.XLOOKUP($A13,Index!$B$2:$B$995,Index!$E$2:$E$995,"Not Found")),"")</f>
        <v>n</v>
      </c>
      <c r="G13" s="1">
        <f t="array" ref="G13">IF(NOT(ISBLANK(A13)), ((_xlfn.XLOOKUP(A13,Index!$B$2:$B$995,Index!$F$2:$F$995,"Not Found"))*B13),"")</f>
        <v>1</v>
      </c>
    </row>
    <row r="14">
      <c r="A14" s="1" t="s">
        <v>576</v>
      </c>
      <c r="B14" s="1">
        <v>1.0</v>
      </c>
      <c r="C14" s="1" t="str">
        <f t="array" ref="C14">IF(NOT(ISBLANK($A14)), (_xlfn.XLOOKUP($A14,Index!$B$2:$B$995,Index!$C$2:$C$995,"Not Found")),"")</f>
        <v>W</v>
      </c>
      <c r="D14" s="1" t="str">
        <f t="array" ref="D14">IF(NOT(ISBLANK(A14)), (_xlfn.XLOOKUP($A14,Index!$B$2:B$995,Index!$A$2:$A$995,"Not Found")),"")</f>
        <v>base3-17</v>
      </c>
      <c r="E14" s="2" t="str">
        <f t="array" ref="E14">IF(NOT(ISBLANK($A14)), (_xlfn.XLOOKUP($A14,Index!$B$2:$B$995,Index!$D$2:$D$995,"Not Found")),"")</f>
        <v>b</v>
      </c>
      <c r="F14" s="1" t="str">
        <f t="array" ref="F14">IF(NOT(ISBLANK($A14)), (_xlfn.XLOOKUP($A14,Index!$B$2:$B$995,Index!$E$2:$E$995,"Not Found")),"")</f>
        <v>n</v>
      </c>
      <c r="G14" s="1">
        <f t="array" ref="G14">IF(NOT(ISBLANK(A14)), ((_xlfn.XLOOKUP(A14,Index!$B$2:$B$995,Index!$F$2:$F$995,"Not Found"))*B14),"")</f>
        <v>2</v>
      </c>
    </row>
    <row r="15">
      <c r="A15" s="1" t="s">
        <v>116</v>
      </c>
      <c r="B15" s="1">
        <v>1.0</v>
      </c>
      <c r="C15" s="1" t="str">
        <f t="array" ref="C15">IF(NOT(ISBLANK($A15)), (_xlfn.XLOOKUP($A15,Index!$B$2:$B$995,Index!$C$2:$C$995,"Not Found")),"")</f>
        <v>C</v>
      </c>
      <c r="D15" s="1" t="str">
        <f t="array" ref="D15">IF(NOT(ISBLANK(A15)), (_xlfn.XLOOKUP($A15,Index!$B$2:B$995,Index!$A$2:$A$995,"Not Found")),"")</f>
        <v>base1-27</v>
      </c>
      <c r="E15" s="2" t="str">
        <f t="array" ref="E15">IF(NOT(ISBLANK($A15)), (_xlfn.XLOOKUP($A15,Index!$B$2:$B$995,Index!$D$2:$D$995,"Not Found")),"")</f>
        <v>b</v>
      </c>
      <c r="F15" s="1" t="str">
        <f t="array" ref="F15">IF(NOT(ISBLANK($A15)), (_xlfn.XLOOKUP($A15,Index!$B$2:$B$995,Index!$E$2:$E$995,"Not Found")),"")</f>
        <v>n</v>
      </c>
      <c r="G15" s="1">
        <f t="array" ref="G15">IF(NOT(ISBLANK(A15)), ((_xlfn.XLOOKUP(A15,Index!$B$2:$B$995,Index!$F$2:$F$995,"Not Found"))*B15),"")</f>
        <v>0</v>
      </c>
      <c r="K15" s="1" t="s">
        <v>629</v>
      </c>
    </row>
    <row r="16">
      <c r="A16" s="1" t="s">
        <v>233</v>
      </c>
      <c r="B16" s="1">
        <v>16.0</v>
      </c>
      <c r="C16" s="1" t="str">
        <f t="array" ref="C16">IF(NOT(ISBLANK($A16)), (_xlfn.XLOOKUP($A16,Index!$B$2:$B$995,Index!$C$2:$C$995,"Not Found")),"")</f>
        <v>Energy</v>
      </c>
      <c r="D16" s="1" t="str">
        <f t="array" ref="D16">IF(NOT(ISBLANK(A16)), (_xlfn.XLOOKUP($A16,Index!$B$2:B$995,Index!$A$2:$A$995,"Not Found")),"")</f>
        <v>base1-99</v>
      </c>
      <c r="E16" s="2" t="str">
        <f t="array" ref="E16">IF(NOT(ISBLANK($A16)), (_xlfn.XLOOKUP($A16,Index!$B$2:$B$995,Index!$D$2:$D$995,"Not Found")),"")</f>
        <v/>
      </c>
      <c r="F16" s="1" t="str">
        <f t="array" ref="F16">IF(NOT(ISBLANK($A16)), (_xlfn.XLOOKUP($A16,Index!$B$2:$B$995,Index!$E$2:$E$995,"Not Found")),"")</f>
        <v/>
      </c>
      <c r="G16" s="1">
        <f t="array" ref="G16">IF(NOT(ISBLANK(A16)), ((_xlfn.XLOOKUP(A16,Index!$B$2:$B$995,Index!$F$2:$F$995,"Not Found"))*B16),"")</f>
        <v>0</v>
      </c>
      <c r="K16" s="6" t="str">
        <f t="shared" ref="K16:K20" si="8">K2</f>
        <v>G</v>
      </c>
      <c r="L16" s="1">
        <f t="shared" ref="L16:L19" si="9">IF(NOT(ISBLANK($K2)), SUMIFS($G$2:$G$32, $C$2:$C$32,$K2), "")</f>
        <v>6.5</v>
      </c>
    </row>
    <row r="17">
      <c r="A17" s="1" t="s">
        <v>239</v>
      </c>
      <c r="B17" s="1">
        <v>12.0</v>
      </c>
      <c r="C17" s="1" t="str">
        <f t="array" ref="C17">IF(NOT(ISBLANK($A17)), (_xlfn.XLOOKUP($A17,Index!$B$2:$B$995,Index!$C$2:$C$995,"Not Found")),"")</f>
        <v>Energy</v>
      </c>
      <c r="D17" s="1" t="str">
        <f t="array" ref="D17">IF(NOT(ISBLANK(A17)), (_xlfn.XLOOKUP($A17,Index!$B$2:B$995,Index!$A$2:$A$995,"Not Found")),"")</f>
        <v>base1-102</v>
      </c>
      <c r="E17" s="2" t="str">
        <f t="array" ref="E17">IF(NOT(ISBLANK($A17)), (_xlfn.XLOOKUP($A17,Index!$B$2:$B$995,Index!$D$2:$D$995,"Not Found")),"")</f>
        <v/>
      </c>
      <c r="F17" s="1" t="str">
        <f t="array" ref="F17">IF(NOT(ISBLANK($A17)), (_xlfn.XLOOKUP($A17,Index!$B$2:$B$995,Index!$E$2:$E$995,"Not Found")),"")</f>
        <v/>
      </c>
      <c r="G17" s="1">
        <f t="array" ref="G17">IF(NOT(ISBLANK(A17)), ((_xlfn.XLOOKUP(A17,Index!$B$2:$B$995,Index!$F$2:$F$995,"Not Found"))*B17),"")</f>
        <v>0</v>
      </c>
      <c r="K17" s="6" t="str">
        <f t="shared" si="8"/>
        <v>W</v>
      </c>
      <c r="L17" s="1">
        <f t="shared" si="9"/>
        <v>5</v>
      </c>
    </row>
    <row r="18">
      <c r="A18" s="1" t="s">
        <v>502</v>
      </c>
      <c r="B18" s="1">
        <v>2.0</v>
      </c>
      <c r="C18" s="1" t="str">
        <f t="array" ref="C18">IF(NOT(ISBLANK($A18)), (_xlfn.XLOOKUP($A18,Index!$B$2:$B$995,Index!$C$2:$C$995,"Not Found")),"")</f>
        <v>T</v>
      </c>
      <c r="D18" s="1" t="str">
        <f t="array" ref="D18">IF(NOT(ISBLANK(A18)), (_xlfn.XLOOKUP($A18,Index!$B$2:B$995,Index!$A$2:$A$995,"Not Found")),"")</f>
        <v>base3-59</v>
      </c>
      <c r="E18" s="2" t="str">
        <f t="array" ref="E18">IF(NOT(ISBLANK($A18)), (_xlfn.XLOOKUP($A18,Index!$B$2:$B$995,Index!$D$2:$D$995,"Not Found")),"")</f>
        <v>c</v>
      </c>
      <c r="F18" s="1" t="str">
        <f t="array" ref="F18">IF(NOT(ISBLANK($A18)), (_xlfn.XLOOKUP($A18,Index!$B$2:$B$995,Index!$E$2:$E$995,"Not Found")),"")</f>
        <v/>
      </c>
      <c r="G18" s="1" t="str">
        <f t="array" ref="G18">IF(NOT(ISBLANK(A18)), ((_xlfn.XLOOKUP(A18,Index!$B$2:$B$995,Index!$F$2:$F$995,"Not Found"))*B18),"")</f>
        <v>#VALUE!</v>
      </c>
      <c r="K18" s="6" t="str">
        <f t="shared" si="8"/>
        <v>C</v>
      </c>
      <c r="L18" s="1">
        <f t="shared" si="9"/>
        <v>0</v>
      </c>
    </row>
    <row r="19">
      <c r="A19" s="1" t="s">
        <v>555</v>
      </c>
      <c r="B19" s="1">
        <v>1.0</v>
      </c>
      <c r="C19" s="1" t="str">
        <f t="array" ref="C19">IF(NOT(ISBLANK($A19)), (_xlfn.XLOOKUP($A19,Index!$B$2:$B$995,Index!$C$2:$C$995,"Not Found")),"")</f>
        <v>T</v>
      </c>
      <c r="D19" s="1" t="str">
        <f t="array" ref="D19">IF(NOT(ISBLANK(A19)), (_xlfn.XLOOKUP($A19,Index!$B$2:B$995,Index!$A$2:$A$995,"Not Found")),"")</f>
        <v>base1-88</v>
      </c>
      <c r="E19" s="2" t="str">
        <f t="array" ref="E19">IF(NOT(ISBLANK($A19)), (_xlfn.XLOOKUP($A19,Index!$B$2:$B$995,Index!$D$2:$D$995,"Not Found")),"")</f>
        <v>u</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557</v>
      </c>
      <c r="B20" s="1">
        <v>2.0</v>
      </c>
      <c r="C20" s="1" t="str">
        <f t="array" ref="C20">IF(NOT(ISBLANK($A20)), (_xlfn.XLOOKUP($A20,Index!$B$2:$B$995,Index!$C$2:$C$995,"Not Found")),"")</f>
        <v>T</v>
      </c>
      <c r="D20" s="1" t="str">
        <f t="array" ref="D20">IF(NOT(ISBLANK(A20)), (_xlfn.XLOOKUP($A20,Index!$B$2:B$995,Index!$A$2:$A$995,"Not Found")),"")</f>
        <v>base1-91</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517</v>
      </c>
      <c r="B21" s="1">
        <v>1.0</v>
      </c>
      <c r="C21" s="1" t="str">
        <f t="array" ref="C21">IF(NOT(ISBLANK($A21)), (_xlfn.XLOOKUP($A21,Index!$B$2:$B$995,Index!$C$2:$C$995,"Not Found")),"")</f>
        <v>T</v>
      </c>
      <c r="D21" s="1" t="str">
        <f t="array" ref="D21">IF(NOT(ISBLANK(A21)), (_xlfn.XLOOKUP($A21,Index!$B$2:B$995,Index!$A$2:$A$995,"Not Found")),"")</f>
        <v>base1-84</v>
      </c>
      <c r="E21" s="2"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630</v>
      </c>
      <c r="L21" s="6">
        <f>SUM(L15:L19)</f>
        <v>11.5</v>
      </c>
    </row>
    <row r="22">
      <c r="A22" s="1" t="s">
        <v>529</v>
      </c>
      <c r="B22" s="1">
        <v>1.0</v>
      </c>
      <c r="C22" s="1" t="str">
        <f t="array" ref="C22">IF(NOT(ISBLANK($A22)), (_xlfn.XLOOKUP($A22,Index!$B$2:$B$995,Index!$C$2:$C$995,"Not Found")),"")</f>
        <v>T</v>
      </c>
      <c r="D22" s="1" t="str">
        <f t="array" ref="D22">IF(NOT(ISBLANK(A22)), (_xlfn.XLOOKUP($A22,Index!$B$2:B$995,Index!$A$2:$A$995,"Not Found")),"")</f>
        <v>base1-78</v>
      </c>
      <c r="E22" s="2" t="str">
        <f t="array" ref="E22">IF(NOT(ISBLANK($A22)), (_xlfn.XLOOKUP($A22,Index!$B$2:$B$995,Index!$D$2:$D$995,"Not Found")),"")</f>
        <v>r</v>
      </c>
      <c r="F22" s="1" t="str">
        <f t="array" ref="F22">IF(NOT(ISBLANK($A22)), (_xlfn.XLOOKUP($A22,Index!$B$2:$B$995,Index!$E$2:$E$995,"Not Found")),"")</f>
        <v/>
      </c>
      <c r="G22" s="1" t="str">
        <f t="array" ref="G22">IF(NOT(ISBLANK(A22)), ((_xlfn.XLOOKUP(A22,Index!$B$2:$B$995,Index!$F$2:$F$995,"Not Found"))*B22),"")</f>
        <v>#VALUE!</v>
      </c>
    </row>
    <row r="23">
      <c r="A23" s="1" t="s">
        <v>496</v>
      </c>
      <c r="B23" s="1">
        <v>1.0</v>
      </c>
      <c r="C23" s="1" t="str">
        <f t="array" ref="C23">IF(NOT(ISBLANK($A23)), (_xlfn.XLOOKUP($A23,Index!$B$2:$B$995,Index!$C$2:$C$995,"Not Found")),"")</f>
        <v>T</v>
      </c>
      <c r="D23" s="1" t="str">
        <f t="array" ref="D23">IF(NOT(ISBLANK(A23)), (_xlfn.XLOOKUP($A23,Index!$B$2:B$995,Index!$A$2:$A$995,"Not Found")),"")</f>
        <v>base1-81</v>
      </c>
      <c r="E23" s="2" t="str">
        <f t="array" ref="E23">IF(NOT(ISBLANK($A23)), (_xlfn.XLOOKUP($A23,Index!$B$2:$B$995,Index!$D$2:$D$995,"Not Found")),"")</f>
        <v>u</v>
      </c>
      <c r="F23" s="1" t="str">
        <f t="array" ref="F23">IF(NOT(ISBLANK($A23)), (_xlfn.XLOOKUP($A23,Index!$B$2:$B$995,Index!$E$2:$E$995,"Not Found")),"")</f>
        <v/>
      </c>
      <c r="G23" s="1" t="str">
        <f t="array" ref="G23">IF(NOT(ISBLANK(A23)), ((_xlfn.XLOOKUP(A23,Index!$B$2:$B$995,Index!$F$2:$F$995,"Not Found"))*B23),"")</f>
        <v>#VALUE!</v>
      </c>
    </row>
    <row r="24">
      <c r="A24" s="1" t="s">
        <v>499</v>
      </c>
      <c r="B24" s="1">
        <v>1.0</v>
      </c>
      <c r="C24" s="1" t="str">
        <f t="array" ref="C24">IF(NOT(ISBLANK($A24)), (_xlfn.XLOOKUP($A24,Index!$B$2:$B$995,Index!$C$2:$C$995,"Not Found")),"")</f>
        <v>T</v>
      </c>
      <c r="D24" s="1" t="str">
        <f t="array" ref="D24">IF(NOT(ISBLANK(A24)), (_xlfn.XLOOKUP($A24,Index!$B$2:B$995,Index!$A$2:$A$995,"Not Found")),"")</f>
        <v>base2-64</v>
      </c>
      <c r="E24" s="2" t="str">
        <f t="array" ref="E24">IF(NOT(ISBLANK($A24)), (_xlfn.XLOOKUP($A24,Index!$B$2:$B$995,Index!$D$2:$D$995,"Not Found")),"")</f>
        <v>c</v>
      </c>
      <c r="F24" s="1" t="str">
        <f t="array" ref="F24">IF(NOT(ISBLANK($A24)), (_xlfn.XLOOKUP($A24,Index!$B$2:$B$995,Index!$E$2:$E$995,"Not Found")),"")</f>
        <v/>
      </c>
      <c r="G24" s="1" t="str">
        <f t="array" ref="G24">IF(NOT(ISBLANK(A24)), ((_xlfn.XLOOKUP(A24,Index!$B$2:$B$995,Index!$F$2:$F$995,"Not Found"))*B24),"")</f>
        <v>#VALUE!</v>
      </c>
      <c r="K24" s="1" t="s">
        <v>631</v>
      </c>
      <c r="L24" s="1" t="s">
        <v>336</v>
      </c>
    </row>
    <row r="25">
      <c r="A25" s="1" t="s">
        <v>535</v>
      </c>
      <c r="B25" s="1">
        <v>1.0</v>
      </c>
      <c r="C25" s="1" t="str">
        <f t="array" ref="C25">IF(NOT(ISBLANK($A25)), (_xlfn.XLOOKUP($A25,Index!$B$2:$B$995,Index!$C$2:$C$995,"Not Found")),"")</f>
        <v>T</v>
      </c>
      <c r="D25" s="1" t="str">
        <f t="array" ref="D25">IF(NOT(ISBLANK(A25)), (_xlfn.XLOOKUP($A25,Index!$B$2:B$995,Index!$A$2:$A$995,"Not Found")),"")</f>
        <v>base1-93</v>
      </c>
      <c r="E25" s="2" t="str">
        <f t="array" ref="E25">IF(NOT(ISBLANK($A25)), (_xlfn.XLOOKUP($A25,Index!$B$2:$B$995,Index!$D$2:$D$995,"Not Found")),"")</f>
        <v>c</v>
      </c>
      <c r="F25" s="1" t="str">
        <f t="array" ref="F25">IF(NOT(ISBLANK($A25)), (_xlfn.XLOOKUP($A25,Index!$B$2:$B$995,Index!$E$2:$E$995,"Not Found")),"")</f>
        <v/>
      </c>
      <c r="G25" s="1" t="str">
        <f t="array" ref="G25">IF(NOT(ISBLANK(A25)), ((_xlfn.XLOOKUP(A25,Index!$B$2:$B$995,Index!$F$2:$F$995,"Not Found"))*B25),"")</f>
        <v>#VALUE!</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8</v>
      </c>
      <c r="I1" s="1" t="s">
        <v>10</v>
      </c>
      <c r="K1" s="1" t="s">
        <v>3</v>
      </c>
      <c r="L1" s="1" t="s">
        <v>12</v>
      </c>
      <c r="M1" s="1" t="s">
        <v>14</v>
      </c>
      <c r="N1" s="1" t="s">
        <v>16</v>
      </c>
      <c r="O1" s="1" t="s">
        <v>18</v>
      </c>
      <c r="P1" s="1" t="s">
        <v>20</v>
      </c>
      <c r="Q1" s="1" t="s">
        <v>21</v>
      </c>
    </row>
    <row r="2">
      <c r="A2" s="1" t="s">
        <v>550</v>
      </c>
      <c r="B2" s="1">
        <v>4.0</v>
      </c>
      <c r="C2" s="1" t="str">
        <f t="array" ref="C2">IF(NOT(ISBLANK($A2)), (_xlfn.XLOOKUP($A2,Index!$B$2:$B$995,Index!$C$2:$C$995,"Not Found")),"")</f>
        <v>T</v>
      </c>
      <c r="D2" s="1" t="str">
        <f t="array" ref="D2">IF(NOT(ISBLANK(A2)), (_xlfn.XLOOKUP($A2,Index!$B$2:B$995,Index!$A$2:$A$995,"Not Found")),"")</f>
        <v>base3-62</v>
      </c>
      <c r="E2" s="2" t="str">
        <f t="array" ref="E2">IF(NOT(ISBLANK($A2)), (_xlfn.XLOOKUP($A2,Index!$B$2:$B$995,Index!$D$2:$D$995,"Not Found")),"")</f>
        <v>c</v>
      </c>
      <c r="F2" s="1" t="str">
        <f t="array" ref="F2">IF(NOT(ISBLANK($A2)), (_xlfn.XLOOKUP($A2,Index!$B$2:$B$995,Index!$E$2:$E$995,"Not Found")),"")</f>
        <v/>
      </c>
      <c r="G2" s="1" t="str">
        <f t="array" ref="G2">IF(NOT(ISBLANK(A2)), ((_xlfn.XLOOKUP(A2,Index!$B$2:$B$995,Index!$F$2:$F$995,"Not Found"))*B2),"")</f>
        <v>#VALUE!</v>
      </c>
      <c r="I2" s="6">
        <f>SUM(B2:B38)</f>
        <v>60</v>
      </c>
      <c r="K2" s="1" t="s">
        <v>93</v>
      </c>
      <c r="L2" s="6">
        <f t="shared" ref="L2:L6" si="1">IF(NOT(ISBLANK(K2)), SUM(M2:P2), "")</f>
        <v>14</v>
      </c>
      <c r="M2" s="1">
        <f t="shared" ref="M2:M5" si="2">IF(NOT(ISBLANK($K2)), SUMIFS($B$2:$B$32, $E$2:$E$32, "B", $C$2:$C$32,$K2), "")</f>
        <v>7</v>
      </c>
      <c r="N2" s="1">
        <f t="shared" ref="N2:N5" si="3">IF(NOT(ISBLANK($K2)),SUMIFS($B$2:$B$32,$E$2:$E$32, "1", $C$2:$C$32,$K2,$F$2:$F$32,"N"), "")</f>
        <v>2</v>
      </c>
      <c r="O2" s="1">
        <f t="shared" ref="O2:O5" si="4">IF(NOT(ISBLANK($K2)),SUMIFS($B$2:$B$32,$E$2:$E$32, "1", $C$2:$C$32,$K2,$F$2:$F$32,"Y"), "")</f>
        <v>3</v>
      </c>
      <c r="P2" s="1">
        <f t="shared" ref="P2:P5" si="5">IF(NOT(ISBLANK($K2)),SUMIFS($B$2:$B$32,$E$2:$E$32, "2", $C$2:$C$32,$K2), "")</f>
        <v>2</v>
      </c>
      <c r="Q2" s="1">
        <f t="shared" ref="Q2:Q5" si="6">IF(NOT(ISBLANK($K2)),SUMIFS($B$2:$B$32,$E$2:$E$32, "B", $C$2:$C$32,$K2,$F$2:$F$32,"N"), "")</f>
        <v>4</v>
      </c>
    </row>
    <row r="3">
      <c r="A3" s="1" t="s">
        <v>619</v>
      </c>
      <c r="B3" s="1">
        <v>3.0</v>
      </c>
      <c r="C3" s="1" t="str">
        <f t="array" ref="C3">IF(NOT(ISBLANK($A3)), (_xlfn.XLOOKUP($A3,Index!$B$2:$B$995,Index!$C$2:$C$995,"Not Found")),"")</f>
        <v>W</v>
      </c>
      <c r="D3" s="1" t="str">
        <f t="array" ref="D3">IF(NOT(ISBLANK(A3)), (_xlfn.XLOOKUP($A3,Index!$B$2:B$995,Index!$A$2:$A$995,"Not Found")),"")</f>
        <v>base3-52</v>
      </c>
      <c r="E3" s="2">
        <f t="array" ref="E3">IF(NOT(ISBLANK($A3)), (_xlfn.XLOOKUP($A3,Index!$B$2:$B$995,Index!$D$2:$D$995,"Not Found")),"")</f>
        <v>1</v>
      </c>
      <c r="F3" s="1" t="str">
        <f t="array" ref="F3">IF(NOT(ISBLANK($A3)), (_xlfn.XLOOKUP($A3,Index!$B$2:$B$995,Index!$E$2:$E$995,"Not Found")),"")</f>
        <v>y</v>
      </c>
      <c r="G3" s="1">
        <f t="array" ref="G3">IF(NOT(ISBLANK(A3)), ((_xlfn.XLOOKUP(A3,Index!$B$2:$B$995,Index!$F$2:$F$995,"Not Found"))*B3),"")</f>
        <v>0</v>
      </c>
      <c r="K3" s="1" t="s">
        <v>26</v>
      </c>
      <c r="L3" s="6">
        <f t="shared" si="1"/>
        <v>2</v>
      </c>
      <c r="M3" s="1">
        <f t="shared" si="2"/>
        <v>2</v>
      </c>
      <c r="N3" s="1">
        <f t="shared" si="3"/>
        <v>0</v>
      </c>
      <c r="O3" s="1">
        <f t="shared" si="4"/>
        <v>0</v>
      </c>
      <c r="P3" s="1">
        <f t="shared" si="5"/>
        <v>0</v>
      </c>
      <c r="Q3" s="1">
        <f t="shared" si="6"/>
        <v>2</v>
      </c>
    </row>
    <row r="4">
      <c r="A4" s="1" t="s">
        <v>584</v>
      </c>
      <c r="B4" s="1">
        <v>2.0</v>
      </c>
      <c r="C4" s="1" t="str">
        <f t="array" ref="C4">IF(NOT(ISBLANK($A4)), (_xlfn.XLOOKUP($A4,Index!$B$2:$B$995,Index!$C$2:$C$995,"Not Found")),"")</f>
        <v>W</v>
      </c>
      <c r="D4" s="1" t="str">
        <f t="array" ref="D4">IF(NOT(ISBLANK(A4)), (_xlfn.XLOOKUP($A4,Index!$B$2:B$995,Index!$A$2:$A$995,"Not Found")),"")</f>
        <v>base3-40</v>
      </c>
      <c r="E4" s="2">
        <f t="array" ref="E4">IF(NOT(ISBLANK($A4)), (_xlfn.XLOOKUP($A4,Index!$B$2:$B$995,Index!$D$2:$D$995,"Not Found")),"")</f>
        <v>2</v>
      </c>
      <c r="F4" s="1" t="str">
        <f t="array" ref="F4">IF(NOT(ISBLANK($A4)), (_xlfn.XLOOKUP($A4,Index!$B$2:$B$995,Index!$E$2:$E$995,"Not Found")),"")</f>
        <v/>
      </c>
      <c r="G4" s="1">
        <f t="array" ref="G4">IF(NOT(ISBLANK(A4)), ((_xlfn.XLOOKUP(A4,Index!$B$2:$B$995,Index!$F$2:$F$995,"Not Found"))*B4),"")</f>
        <v>4</v>
      </c>
      <c r="L4" s="6" t="str">
        <f t="shared" si="1"/>
        <v/>
      </c>
      <c r="M4" s="1" t="str">
        <f t="shared" si="2"/>
        <v/>
      </c>
      <c r="N4" s="1" t="str">
        <f t="shared" si="3"/>
        <v/>
      </c>
      <c r="O4" s="1" t="str">
        <f t="shared" si="4"/>
        <v/>
      </c>
      <c r="P4" s="1" t="str">
        <f t="shared" si="5"/>
        <v/>
      </c>
      <c r="Q4" s="1" t="str">
        <f t="shared" si="6"/>
        <v/>
      </c>
    </row>
    <row r="5">
      <c r="A5" s="1" t="s">
        <v>592</v>
      </c>
      <c r="B5" s="1">
        <v>2.0</v>
      </c>
      <c r="C5" s="1" t="str">
        <f t="array" ref="C5">IF(NOT(ISBLANK($A5)), (_xlfn.XLOOKUP($A5,Index!$B$2:$B$995,Index!$C$2:$C$995,"Not Found")),"")</f>
        <v>W</v>
      </c>
      <c r="D5" s="1" t="str">
        <f t="array" ref="D5">IF(NOT(ISBLANK(A5)), (_xlfn.XLOOKUP($A5,Index!$B$2:B$995,Index!$A$2:$A$995,"Not Found")),"")</f>
        <v>base3-10</v>
      </c>
      <c r="E5" s="2" t="str">
        <f t="array" ref="E5">IF(NOT(ISBLANK($A5)), (_xlfn.XLOOKUP($A5,Index!$B$2:$B$995,Index!$D$2:$D$995,"Not Found")),"")</f>
        <v>b</v>
      </c>
      <c r="F5" s="1" t="str">
        <f t="array" ref="F5">IF(NOT(ISBLANK($A5)), (_xlfn.XLOOKUP($A5,Index!$B$2:$B$995,Index!$E$2:$E$995,"Not Found")),"")</f>
        <v>n</v>
      </c>
      <c r="G5" s="1">
        <f t="array" ref="G5">IF(NOT(ISBLANK(A5)), ((_xlfn.XLOOKUP(A5,Index!$B$2:$B$995,Index!$F$2:$F$995,"Not Found"))*B5),"")</f>
        <v>2</v>
      </c>
      <c r="L5" s="6" t="str">
        <f t="shared" si="1"/>
        <v/>
      </c>
      <c r="M5" s="1" t="str">
        <f t="shared" si="2"/>
        <v/>
      </c>
      <c r="N5" s="1" t="str">
        <f t="shared" si="3"/>
        <v/>
      </c>
      <c r="O5" s="1" t="str">
        <f t="shared" si="4"/>
        <v/>
      </c>
      <c r="P5" s="1" t="str">
        <f t="shared" si="5"/>
        <v/>
      </c>
      <c r="Q5" s="1" t="str">
        <f t="shared" si="6"/>
        <v/>
      </c>
    </row>
    <row r="6">
      <c r="A6" s="1" t="s">
        <v>579</v>
      </c>
      <c r="B6" s="1">
        <v>2.0</v>
      </c>
      <c r="C6" s="1" t="str">
        <f t="array" ref="C6">IF(NOT(ISBLANK($A6)), (_xlfn.XLOOKUP($A6,Index!$B$2:$B$995,Index!$C$2:$C$995,"Not Found")),"")</f>
        <v>W</v>
      </c>
      <c r="D6" s="1" t="str">
        <f t="array" ref="D6">IF(NOT(ISBLANK(A6)), (_xlfn.XLOOKUP($A6,Index!$B$2:B$995,Index!$A$2:$A$995,"Not Found")),"")</f>
        <v>base3-2</v>
      </c>
      <c r="E6" s="2" t="str">
        <f t="array" ref="E6">IF(NOT(ISBLANK($A6)), (_xlfn.XLOOKUP($A6,Index!$B$2:$B$995,Index!$D$2:$D$995,"Not Found")),"")</f>
        <v>b</v>
      </c>
      <c r="F6" s="1" t="str">
        <f t="array" ref="F6">IF(NOT(ISBLANK($A6)), (_xlfn.XLOOKUP($A6,Index!$B$2:$B$995,Index!$E$2:$E$995,"Not Found")),"")</f>
        <v>n</v>
      </c>
      <c r="G6" s="1">
        <f t="array" ref="G6">IF(NOT(ISBLANK(A6)), ((_xlfn.XLOOKUP(A6,Index!$B$2:$B$995,Index!$F$2:$F$995,"Not Found"))*B6),"")</f>
        <v>4</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625</v>
      </c>
      <c r="B7" s="1">
        <v>3.0</v>
      </c>
      <c r="C7" s="1" t="str">
        <f t="array" ref="C7">IF(NOT(ISBLANK($A7)), (_xlfn.XLOOKUP($A7,Index!$B$2:$B$995,Index!$C$2:$C$995,"Not Found")),"")</f>
        <v>W</v>
      </c>
      <c r="D7" s="1" t="str">
        <f t="array" ref="D7">IF(NOT(ISBLANK(A7)), (_xlfn.XLOOKUP($A7,Index!$B$2:B$995,Index!$A$2:$A$995,"Not Found")),"")</f>
        <v>base3-56</v>
      </c>
      <c r="E7" s="2"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358</v>
      </c>
      <c r="L7" s="6">
        <f t="shared" ref="L7:Q7" si="7">SUM(L2:L6)</f>
        <v>16</v>
      </c>
      <c r="M7" s="6">
        <f t="shared" si="7"/>
        <v>9</v>
      </c>
      <c r="N7" s="6">
        <f t="shared" si="7"/>
        <v>2</v>
      </c>
      <c r="O7" s="6">
        <f t="shared" si="7"/>
        <v>3</v>
      </c>
      <c r="P7" s="6">
        <f t="shared" si="7"/>
        <v>2</v>
      </c>
      <c r="Q7" s="6">
        <f t="shared" si="7"/>
        <v>6</v>
      </c>
    </row>
    <row r="8">
      <c r="A8" s="1" t="s">
        <v>590</v>
      </c>
      <c r="B8" s="1">
        <v>2.0</v>
      </c>
      <c r="C8" s="1" t="str">
        <f t="array" ref="C8">IF(NOT(ISBLANK($A8)), (_xlfn.XLOOKUP($A8,Index!$B$2:$B$995,Index!$C$2:$C$995,"Not Found")),"")</f>
        <v>W</v>
      </c>
      <c r="D8" s="1" t="str">
        <f t="array" ref="D8">IF(NOT(ISBLANK(A8)), (_xlfn.XLOOKUP($A8,Index!$B$2:B$995,Index!$A$2:$A$995,"Not Found")),"")</f>
        <v>base3-44</v>
      </c>
      <c r="E8" s="2">
        <f t="array" ref="E8">IF(NOT(ISBLANK($A8)), (_xlfn.XLOOKUP($A8,Index!$B$2:$B$995,Index!$D$2:$D$995,"Not Found")),"")</f>
        <v>1</v>
      </c>
      <c r="F8" s="1" t="str">
        <f t="array" ref="F8">IF(NOT(ISBLANK($A8)), (_xlfn.XLOOKUP($A8,Index!$B$2:$B$995,Index!$E$2:$E$995,"Not Found")),"")</f>
        <v>n</v>
      </c>
      <c r="G8" s="1">
        <f t="array" ref="G8">IF(NOT(ISBLANK(A8)), ((_xlfn.XLOOKUP(A8,Index!$B$2:$B$995,Index!$F$2:$F$995,"Not Found"))*B8),"")</f>
        <v>3</v>
      </c>
    </row>
    <row r="9">
      <c r="A9" s="1" t="s">
        <v>69</v>
      </c>
      <c r="B9" s="1">
        <v>2.0</v>
      </c>
      <c r="C9" s="1" t="str">
        <f t="array" ref="C9">IF(NOT(ISBLANK($A9)), (_xlfn.XLOOKUP($A9,Index!$B$2:$B$995,Index!$C$2:$C$995,"Not Found")),"")</f>
        <v>C</v>
      </c>
      <c r="D9" s="1" t="str">
        <f t="array" ref="D9">IF(NOT(ISBLANK(A9)), (_xlfn.XLOOKUP($A9,Index!$B$2:B$995,Index!$A$2:$A$995,"Not Found")),"")</f>
        <v>base2-5</v>
      </c>
      <c r="E9" s="2" t="str">
        <f t="array" ref="E9">IF(NOT(ISBLANK($A9)), (_xlfn.XLOOKUP($A9,Index!$B$2:$B$995,Index!$D$2:$D$995,"Not Found")),"")</f>
        <v>b</v>
      </c>
      <c r="F9" s="1" t="str">
        <f t="array" ref="F9">IF(NOT(ISBLANK($A9)), (_xlfn.XLOOKUP($A9,Index!$B$2:$B$995,Index!$E$2:$E$995,"Not Found")),"")</f>
        <v>n</v>
      </c>
      <c r="G9" s="1">
        <f t="array" ref="G9">IF(NOT(ISBLANK(A9)), ((_xlfn.XLOOKUP(A9,Index!$B$2:$B$995,Index!$F$2:$F$995,"Not Found"))*B9),"")</f>
        <v>3</v>
      </c>
      <c r="M9" s="1" t="s">
        <v>423</v>
      </c>
      <c r="N9" s="1" t="s">
        <v>424</v>
      </c>
      <c r="O9" s="1" t="s">
        <v>425</v>
      </c>
    </row>
    <row r="10">
      <c r="A10" s="1" t="s">
        <v>521</v>
      </c>
      <c r="B10" s="1">
        <v>1.0</v>
      </c>
      <c r="C10" s="1" t="str">
        <f t="array" ref="C10">IF(NOT(ISBLANK($A10)), (_xlfn.XLOOKUP($A10,Index!$B$2:$B$995,Index!$C$2:$C$995,"Not Found")),"")</f>
        <v>T</v>
      </c>
      <c r="D10" s="1" t="str">
        <f t="array" ref="D10">IF(NOT(ISBLANK(A10)), (_xlfn.XLOOKUP($A10,Index!$B$2:B$995,Index!$A$2:$A$995,"Not Found")),"")</f>
        <v>base1-92</v>
      </c>
      <c r="E10" s="2" t="str">
        <f t="array" ref="E10">IF(NOT(ISBLANK($A10)), (_xlfn.XLOOKUP($A10,Index!$B$2:$B$995,Index!$D$2:$D$995,"Not Found")),"")</f>
        <v>c</v>
      </c>
      <c r="F10" s="1" t="str">
        <f t="array" ref="F10">IF(NOT(ISBLANK($A10)), (_xlfn.XLOOKUP($A10,Index!$B$2:$B$995,Index!$E$2:$E$995,"Not Found")),"")</f>
        <v/>
      </c>
      <c r="G10" s="1" t="str">
        <f t="array" ref="G10">IF(NOT(ISBLANK(A10)), ((_xlfn.XLOOKUP(A10,Index!$B$2:$B$995,Index!$F$2:$F$995,"Not Found"))*B10),"")</f>
        <v>#VALUE!</v>
      </c>
      <c r="K10" s="1" t="s">
        <v>452</v>
      </c>
      <c r="L10" s="6">
        <f>SUM(M10:P10)</f>
        <v>20</v>
      </c>
      <c r="M10" s="6">
        <f>IF(NOT(ISBLANK($K10)), SUMIFS($B$2:$B$32,$E$2:$E$32, "C", $C$2:$C$32,"T"), "")</f>
        <v>12</v>
      </c>
      <c r="N10" s="6">
        <f>IF(NOT(ISBLANK($K10)), SUMIFS($B$2:$B$32,$E$2:$E$32, "U", $C$2:$C$32,"T"), "")</f>
        <v>5</v>
      </c>
      <c r="O10" s="6">
        <f>IF(NOT(ISBLANK($K$2)), SUMIFS($B$2:$B$32,$E$2:$E$32, "R", $C$2:$C$32,"T"), "")</f>
        <v>3</v>
      </c>
    </row>
    <row r="11">
      <c r="A11" s="1" t="s">
        <v>239</v>
      </c>
      <c r="B11" s="1">
        <v>24.0</v>
      </c>
      <c r="C11" s="1" t="str">
        <f t="array" ref="C11">IF(NOT(ISBLANK($A11)), (_xlfn.XLOOKUP($A11,Index!$B$2:$B$995,Index!$C$2:$C$995,"Not Found")),"")</f>
        <v>Energy</v>
      </c>
      <c r="D11" s="1" t="str">
        <f t="array" ref="D11">IF(NOT(ISBLANK(A11)), (_xlfn.XLOOKUP($A11,Index!$B$2:B$995,Index!$A$2:$A$995,"Not Found")),"")</f>
        <v>base1-102</v>
      </c>
      <c r="E11" s="2" t="str">
        <f t="array" ref="E11">IF(NOT(ISBLANK($A11)), (_xlfn.XLOOKUP($A11,Index!$B$2:$B$995,Index!$D$2:$D$995,"Not Found")),"")</f>
        <v/>
      </c>
      <c r="F11" s="1" t="str">
        <f t="array" ref="F11">IF(NOT(ISBLANK($A11)), (_xlfn.XLOOKUP($A11,Index!$B$2:$B$995,Index!$E$2:$E$995,"Not Found")),"")</f>
        <v/>
      </c>
      <c r="G11" s="1">
        <f t="array" ref="G11">IF(NOT(ISBLANK(A11)), ((_xlfn.XLOOKUP(A11,Index!$B$2:$B$995,Index!$F$2:$F$995,"Not Found"))*B11),"")</f>
        <v>0</v>
      </c>
      <c r="K11" s="1" t="s">
        <v>226</v>
      </c>
      <c r="L11" s="1">
        <f>IF(NOT(ISBLANK($K$2)), SUMIFS($B$2:$B$32, $C$2:$C$32,"Energy"), "")</f>
        <v>24</v>
      </c>
    </row>
    <row r="12">
      <c r="A12" s="1" t="s">
        <v>513</v>
      </c>
      <c r="B12" s="1">
        <v>1.0</v>
      </c>
      <c r="C12" s="1" t="str">
        <f t="array" ref="C12">IF(NOT(ISBLANK($A12)), (_xlfn.XLOOKUP($A12,Index!$B$2:$B$995,Index!$C$2:$C$995,"Not Found")),"")</f>
        <v>T</v>
      </c>
      <c r="D12" s="1" t="str">
        <f t="array" ref="D12">IF(NOT(ISBLANK(A12)), (_xlfn.XLOOKUP($A12,Index!$B$2:B$995,Index!$A$2:$A$995,"Not Found")),"")</f>
        <v>base1-79</v>
      </c>
      <c r="E12" s="2" t="str">
        <f t="array" ref="E12">IF(NOT(ISBLANK($A12)), (_xlfn.XLOOKUP($A12,Index!$B$2:$B$995,Index!$D$2:$D$995,"Not Found")),"")</f>
        <v>r</v>
      </c>
      <c r="F12" s="1" t="str">
        <f t="array" ref="F12">IF(NOT(ISBLANK($A12)), (_xlfn.XLOOKUP($A12,Index!$B$2:$B$995,Index!$E$2:$E$995,"Not Found")),"")</f>
        <v/>
      </c>
      <c r="G12" s="1" t="str">
        <f t="array" ref="G12">IF(NOT(ISBLANK(A12)), ((_xlfn.XLOOKUP(A12,Index!$B$2:$B$995,Index!$F$2:$F$995,"Not Found"))*B12),"")</f>
        <v>#VALUE!</v>
      </c>
      <c r="K12" s="1" t="s">
        <v>544</v>
      </c>
      <c r="L12" s="6">
        <f>L7</f>
        <v>16</v>
      </c>
    </row>
    <row r="13">
      <c r="A13" s="1" t="s">
        <v>557</v>
      </c>
      <c r="B13" s="1">
        <v>3.0</v>
      </c>
      <c r="C13" s="1" t="str">
        <f t="array" ref="C13">IF(NOT(ISBLANK($A13)), (_xlfn.XLOOKUP($A13,Index!$B$2:$B$995,Index!$C$2:$C$995,"Not Found")),"")</f>
        <v>T</v>
      </c>
      <c r="D13" s="1" t="str">
        <f t="array" ref="D13">IF(NOT(ISBLANK(A13)), (_xlfn.XLOOKUP($A13,Index!$B$2:B$995,Index!$A$2:$A$995,"Not Found")),"")</f>
        <v>base1-91</v>
      </c>
      <c r="E13" s="2" t="str">
        <f t="array" ref="E13">IF(NOT(ISBLANK($A13)), (_xlfn.XLOOKUP($A13,Index!$B$2:$B$995,Index!$D$2:$D$995,"Not Found")),"")</f>
        <v>c</v>
      </c>
      <c r="F13" s="1" t="str">
        <f t="array" ref="F13">IF(NOT(ISBLANK($A13)), (_xlfn.XLOOKUP($A13,Index!$B$2:$B$995,Index!$E$2:$E$995,"Not Found")),"")</f>
        <v/>
      </c>
      <c r="G13" s="1" t="str">
        <f t="array" ref="G13">IF(NOT(ISBLANK(A13)), ((_xlfn.XLOOKUP(A13,Index!$B$2:$B$995,Index!$F$2:$F$995,"Not Found"))*B13),"")</f>
        <v>#VALUE!</v>
      </c>
    </row>
    <row r="14">
      <c r="A14" s="1" t="s">
        <v>555</v>
      </c>
      <c r="B14" s="1">
        <v>2.0</v>
      </c>
      <c r="C14" s="1" t="str">
        <f t="array" ref="C14">IF(NOT(ISBLANK($A14)), (_xlfn.XLOOKUP($A14,Index!$B$2:$B$995,Index!$C$2:$C$995,"Not Found")),"")</f>
        <v>T</v>
      </c>
      <c r="D14" s="1" t="str">
        <f t="array" ref="D14">IF(NOT(ISBLANK(A14)), (_xlfn.XLOOKUP($A14,Index!$B$2:B$995,Index!$A$2:$A$995,"Not Found")),"")</f>
        <v>base1-88</v>
      </c>
      <c r="E14" s="2" t="str">
        <f t="array" ref="E14">IF(NOT(ISBLANK($A14)), (_xlfn.XLOOKUP($A14,Index!$B$2:$B$995,Index!$D$2:$D$995,"Not Found")),"")</f>
        <v>u</v>
      </c>
      <c r="F14" s="1" t="str">
        <f t="array" ref="F14">IF(NOT(ISBLANK($A14)), (_xlfn.XLOOKUP($A14,Index!$B$2:$B$995,Index!$E$2:$E$995,"Not Found")),"")</f>
        <v/>
      </c>
      <c r="G14" s="1" t="str">
        <f t="array" ref="G14">IF(NOT(ISBLANK(A14)), ((_xlfn.XLOOKUP(A14,Index!$B$2:$B$995,Index!$F$2:$F$995,"Not Found"))*B14),"")</f>
        <v>#VALUE!</v>
      </c>
    </row>
    <row r="15">
      <c r="A15" s="1" t="s">
        <v>559</v>
      </c>
      <c r="B15" s="1">
        <v>1.0</v>
      </c>
      <c r="C15" s="1" t="str">
        <f t="array" ref="C15">IF(NOT(ISBLANK($A15)), (_xlfn.XLOOKUP($A15,Index!$B$2:$B$995,Index!$C$2:$C$995,"Not Found")),"")</f>
        <v>T</v>
      </c>
      <c r="D15" s="1" t="str">
        <f t="array" ref="D15">IF(NOT(ISBLANK(A15)), (_xlfn.XLOOKUP($A15,Index!$B$2:B$995,Index!$A$2:$A$995,"Not Found")),"")</f>
        <v>base3-60</v>
      </c>
      <c r="E15" s="2" t="str">
        <f t="array" ref="E15">IF(NOT(ISBLANK($A15)), (_xlfn.XLOOKUP($A15,Index!$B$2:$B$995,Index!$D$2:$D$995,"Not Found")),"")</f>
        <v>c</v>
      </c>
      <c r="F15" s="1" t="str">
        <f t="array" ref="F15">IF(NOT(ISBLANK($A15)), (_xlfn.XLOOKUP($A15,Index!$B$2:$B$995,Index!$E$2:$E$995,"Not Found")),"")</f>
        <v/>
      </c>
      <c r="G15" s="1" t="str">
        <f t="array" ref="G15">IF(NOT(ISBLANK(A15)), ((_xlfn.XLOOKUP(A15,Index!$B$2:$B$995,Index!$F$2:$F$995,"Not Found"))*B15),"")</f>
        <v>#VALUE!</v>
      </c>
      <c r="K15" s="1" t="s">
        <v>629</v>
      </c>
    </row>
    <row r="16">
      <c r="A16" s="1" t="s">
        <v>537</v>
      </c>
      <c r="B16" s="1">
        <v>2.0</v>
      </c>
      <c r="C16" s="1" t="str">
        <f t="array" ref="C16">IF(NOT(ISBLANK($A16)), (_xlfn.XLOOKUP($A16,Index!$B$2:$B$995,Index!$C$2:$C$995,"Not Found")),"")</f>
        <v>T</v>
      </c>
      <c r="D16" s="1" t="str">
        <f t="array" ref="D16">IF(NOT(ISBLANK(A16)), (_xlfn.XLOOKUP($A16,Index!$B$2:B$995,Index!$A$2:$A$995,"Not Found")),"")</f>
        <v>base1-95</v>
      </c>
      <c r="E16" s="2" t="str">
        <f t="array" ref="E16">IF(NOT(ISBLANK($A16)), (_xlfn.XLOOKUP($A16,Index!$B$2:$B$995,Index!$D$2:$D$995,"Not Found")),"")</f>
        <v>c</v>
      </c>
      <c r="F16" s="1" t="str">
        <f t="array" ref="F16">IF(NOT(ISBLANK($A16)), (_xlfn.XLOOKUP($A16,Index!$B$2:$B$995,Index!$E$2:$E$995,"Not Found")),"")</f>
        <v/>
      </c>
      <c r="G16" s="1" t="str">
        <f t="array" ref="G16">IF(NOT(ISBLANK(A16)), ((_xlfn.XLOOKUP(A16,Index!$B$2:$B$995,Index!$F$2:$F$995,"Not Found"))*B16),"")</f>
        <v>#VALUE!</v>
      </c>
      <c r="K16" s="6" t="str">
        <f t="shared" ref="K16:K20" si="8">K2</f>
        <v>W</v>
      </c>
      <c r="L16" s="1">
        <f t="shared" ref="L16:L19" si="9">IF(NOT(ISBLANK($K2)), SUMIFS($G$2:$G$32, $C$2:$C$32,$K2), "")</f>
        <v>13</v>
      </c>
    </row>
    <row r="17">
      <c r="A17" s="1" t="s">
        <v>517</v>
      </c>
      <c r="B17" s="1">
        <v>1.0</v>
      </c>
      <c r="C17" s="1" t="str">
        <f t="array" ref="C17">IF(NOT(ISBLANK($A17)), (_xlfn.XLOOKUP($A17,Index!$B$2:$B$995,Index!$C$2:$C$995,"Not Found")),"")</f>
        <v>T</v>
      </c>
      <c r="D17" s="1" t="str">
        <f t="array" ref="D17">IF(NOT(ISBLANK(A17)), (_xlfn.XLOOKUP($A17,Index!$B$2:B$995,Index!$A$2:$A$995,"Not Found")),"")</f>
        <v>base1-84</v>
      </c>
      <c r="E17" s="2" t="str">
        <f t="array" ref="E17">IF(NOT(ISBLANK($A17)), (_xlfn.XLOOKUP($A17,Index!$B$2:$B$995,Index!$D$2:$D$995,"Not Found")),"")</f>
        <v>u</v>
      </c>
      <c r="F17" s="1" t="str">
        <f t="array" ref="F17">IF(NOT(ISBLANK($A17)), (_xlfn.XLOOKUP($A17,Index!$B$2:$B$995,Index!$E$2:$E$995,"Not Found")),"")</f>
        <v/>
      </c>
      <c r="G17" s="1" t="str">
        <f t="array" ref="G17">IF(NOT(ISBLANK(A17)), ((_xlfn.XLOOKUP(A17,Index!$B$2:$B$995,Index!$F$2:$F$995,"Not Found"))*B17),"")</f>
        <v>#VALUE!</v>
      </c>
      <c r="K17" s="6" t="str">
        <f t="shared" si="8"/>
        <v>C</v>
      </c>
      <c r="L17" s="1">
        <f t="shared" si="9"/>
        <v>3</v>
      </c>
    </row>
    <row r="18">
      <c r="A18" s="1" t="s">
        <v>543</v>
      </c>
      <c r="B18" s="1">
        <v>1.0</v>
      </c>
      <c r="C18" s="1" t="str">
        <f t="array" ref="C18">IF(NOT(ISBLANK($A18)), (_xlfn.XLOOKUP($A18,Index!$B$2:$B$995,Index!$C$2:$C$995,"Not Found")),"")</f>
        <v>T</v>
      </c>
      <c r="D18" s="1" t="str">
        <f t="array" ref="D18">IF(NOT(ISBLANK(A18)), (_xlfn.XLOOKUP($A18,Index!$B$2:B$995,Index!$A$2:$A$995,"Not Found")),"")</f>
        <v>base1-90</v>
      </c>
      <c r="E18" s="2" t="str">
        <f t="array" ref="E18">IF(NOT(ISBLANK($A18)), (_xlfn.XLOOKUP($A18,Index!$B$2:$B$995,Index!$D$2:$D$995,"Not Found")),"")</f>
        <v>u</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546</v>
      </c>
      <c r="B19" s="1">
        <v>1.0</v>
      </c>
      <c r="C19" s="1" t="str">
        <f t="array" ref="C19">IF(NOT(ISBLANK($A19)), (_xlfn.XLOOKUP($A19,Index!$B$2:$B$995,Index!$C$2:$C$995,"Not Found")),"")</f>
        <v>T</v>
      </c>
      <c r="D19" s="1" t="str">
        <f t="array" ref="D19">IF(NOT(ISBLANK(A19)), (_xlfn.XLOOKUP($A19,Index!$B$2:B$995,Index!$A$2:$A$995,"Not Found")),"")</f>
        <v>base1-94</v>
      </c>
      <c r="E19" s="2"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508</v>
      </c>
      <c r="B20" s="1">
        <v>1.0</v>
      </c>
      <c r="C20" s="1" t="str">
        <f t="array" ref="C20">IF(NOT(ISBLANK($A20)), (_xlfn.XLOOKUP($A20,Index!$B$2:$B$995,Index!$C$2:$C$995,"Not Found")),"")</f>
        <v>T</v>
      </c>
      <c r="D20" s="1" t="str">
        <f t="array" ref="D20">IF(NOT(ISBLANK(A20)), (_xlfn.XLOOKUP($A20,Index!$B$2:B$995,Index!$A$2:$A$995,"Not Found")),"")</f>
        <v>base1-73</v>
      </c>
      <c r="E20" s="2" t="str">
        <f t="array" ref="E20">IF(NOT(ISBLANK($A20)), (_xlfn.XLOOKUP($A20,Index!$B$2:$B$995,Index!$D$2:$D$995,"Not Found")),"")</f>
        <v>r</v>
      </c>
      <c r="F20" s="1" t="str">
        <f t="array" ref="F20">IF(NOT(ISBLANK($A20)), (_xlfn.XLOOKUP($A20,Index!$B$2:$B$995,Index!$E$2:$E$995,"Not Found")),"")</f>
        <v/>
      </c>
      <c r="G20" s="1" t="str">
        <f t="array" ref="G20">IF(NOT(ISBLANK(A20)), ((_xlfn.XLOOKUP(A20,Index!$B$2:$B$995,Index!$F$2:$F$995,"Not Found"))*B20),"")</f>
        <v>#VALUE!</v>
      </c>
      <c r="K20" s="6" t="str">
        <f t="shared" si="8"/>
        <v/>
      </c>
    </row>
    <row r="21">
      <c r="A21" s="1" t="s">
        <v>492</v>
      </c>
      <c r="B21" s="1">
        <v>1.0</v>
      </c>
      <c r="C21" s="1" t="str">
        <f t="array" ref="C21">IF(NOT(ISBLANK($A21)), (_xlfn.XLOOKUP($A21,Index!$B$2:$B$995,Index!$C$2:$C$995,"Not Found")),"")</f>
        <v>T</v>
      </c>
      <c r="D21" s="1" t="str">
        <f t="array" ref="D21">IF(NOT(ISBLANK(A21)), (_xlfn.XLOOKUP($A21,Index!$B$2:B$995,Index!$A$2:$A$995,"Not Found")),"")</f>
        <v>base1-74</v>
      </c>
      <c r="E21" s="2" t="str">
        <f t="array" ref="E21">IF(NOT(ISBLANK($A21)), (_xlfn.XLOOKUP($A21,Index!$B$2:$B$995,Index!$D$2:$D$995,"Not Found")),"")</f>
        <v>r</v>
      </c>
      <c r="F21" s="1" t="str">
        <f t="array" ref="F21">IF(NOT(ISBLANK($A21)), (_xlfn.XLOOKUP($A21,Index!$B$2:$B$995,Index!$E$2:$E$995,"Not Found")),"")</f>
        <v/>
      </c>
      <c r="G21" s="1" t="str">
        <f t="array" ref="G21">IF(NOT(ISBLANK(A21)), ((_xlfn.XLOOKUP(A21,Index!$B$2:$B$995,Index!$F$2:$F$995,"Not Found"))*B21),"")</f>
        <v>#VALUE!</v>
      </c>
      <c r="K21" s="1" t="s">
        <v>630</v>
      </c>
      <c r="L21" s="6">
        <f>SUM(L15:L19)</f>
        <v>16</v>
      </c>
    </row>
    <row r="22">
      <c r="A22" s="1" t="s">
        <v>515</v>
      </c>
      <c r="B22" s="1">
        <v>1.0</v>
      </c>
      <c r="C22" s="1" t="str">
        <f t="array" ref="C22">IF(NOT(ISBLANK($A22)), (_xlfn.XLOOKUP($A22,Index!$B$2:$B$995,Index!$C$2:$C$995,"Not Found")),"")</f>
        <v>T</v>
      </c>
      <c r="D22" s="1" t="str">
        <f t="array" ref="D22">IF(NOT(ISBLANK(A22)), (_xlfn.XLOOKUP($A22,Index!$B$2:B$995,Index!$A$2:$A$995,"Not Found")),"")</f>
        <v>base1-80</v>
      </c>
      <c r="E22" s="2" t="str">
        <f t="array" ref="E22">IF(NOT(ISBLANK($A22)), (_xlfn.XLOOKUP($A22,Index!$B$2:$B$995,Index!$D$2:$D$995,"Not Found")),"")</f>
        <v>u</v>
      </c>
      <c r="F22" s="1" t="str">
        <f t="array" ref="F22">IF(NOT(ISBLANK($A22)), (_xlfn.XLOOKUP($A22,Index!$B$2:$B$995,Index!$E$2:$E$995,"Not Found")),"")</f>
        <v/>
      </c>
      <c r="G22" s="1" t="str">
        <f t="array" ref="G22">IF(NOT(ISBLANK(A22)), ((_xlfn.XLOOKUP(A22,Index!$B$2:$B$995,Index!$F$2:$F$995,"Not Found"))*B22),"")</f>
        <v>#VALUE!</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631</v>
      </c>
      <c r="L24" s="1" t="s">
        <v>584</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8</v>
      </c>
      <c r="I1" s="1" t="s">
        <v>10</v>
      </c>
      <c r="K1" s="1" t="s">
        <v>3</v>
      </c>
      <c r="L1" s="1" t="s">
        <v>12</v>
      </c>
      <c r="M1" s="1" t="s">
        <v>14</v>
      </c>
      <c r="N1" s="1" t="s">
        <v>16</v>
      </c>
      <c r="O1" s="1" t="s">
        <v>18</v>
      </c>
      <c r="P1" s="1" t="s">
        <v>20</v>
      </c>
      <c r="Q1" s="1" t="s">
        <v>21</v>
      </c>
    </row>
    <row r="2">
      <c r="A2" s="1" t="s">
        <v>550</v>
      </c>
      <c r="B2" s="1">
        <v>4.0</v>
      </c>
      <c r="C2" s="1" t="str">
        <f t="array" ref="C2">IF(NOT(ISBLANK($A2)), (_xlfn.XLOOKUP($A2,Index!$B$2:$B$995,Index!$C$2:$C$995,"Not Found")),"")</f>
        <v>T</v>
      </c>
      <c r="D2" s="1" t="str">
        <f t="array" ref="D2">IF(NOT(ISBLANK(A2)), (_xlfn.XLOOKUP($A2,Index!$B$2:B$995,Index!$A$2:$A$995,"Not Found")),"")</f>
        <v>base3-62</v>
      </c>
      <c r="E2" s="2" t="str">
        <f t="array" ref="E2">IF(NOT(ISBLANK($A2)), (_xlfn.XLOOKUP($A2,Index!$B$2:$B$995,Index!$D$2:$D$995,"Not Found")),"")</f>
        <v>c</v>
      </c>
      <c r="F2" s="1" t="str">
        <f t="array" ref="F2">IF(NOT(ISBLANK($A2)), (_xlfn.XLOOKUP($A2,Index!$B$2:$B$995,Index!$E$2:$E$995,"Not Found")),"")</f>
        <v/>
      </c>
      <c r="G2" s="1" t="str">
        <f t="array" ref="G2">IF(NOT(ISBLANK(A2)), ((_xlfn.XLOOKUP(A2,Index!$B$2:$B$995,Index!$F$2:$F$995,"Not Found"))*B2),"")</f>
        <v>#VALUE!</v>
      </c>
      <c r="I2" s="6">
        <f>SUM(B2:B38)</f>
        <v>60</v>
      </c>
      <c r="K2" s="1" t="s">
        <v>94</v>
      </c>
      <c r="L2" s="6">
        <f t="shared" ref="L2:L6" si="1">IF(NOT(ISBLANK(K2)), SUM(M2:P2), "")</f>
        <v>9</v>
      </c>
      <c r="M2" s="1">
        <f t="shared" ref="M2:M5" si="2">IF(NOT(ISBLANK($K2)), SUMIFS($B$2:$B$32, $E$2:$E$32, "B", $C$2:$C$32,$K2), "")</f>
        <v>3</v>
      </c>
      <c r="N2" s="1">
        <f t="shared" ref="N2:N5" si="3">IF(NOT(ISBLANK($K2)),SUMIFS($B$2:$B$32,$E$2:$E$32, "1", $C$2:$C$32,$K2,$F$2:$F$32,"N"), "")</f>
        <v>3</v>
      </c>
      <c r="O2" s="1">
        <f t="shared" ref="O2:O5" si="4">IF(NOT(ISBLANK($K2)),SUMIFS($B$2:$B$32,$E$2:$E$32, "1", $C$2:$C$32,$K2,$F$2:$F$32,"Y"), "")</f>
        <v>2</v>
      </c>
      <c r="P2" s="1">
        <f t="shared" ref="P2:P5" si="5">IF(NOT(ISBLANK($K2)),SUMIFS($B$2:$B$32,$E$2:$E$32, "2", $C$2:$C$32,$K2), "")</f>
        <v>1</v>
      </c>
      <c r="Q2" s="1">
        <f t="shared" ref="Q2:Q5" si="6">IF(NOT(ISBLANK($K2)),SUMIFS($B$2:$B$32,$E$2:$E$32, "B", $C$2:$C$32,$K2,$F$2:$F$32,"N"), "")</f>
        <v>0</v>
      </c>
    </row>
    <row r="3">
      <c r="A3" s="1" t="s">
        <v>248</v>
      </c>
      <c r="B3" s="1">
        <v>1.0</v>
      </c>
      <c r="C3" s="1" t="str">
        <f t="array" ref="C3">IF(NOT(ISBLANK($A3)), (_xlfn.XLOOKUP($A3,Index!$B$2:$B$995,Index!$C$2:$C$995,"Not Found")),"")</f>
        <v>F</v>
      </c>
      <c r="D3" s="1" t="str">
        <f t="array" ref="D3">IF(NOT(ISBLANK(A3)), (_xlfn.XLOOKUP($A3,Index!$B$2:B$995,Index!$A$2:$A$995,"Not Found")),"")</f>
        <v>base3-16</v>
      </c>
      <c r="E3" s="2">
        <f t="array" ref="E3">IF(NOT(ISBLANK($A3)), (_xlfn.XLOOKUP($A3,Index!$B$2:$B$995,Index!$D$2:$D$995,"Not Found")),"")</f>
        <v>1</v>
      </c>
      <c r="F3" s="1" t="str">
        <f t="array" ref="F3">IF(NOT(ISBLANK($A3)), (_xlfn.XLOOKUP($A3,Index!$B$2:$B$995,Index!$E$2:$E$995,"Not Found")),"")</f>
        <v>n</v>
      </c>
      <c r="G3" s="1">
        <f t="array" ref="G3">IF(NOT(ISBLANK(A3)), ((_xlfn.XLOOKUP(A3,Index!$B$2:$B$995,Index!$F$2:$F$995,"Not Found"))*B3),"")</f>
        <v>3</v>
      </c>
      <c r="K3" s="1" t="s">
        <v>26</v>
      </c>
      <c r="L3" s="6">
        <f t="shared" si="1"/>
        <v>9</v>
      </c>
      <c r="M3" s="1">
        <f t="shared" si="2"/>
        <v>4</v>
      </c>
      <c r="N3" s="1">
        <f t="shared" si="3"/>
        <v>0</v>
      </c>
      <c r="O3" s="1">
        <f t="shared" si="4"/>
        <v>3</v>
      </c>
      <c r="P3" s="1">
        <f t="shared" si="5"/>
        <v>2</v>
      </c>
      <c r="Q3" s="1">
        <f t="shared" si="6"/>
        <v>0</v>
      </c>
    </row>
    <row r="4">
      <c r="A4" s="1" t="s">
        <v>297</v>
      </c>
      <c r="B4" s="1">
        <v>2.0</v>
      </c>
      <c r="C4" s="1" t="str">
        <f t="array" ref="C4">IF(NOT(ISBLANK($A4)), (_xlfn.XLOOKUP($A4,Index!$B$2:$B$995,Index!$C$2:$C$995,"Not Found")),"")</f>
        <v>F</v>
      </c>
      <c r="D4" s="1" t="str">
        <f t="array" ref="D4">IF(NOT(ISBLANK(A4)), (_xlfn.XLOOKUP($A4,Index!$B$2:B$995,Index!$A$2:$A$995,"Not Found")),"")</f>
        <v>base3-50</v>
      </c>
      <c r="E4" s="2">
        <f t="array" ref="E4">IF(NOT(ISBLANK($A4)), (_xlfn.XLOOKUP($A4,Index!$B$2:$B$995,Index!$D$2:$D$995,"Not Found")),"")</f>
        <v>1</v>
      </c>
      <c r="F4" s="1" t="str">
        <f t="array" ref="F4">IF(NOT(ISBLANK($A4)), (_xlfn.XLOOKUP($A4,Index!$B$2:$B$995,Index!$E$2:$E$995,"Not Found")),"")</f>
        <v>y</v>
      </c>
      <c r="G4" s="1">
        <f t="array" ref="G4">IF(NOT(ISBLANK(A4)), ((_xlfn.XLOOKUP(A4,Index!$B$2:$B$995,Index!$F$2:$F$995,"Not Found"))*B4),"")</f>
        <v>0</v>
      </c>
      <c r="L4" s="6" t="str">
        <f t="shared" si="1"/>
        <v/>
      </c>
      <c r="M4" s="1" t="str">
        <f t="shared" si="2"/>
        <v/>
      </c>
      <c r="N4" s="1" t="str">
        <f t="shared" si="3"/>
        <v/>
      </c>
      <c r="O4" s="1" t="str">
        <f t="shared" si="4"/>
        <v/>
      </c>
      <c r="P4" s="1" t="str">
        <f t="shared" si="5"/>
        <v/>
      </c>
      <c r="Q4" s="1" t="str">
        <f t="shared" si="6"/>
        <v/>
      </c>
    </row>
    <row r="5">
      <c r="A5" s="1" t="s">
        <v>259</v>
      </c>
      <c r="B5" s="1">
        <v>1.0</v>
      </c>
      <c r="C5" s="1" t="str">
        <f t="array" ref="C5">IF(NOT(ISBLANK($A5)), (_xlfn.XLOOKUP($A5,Index!$B$2:$B$995,Index!$C$2:$C$995,"Not Found")),"")</f>
        <v>F</v>
      </c>
      <c r="D5" s="1" t="str">
        <f t="array" ref="D5">IF(NOT(ISBLANK(A5)), (_xlfn.XLOOKUP($A5,Index!$B$2:B$995,Index!$A$2:$A$995,"Not Found")),"")</f>
        <v>base3-9</v>
      </c>
      <c r="E5" s="2">
        <f t="array" ref="E5">IF(NOT(ISBLANK($A5)), (_xlfn.XLOOKUP($A5,Index!$B$2:$B$995,Index!$D$2:$D$995,"Not Found")),"")</f>
        <v>2</v>
      </c>
      <c r="F5" s="1" t="str">
        <f t="array" ref="F5">IF(NOT(ISBLANK($A5)), (_xlfn.XLOOKUP($A5,Index!$B$2:$B$995,Index!$E$2:$E$995,"Not Found")),"")</f>
        <v/>
      </c>
      <c r="G5" s="1">
        <f t="array" ref="G5">IF(NOT(ISBLANK(A5)), ((_xlfn.XLOOKUP(A5,Index!$B$2:$B$995,Index!$F$2:$F$995,"Not Found"))*B5),"")</f>
        <v>2</v>
      </c>
      <c r="L5" s="6" t="str">
        <f t="shared" si="1"/>
        <v/>
      </c>
      <c r="M5" s="1" t="str">
        <f t="shared" si="2"/>
        <v/>
      </c>
      <c r="N5" s="1" t="str">
        <f t="shared" si="3"/>
        <v/>
      </c>
      <c r="O5" s="1" t="str">
        <f t="shared" si="4"/>
        <v/>
      </c>
      <c r="P5" s="1" t="str">
        <f t="shared" si="5"/>
        <v/>
      </c>
      <c r="Q5" s="1" t="str">
        <f t="shared" si="6"/>
        <v/>
      </c>
    </row>
    <row r="6">
      <c r="A6" s="1" t="s">
        <v>285</v>
      </c>
      <c r="B6" s="1">
        <v>3.0</v>
      </c>
      <c r="C6" s="1" t="str">
        <f t="array" ref="C6">IF(NOT(ISBLANK($A6)), (_xlfn.XLOOKUP($A6,Index!$B$2:$B$995,Index!$C$2:$C$995,"Not Found")),"")</f>
        <v>F</v>
      </c>
      <c r="D6" s="1" t="str">
        <f t="array" ref="D6">IF(NOT(ISBLANK(A6)), (_xlfn.XLOOKUP($A6,Index!$B$2:B$995,Index!$A$2:$A$995,"Not Found")),"")</f>
        <v>base1-62</v>
      </c>
      <c r="E6" s="2" t="str">
        <f t="array" ref="E6">IF(NOT(ISBLANK($A6)), (_xlfn.XLOOKUP($A6,Index!$B$2:$B$995,Index!$D$2:$D$995,"Not Found")),"")</f>
        <v>b</v>
      </c>
      <c r="F6" s="1" t="str">
        <f t="array" ref="F6">IF(NOT(ISBLANK($A6)), (_xlfn.XLOOKUP($A6,Index!$B$2:$B$995,Index!$E$2:$E$995,"Not Found")),"")</f>
        <v>y</v>
      </c>
      <c r="G6" s="1">
        <f t="array" ref="G6">IF(NOT(ISBLANK(A6)), ((_xlfn.XLOOKUP(A6,Index!$B$2:$B$995,Index!$F$2:$F$995,"Not Found"))*B6),"")</f>
        <v>0</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268</v>
      </c>
      <c r="B7" s="1">
        <v>2.0</v>
      </c>
      <c r="C7" s="1" t="str">
        <f t="array" ref="C7">IF(NOT(ISBLANK($A7)), (_xlfn.XLOOKUP($A7,Index!$B$2:$B$995,Index!$C$2:$C$995,"Not Found")),"")</f>
        <v>F</v>
      </c>
      <c r="D7" s="1" t="str">
        <f t="array" ref="D7">IF(NOT(ISBLANK(A7)), (_xlfn.XLOOKUP($A7,Index!$B$2:B$995,Index!$A$2:$A$995,"Not Found")),"")</f>
        <v>base3-41</v>
      </c>
      <c r="E7" s="2">
        <f t="array" ref="E7">IF(NOT(ISBLANK($A7)), (_xlfn.XLOOKUP($A7,Index!$B$2:$B$995,Index!$D$2:$D$995,"Not Found")),"")</f>
        <v>1</v>
      </c>
      <c r="F7" s="1" t="str">
        <f t="array" ref="F7">IF(NOT(ISBLANK($A7)), (_xlfn.XLOOKUP($A7,Index!$B$2:$B$995,Index!$E$2:$E$995,"Not Found")),"")</f>
        <v>n</v>
      </c>
      <c r="G7" s="1">
        <f t="array" ref="G7">IF(NOT(ISBLANK(A7)), ((_xlfn.XLOOKUP(A7,Index!$B$2:$B$995,Index!$F$2:$F$995,"Not Found"))*B7),"")</f>
        <v>2</v>
      </c>
      <c r="K7" s="1" t="s">
        <v>358</v>
      </c>
      <c r="L7" s="6">
        <f t="shared" ref="L7:Q7" si="7">SUM(L2:L6)</f>
        <v>18</v>
      </c>
      <c r="M7" s="6">
        <f t="shared" si="7"/>
        <v>7</v>
      </c>
      <c r="N7" s="6">
        <f t="shared" si="7"/>
        <v>3</v>
      </c>
      <c r="O7" s="6">
        <f t="shared" si="7"/>
        <v>5</v>
      </c>
      <c r="P7" s="6">
        <f t="shared" si="7"/>
        <v>3</v>
      </c>
      <c r="Q7" s="6">
        <f t="shared" si="7"/>
        <v>0</v>
      </c>
    </row>
    <row r="8">
      <c r="A8" s="1" t="s">
        <v>112</v>
      </c>
      <c r="B8" s="1">
        <v>4.0</v>
      </c>
      <c r="C8" s="1" t="str">
        <f t="array" ref="C8">IF(NOT(ISBLANK($A8)), (_xlfn.XLOOKUP($A8,Index!$B$2:$B$995,Index!$C$2:$C$995,"Not Found")),"")</f>
        <v>C</v>
      </c>
      <c r="D8" s="1" t="str">
        <f t="array" ref="D8">IF(NOT(ISBLANK(A8)), (_xlfn.XLOOKUP($A8,Index!$B$2:B$995,Index!$A$2:$A$995,"Not Found")),"")</f>
        <v>base1-26</v>
      </c>
      <c r="E8" s="2" t="str">
        <f t="array" ref="E8">IF(NOT(ISBLANK($A8)), (_xlfn.XLOOKUP($A8,Index!$B$2:$B$995,Index!$D$2:$D$995,"Not Found")),"")</f>
        <v>b</v>
      </c>
      <c r="F8" s="1" t="str">
        <f t="array" ref="F8">IF(NOT(ISBLANK($A8)), (_xlfn.XLOOKUP($A8,Index!$B$2:$B$995,Index!$E$2:$E$995,"Not Found")),"")</f>
        <v>y</v>
      </c>
      <c r="G8" s="1">
        <f t="array" ref="G8">IF(NOT(ISBLANK(A8)), ((_xlfn.XLOOKUP(A8,Index!$B$2:$B$995,Index!$F$2:$F$995,"Not Found"))*B8),"")</f>
        <v>0</v>
      </c>
    </row>
    <row r="9">
      <c r="A9" s="1" t="s">
        <v>72</v>
      </c>
      <c r="B9" s="1">
        <v>3.0</v>
      </c>
      <c r="C9" s="1" t="str">
        <f t="array" ref="C9">IF(NOT(ISBLANK($A9)), (_xlfn.XLOOKUP($A9,Index!$B$2:$B$995,Index!$C$2:$C$995,"Not Found")),"")</f>
        <v>C</v>
      </c>
      <c r="D9" s="1" t="str">
        <f t="array" ref="D9">IF(NOT(ISBLANK(A9)), (_xlfn.XLOOKUP($A9,Index!$B$2:B$995,Index!$A$2:$A$995,"Not Found")),"")</f>
        <v>base1-18</v>
      </c>
      <c r="E9" s="2">
        <f t="array" ref="E9">IF(NOT(ISBLANK($A9)), (_xlfn.XLOOKUP($A9,Index!$B$2:$B$995,Index!$D$2:$D$995,"Not Found")),"")</f>
        <v>1</v>
      </c>
      <c r="F9" s="1" t="str">
        <f t="array" ref="F9">IF(NOT(ISBLANK($A9)), (_xlfn.XLOOKUP($A9,Index!$B$2:$B$995,Index!$E$2:$E$995,"Not Found")),"")</f>
        <v>y</v>
      </c>
      <c r="G9" s="1">
        <f t="array" ref="G9">IF(NOT(ISBLANK(A9)), ((_xlfn.XLOOKUP(A9,Index!$B$2:$B$995,Index!$F$2:$F$995,"Not Found"))*B9),"")</f>
        <v>3</v>
      </c>
      <c r="M9" s="1" t="s">
        <v>423</v>
      </c>
      <c r="N9" s="1" t="s">
        <v>424</v>
      </c>
      <c r="O9" s="1" t="s">
        <v>425</v>
      </c>
    </row>
    <row r="10">
      <c r="A10" s="1" t="s">
        <v>48</v>
      </c>
      <c r="B10" s="1">
        <v>2.0</v>
      </c>
      <c r="C10" s="1" t="str">
        <f t="array" ref="C10">IF(NOT(ISBLANK($A10)), (_xlfn.XLOOKUP($A10,Index!$B$2:$B$995,Index!$C$2:$C$995,"Not Found")),"")</f>
        <v>C</v>
      </c>
      <c r="D10" s="1" t="str">
        <f t="array" ref="D10">IF(NOT(ISBLANK(A10)), (_xlfn.XLOOKUP($A10,Index!$B$2:B$995,Index!$A$2:$A$995,"Not Found")),"")</f>
        <v>base3-4</v>
      </c>
      <c r="E10" s="2">
        <f t="array" ref="E10">IF(NOT(ISBLANK($A10)), (_xlfn.XLOOKUP($A10,Index!$B$2:$B$995,Index!$D$2:$D$995,"Not Found")),"")</f>
        <v>2</v>
      </c>
      <c r="F10" s="1" t="str">
        <f t="array" ref="F10">IF(NOT(ISBLANK($A10)), (_xlfn.XLOOKUP($A10,Index!$B$2:$B$995,Index!$E$2:$E$995,"Not Found")),"")</f>
        <v/>
      </c>
      <c r="G10" s="1">
        <f t="array" ref="G10">IF(NOT(ISBLANK(A10)), ((_xlfn.XLOOKUP(A10,Index!$B$2:$B$995,Index!$F$2:$F$995,"Not Found"))*B10),"")</f>
        <v>6</v>
      </c>
      <c r="K10" s="1" t="s">
        <v>452</v>
      </c>
      <c r="L10" s="6">
        <f>SUM(M10:P10)</f>
        <v>18</v>
      </c>
      <c r="M10" s="6">
        <f>IF(NOT(ISBLANK($K10)), SUMIFS($B$2:$B$32,$E$2:$E$32, "C", $C$2:$C$32,"T"), "")</f>
        <v>11</v>
      </c>
      <c r="N10" s="6">
        <f>IF(NOT(ISBLANK($K10)), SUMIFS($B$2:$B$32,$E$2:$E$32, "U", $C$2:$C$32,"T"), "")</f>
        <v>3</v>
      </c>
      <c r="O10" s="6">
        <f>IF(NOT(ISBLANK($K$2)), SUMIFS($B$2:$B$32,$E$2:$E$32, "R", $C$2:$C$32,"T"), "")</f>
        <v>4</v>
      </c>
    </row>
    <row r="11">
      <c r="A11" s="1" t="s">
        <v>225</v>
      </c>
      <c r="B11" s="1">
        <v>3.0</v>
      </c>
      <c r="C11" s="1" t="str">
        <f t="array" ref="C11">IF(NOT(ISBLANK($A11)), (_xlfn.XLOOKUP($A11,Index!$B$2:$B$995,Index!$C$2:$C$995,"Not Found")),"")</f>
        <v>Energy</v>
      </c>
      <c r="D11" s="1" t="str">
        <f t="array" ref="D11">IF(NOT(ISBLANK(A11)), (_xlfn.XLOOKUP($A11,Index!$B$2:B$995,Index!$A$2:$A$995,"Not Found")),"")</f>
        <v>base1-96</v>
      </c>
      <c r="E11" s="2" t="str">
        <f t="array" ref="E11">IF(NOT(ISBLANK($A11)), (_xlfn.XLOOKUP($A11,Index!$B$2:$B$995,Index!$D$2:$D$995,"Not Found")),"")</f>
        <v/>
      </c>
      <c r="F11" s="1" t="str">
        <f t="array" ref="F11">IF(NOT(ISBLANK($A11)), (_xlfn.XLOOKUP($A11,Index!$B$2:$B$995,Index!$E$2:$E$995,"Not Found")),"")</f>
        <v/>
      </c>
      <c r="G11" s="1">
        <f t="array" ref="G11">IF(NOT(ISBLANK(A11)), ((_xlfn.XLOOKUP(A11,Index!$B$2:$B$995,Index!$F$2:$F$995,"Not Found"))*B11),"")</f>
        <v>0</v>
      </c>
      <c r="K11" s="1" t="s">
        <v>226</v>
      </c>
      <c r="L11" s="1">
        <f>IF(NOT(ISBLANK($K$2)), SUMIFS($B$2:$B$32, $C$2:$C$32,"Energy"), "")</f>
        <v>24</v>
      </c>
    </row>
    <row r="12">
      <c r="A12" s="1" t="s">
        <v>228</v>
      </c>
      <c r="B12" s="1">
        <v>21.0</v>
      </c>
      <c r="C12" s="1" t="str">
        <f t="array" ref="C12">IF(NOT(ISBLANK($A12)), (_xlfn.XLOOKUP($A12,Index!$B$2:$B$995,Index!$C$2:$C$995,"Not Found")),"")</f>
        <v>Energy</v>
      </c>
      <c r="D12" s="1" t="str">
        <f t="array" ref="D12">IF(NOT(ISBLANK(A12)), (_xlfn.XLOOKUP($A12,Index!$B$2:B$995,Index!$A$2:$A$995,"Not Found")),"")</f>
        <v>base1-97</v>
      </c>
      <c r="E12" s="2" t="str">
        <f t="array" ref="E12">IF(NOT(ISBLANK($A12)), (_xlfn.XLOOKUP($A12,Index!$B$2:$B$995,Index!$D$2:$D$995,"Not Found")),"")</f>
        <v/>
      </c>
      <c r="F12" s="1" t="str">
        <f t="array" ref="F12">IF(NOT(ISBLANK($A12)), (_xlfn.XLOOKUP($A12,Index!$B$2:$B$995,Index!$E$2:$E$995,"Not Found")),"")</f>
        <v/>
      </c>
      <c r="G12" s="1">
        <f t="array" ref="G12">IF(NOT(ISBLANK(A12)), ((_xlfn.XLOOKUP(A12,Index!$B$2:$B$995,Index!$F$2:$F$995,"Not Found"))*B12),"")</f>
        <v>0</v>
      </c>
      <c r="K12" s="1" t="s">
        <v>544</v>
      </c>
      <c r="L12" s="6">
        <f>L7</f>
        <v>18</v>
      </c>
    </row>
    <row r="13">
      <c r="A13" s="1" t="s">
        <v>526</v>
      </c>
      <c r="B13" s="1">
        <v>1.0</v>
      </c>
      <c r="C13" s="1" t="str">
        <f t="array" ref="C13">IF(NOT(ISBLANK($A13)), (_xlfn.XLOOKUP($A13,Index!$B$2:$B$995,Index!$C$2:$C$995,"Not Found")),"")</f>
        <v>T</v>
      </c>
      <c r="D13" s="1" t="str">
        <f t="array" ref="D13">IF(NOT(ISBLANK(A13)), (_xlfn.XLOOKUP($A13,Index!$B$2:B$995,Index!$A$2:$A$995,"Not Found")),"")</f>
        <v>base1-76</v>
      </c>
      <c r="E13" s="2" t="str">
        <f t="array" ref="E13">IF(NOT(ISBLANK($A13)), (_xlfn.XLOOKUP($A13,Index!$B$2:$B$995,Index!$D$2:$D$995,"Not Found")),"")</f>
        <v>r</v>
      </c>
      <c r="F13" s="1" t="str">
        <f t="array" ref="F13">IF(NOT(ISBLANK($A13)), (_xlfn.XLOOKUP($A13,Index!$B$2:$B$995,Index!$E$2:$E$995,"Not Found")),"")</f>
        <v/>
      </c>
      <c r="G13" s="1" t="str">
        <f t="array" ref="G13">IF(NOT(ISBLANK(A13)), ((_xlfn.XLOOKUP(A13,Index!$B$2:$B$995,Index!$F$2:$F$995,"Not Found"))*B13),"")</f>
        <v>#VALUE!</v>
      </c>
    </row>
    <row r="14">
      <c r="A14" s="1" t="s">
        <v>557</v>
      </c>
      <c r="B14" s="1">
        <v>3.0</v>
      </c>
      <c r="C14" s="1" t="str">
        <f t="array" ref="C14">IF(NOT(ISBLANK($A14)), (_xlfn.XLOOKUP($A14,Index!$B$2:$B$995,Index!$C$2:$C$995,"Not Found")),"")</f>
        <v>T</v>
      </c>
      <c r="D14" s="1" t="str">
        <f t="array" ref="D14">IF(NOT(ISBLANK(A14)), (_xlfn.XLOOKUP($A14,Index!$B$2:B$995,Index!$A$2:$A$995,"Not Found")),"")</f>
        <v>base1-91</v>
      </c>
      <c r="E14" s="2"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555</v>
      </c>
      <c r="B15" s="1">
        <v>2.0</v>
      </c>
      <c r="C15" s="1" t="str">
        <f t="array" ref="C15">IF(NOT(ISBLANK($A15)), (_xlfn.XLOOKUP($A15,Index!$B$2:$B$995,Index!$C$2:$C$995,"Not Found")),"")</f>
        <v>T</v>
      </c>
      <c r="D15" s="1" t="str">
        <f t="array" ref="D15">IF(NOT(ISBLANK(A15)), (_xlfn.XLOOKUP($A15,Index!$B$2:B$995,Index!$A$2:$A$995,"Not Found")),"")</f>
        <v>base1-88</v>
      </c>
      <c r="E15" s="2" t="str">
        <f t="array" ref="E15">IF(NOT(ISBLANK($A15)), (_xlfn.XLOOKUP($A15,Index!$B$2:$B$995,Index!$D$2:$D$995,"Not Found")),"")</f>
        <v>u</v>
      </c>
      <c r="F15" s="1" t="str">
        <f t="array" ref="F15">IF(NOT(ISBLANK($A15)), (_xlfn.XLOOKUP($A15,Index!$B$2:$B$995,Index!$E$2:$E$995,"Not Found")),"")</f>
        <v/>
      </c>
      <c r="G15" s="1" t="str">
        <f t="array" ref="G15">IF(NOT(ISBLANK(A15)), ((_xlfn.XLOOKUP(A15,Index!$B$2:$B$995,Index!$F$2:$F$995,"Not Found"))*B15),"")</f>
        <v>#VALUE!</v>
      </c>
      <c r="K15" s="1" t="s">
        <v>629</v>
      </c>
    </row>
    <row r="16">
      <c r="A16" s="1" t="s">
        <v>537</v>
      </c>
      <c r="B16" s="1">
        <v>2.0</v>
      </c>
      <c r="C16" s="1" t="str">
        <f t="array" ref="C16">IF(NOT(ISBLANK($A16)), (_xlfn.XLOOKUP($A16,Index!$B$2:$B$995,Index!$C$2:$C$995,"Not Found")),"")</f>
        <v>T</v>
      </c>
      <c r="D16" s="1" t="str">
        <f t="array" ref="D16">IF(NOT(ISBLANK(A16)), (_xlfn.XLOOKUP($A16,Index!$B$2:B$995,Index!$A$2:$A$995,"Not Found")),"")</f>
        <v>base1-95</v>
      </c>
      <c r="E16" s="2" t="str">
        <f t="array" ref="E16">IF(NOT(ISBLANK($A16)), (_xlfn.XLOOKUP($A16,Index!$B$2:$B$995,Index!$D$2:$D$995,"Not Found")),"")</f>
        <v>c</v>
      </c>
      <c r="F16" s="1" t="str">
        <f t="array" ref="F16">IF(NOT(ISBLANK($A16)), (_xlfn.XLOOKUP($A16,Index!$B$2:$B$995,Index!$E$2:$E$995,"Not Found")),"")</f>
        <v/>
      </c>
      <c r="G16" s="1" t="str">
        <f t="array" ref="G16">IF(NOT(ISBLANK(A16)), ((_xlfn.XLOOKUP(A16,Index!$B$2:$B$995,Index!$F$2:$F$995,"Not Found"))*B16),"")</f>
        <v>#VALUE!</v>
      </c>
      <c r="K16" s="6" t="str">
        <f t="shared" ref="K16:K20" si="8">K2</f>
        <v>F</v>
      </c>
      <c r="L16" s="1">
        <f t="shared" ref="L16:L19" si="9">IF(NOT(ISBLANK($K2)), SUMIFS($G$2:$G$32, $C$2:$C$32,$K2), "")</f>
        <v>7</v>
      </c>
    </row>
    <row r="17">
      <c r="A17" s="1" t="s">
        <v>539</v>
      </c>
      <c r="B17" s="1">
        <v>1.0</v>
      </c>
      <c r="C17" s="1" t="str">
        <f t="array" ref="C17">IF(NOT(ISBLANK($A17)), (_xlfn.XLOOKUP($A17,Index!$B$2:$B$995,Index!$C$2:$C$995,"Not Found")),"")</f>
        <v>T</v>
      </c>
      <c r="D17" s="1" t="str">
        <f t="array" ref="D17">IF(NOT(ISBLANK(A17)), (_xlfn.XLOOKUP($A17,Index!$B$2:B$995,Index!$A$2:$A$995,"Not Found")),"")</f>
        <v>base3-61</v>
      </c>
      <c r="E17" s="2" t="str">
        <f t="array" ref="E17">IF(NOT(ISBLANK($A17)), (_xlfn.XLOOKUP($A17,Index!$B$2:$B$995,Index!$D$2:$D$995,"Not Found")),"")</f>
        <v>c</v>
      </c>
      <c r="F17" s="1" t="str">
        <f t="array" ref="F17">IF(NOT(ISBLANK($A17)), (_xlfn.XLOOKUP($A17,Index!$B$2:$B$995,Index!$E$2:$E$995,"Not Found")),"")</f>
        <v/>
      </c>
      <c r="G17" s="1" t="str">
        <f t="array" ref="G17">IF(NOT(ISBLANK(A17)), ((_xlfn.XLOOKUP(A17,Index!$B$2:$B$995,Index!$F$2:$F$995,"Not Found"))*B17),"")</f>
        <v>#VALUE!</v>
      </c>
      <c r="K17" s="6" t="str">
        <f t="shared" si="8"/>
        <v>C</v>
      </c>
      <c r="L17" s="1">
        <f t="shared" si="9"/>
        <v>9</v>
      </c>
    </row>
    <row r="18">
      <c r="A18" s="1" t="s">
        <v>543</v>
      </c>
      <c r="B18" s="1">
        <v>1.0</v>
      </c>
      <c r="C18" s="1" t="str">
        <f t="array" ref="C18">IF(NOT(ISBLANK($A18)), (_xlfn.XLOOKUP($A18,Index!$B$2:$B$995,Index!$C$2:$C$995,"Not Found")),"")</f>
        <v>T</v>
      </c>
      <c r="D18" s="1" t="str">
        <f t="array" ref="D18">IF(NOT(ISBLANK(A18)), (_xlfn.XLOOKUP($A18,Index!$B$2:B$995,Index!$A$2:$A$995,"Not Found")),"")</f>
        <v>base1-90</v>
      </c>
      <c r="E18" s="2" t="str">
        <f t="array" ref="E18">IF(NOT(ISBLANK($A18)), (_xlfn.XLOOKUP($A18,Index!$B$2:$B$995,Index!$D$2:$D$995,"Not Found")),"")</f>
        <v>u</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513</v>
      </c>
      <c r="B19" s="1">
        <v>2.0</v>
      </c>
      <c r="C19" s="1" t="str">
        <f t="array" ref="C19">IF(NOT(ISBLANK($A19)), (_xlfn.XLOOKUP($A19,Index!$B$2:$B$995,Index!$C$2:$C$995,"Not Found")),"")</f>
        <v>T</v>
      </c>
      <c r="D19" s="1" t="str">
        <f t="array" ref="D19">IF(NOT(ISBLANK(A19)), (_xlfn.XLOOKUP($A19,Index!$B$2:B$995,Index!$A$2:$A$995,"Not Found")),"")</f>
        <v>base1-79</v>
      </c>
      <c r="E19" s="2" t="str">
        <f t="array" ref="E19">IF(NOT(ISBLANK($A19)), (_xlfn.XLOOKUP($A19,Index!$B$2:$B$995,Index!$D$2:$D$995,"Not Found")),"")</f>
        <v>r</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521</v>
      </c>
      <c r="B20" s="1">
        <v>1.0</v>
      </c>
      <c r="C20" s="1" t="str">
        <f t="array" ref="C20">IF(NOT(ISBLANK($A20)), (_xlfn.XLOOKUP($A20,Index!$B$2:$B$995,Index!$C$2:$C$995,"Not Found")),"")</f>
        <v>T</v>
      </c>
      <c r="D20" s="1" t="str">
        <f t="array" ref="D20">IF(NOT(ISBLANK(A20)), (_xlfn.XLOOKUP($A20,Index!$B$2:B$995,Index!$A$2:$A$995,"Not Found")),"")</f>
        <v>base1-92</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494</v>
      </c>
      <c r="B21" s="1">
        <v>1.0</v>
      </c>
      <c r="C21" s="1" t="str">
        <f t="array" ref="C21">IF(NOT(ISBLANK($A21)), (_xlfn.XLOOKUP($A21,Index!$B$2:$B$995,Index!$C$2:$C$995,"Not Found")),"")</f>
        <v>T</v>
      </c>
      <c r="D21" s="1" t="str">
        <f t="array" ref="D21">IF(NOT(ISBLANK(A21)), (_xlfn.XLOOKUP($A21,Index!$B$2:B$995,Index!$A$2:$A$995,"Not Found")),"")</f>
        <v>base1-77</v>
      </c>
      <c r="E21" s="2" t="str">
        <f t="array" ref="E21">IF(NOT(ISBLANK($A21)), (_xlfn.XLOOKUP($A21,Index!$B$2:$B$995,Index!$D$2:$D$995,"Not Found")),"")</f>
        <v>r</v>
      </c>
      <c r="F21" s="1" t="str">
        <f t="array" ref="F21">IF(NOT(ISBLANK($A21)), (_xlfn.XLOOKUP($A21,Index!$B$2:$B$995,Index!$E$2:$E$995,"Not Found")),"")</f>
        <v/>
      </c>
      <c r="G21" s="1" t="str">
        <f t="array" ref="G21">IF(NOT(ISBLANK(A21)), ((_xlfn.XLOOKUP(A21,Index!$B$2:$B$995,Index!$F$2:$F$995,"Not Found"))*B21),"")</f>
        <v>#VALUE!</v>
      </c>
      <c r="K21" s="1" t="s">
        <v>630</v>
      </c>
      <c r="L21" s="6">
        <f>SUM(L15:L19)</f>
        <v>16</v>
      </c>
    </row>
    <row r="22">
      <c r="C22" s="1" t="str">
        <f t="array" ref="C22">IF(NOT(ISBLANK($A22)), (_xlfn.XLOOKUP($A22,Index!$B$2:$B$995,Index!$C$2:$C$995,"Not Found")),"")</f>
        <v/>
      </c>
      <c r="D22" s="1" t="str">
        <f t="array" ref="D22">IF(NOT(ISBLANK(A22)), (_xlfn.XLOOKUP($A22,Index!$B$2:B$995,Index!$A$2:$A$995,"Not Found")),"")</f>
        <v/>
      </c>
      <c r="E22" s="2"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631</v>
      </c>
      <c r="L24" s="1" t="s">
        <v>48</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8</v>
      </c>
      <c r="I1" s="1" t="s">
        <v>10</v>
      </c>
      <c r="K1" s="1" t="s">
        <v>3</v>
      </c>
      <c r="L1" s="1" t="s">
        <v>12</v>
      </c>
      <c r="M1" s="1" t="s">
        <v>14</v>
      </c>
      <c r="N1" s="1" t="s">
        <v>16</v>
      </c>
      <c r="O1" s="1" t="s">
        <v>18</v>
      </c>
      <c r="P1" s="1" t="s">
        <v>20</v>
      </c>
      <c r="Q1" s="1" t="s">
        <v>21</v>
      </c>
    </row>
    <row r="2">
      <c r="A2" s="1" t="s">
        <v>454</v>
      </c>
      <c r="B2" s="1">
        <v>4.0</v>
      </c>
      <c r="C2" s="1" t="str">
        <f t="array" ref="C2">IF(NOT(ISBLANK($A2)), (_xlfn.XLOOKUP($A2,Index!$B$2:$B$995,Index!$C$2:$C$995,"Not Found")),"")</f>
        <v>P</v>
      </c>
      <c r="D2" s="1" t="str">
        <f t="array" ref="D2">IF(NOT(ISBLANK(A2)), (_xlfn.XLOOKUP($A2,Index!$B$2:B$995,Index!$A$2:$A$995,"Not Found")),"")</f>
        <v>base3-33</v>
      </c>
      <c r="E2" s="2"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6">
        <f>SUM(B2:B38)</f>
        <v>60</v>
      </c>
      <c r="K2" s="1" t="s">
        <v>157</v>
      </c>
      <c r="L2" s="6">
        <f t="shared" ref="L2:L6" si="1">IF(NOT(ISBLANK(K2)), SUM(M2:P2), "")</f>
        <v>16</v>
      </c>
      <c r="M2" s="1">
        <f t="shared" ref="M2:M5" si="2">IF(NOT(ISBLANK($K2)), SUMIFS($B$2:$B$32, $E$2:$E$32, "B", $C$2:$C$32,$K2), "")</f>
        <v>9</v>
      </c>
      <c r="N2" s="1">
        <f t="shared" ref="N2:N5" si="3">IF(NOT(ISBLANK($K2)),SUMIFS($B$2:$B$32,$E$2:$E$32, "1", $C$2:$C$32,$K2,$F$2:$F$32,"N"), "")</f>
        <v>2</v>
      </c>
      <c r="O2" s="1">
        <f t="shared" ref="O2:O5" si="4">IF(NOT(ISBLANK($K2)),SUMIFS($B$2:$B$32,$E$2:$E$32, "1", $C$2:$C$32,$K2,$F$2:$F$32,"Y"), "")</f>
        <v>3</v>
      </c>
      <c r="P2" s="1">
        <f t="shared" ref="P2:P5" si="5">IF(NOT(ISBLANK($K2)),SUMIFS($B$2:$B$32,$E$2:$E$32, "2", $C$2:$C$32,$K2), "")</f>
        <v>2</v>
      </c>
      <c r="Q2" s="1">
        <f t="shared" ref="Q2:Q5" si="6">IF(NOT(ISBLANK($K2)),SUMIFS($B$2:$B$32,$E$2:$E$32, "B", $C$2:$C$32,$K2,$F$2:$F$32,"N"), "")</f>
        <v>2</v>
      </c>
    </row>
    <row r="3">
      <c r="A3" s="1" t="s">
        <v>431</v>
      </c>
      <c r="B3" s="1">
        <v>1.0</v>
      </c>
      <c r="C3" s="1" t="str">
        <f t="array" ref="C3">IF(NOT(ISBLANK($A3)), (_xlfn.XLOOKUP($A3,Index!$B$2:$B$995,Index!$C$2:$C$995,"Not Found")),"")</f>
        <v>P</v>
      </c>
      <c r="D3" s="1" t="str">
        <f t="array" ref="D3">IF(NOT(ISBLANK(A3)), (_xlfn.XLOOKUP($A3,Index!$B$2:B$995,Index!$A$2:$A$995,"Not Found")),"")</f>
        <v>base3-6</v>
      </c>
      <c r="E3" s="2">
        <f t="array" ref="E3">IF(NOT(ISBLANK($A3)), (_xlfn.XLOOKUP($A3,Index!$B$2:$B$995,Index!$D$2:$D$995,"Not Found")),"")</f>
        <v>1</v>
      </c>
      <c r="F3" s="1" t="str">
        <f t="array" ref="F3">IF(NOT(ISBLANK($A3)), (_xlfn.XLOOKUP($A3,Index!$B$2:$B$995,Index!$E$2:$E$995,"Not Found")),"")</f>
        <v>y</v>
      </c>
      <c r="G3" s="1">
        <f t="array" ref="G3">IF(NOT(ISBLANK(A3)), ((_xlfn.XLOOKUP(A3,Index!$B$2:$B$995,Index!$F$2:$F$995,"Not Found"))*B3),"")</f>
        <v>1.5</v>
      </c>
      <c r="K3" s="1" t="s">
        <v>26</v>
      </c>
      <c r="L3" s="6">
        <f t="shared" si="1"/>
        <v>3</v>
      </c>
      <c r="M3" s="1">
        <f t="shared" si="2"/>
        <v>3</v>
      </c>
      <c r="N3" s="1">
        <f t="shared" si="3"/>
        <v>0</v>
      </c>
      <c r="O3" s="1">
        <f t="shared" si="4"/>
        <v>0</v>
      </c>
      <c r="P3" s="1">
        <f t="shared" si="5"/>
        <v>0</v>
      </c>
      <c r="Q3" s="1">
        <f t="shared" si="6"/>
        <v>3</v>
      </c>
    </row>
    <row r="4">
      <c r="A4" s="1" t="s">
        <v>414</v>
      </c>
      <c r="B4" s="1">
        <v>2.0</v>
      </c>
      <c r="C4" s="1" t="str">
        <f t="array" ref="C4">IF(NOT(ISBLANK($A4)), (_xlfn.XLOOKUP($A4,Index!$B$2:$B$995,Index!$C$2:$C$995,"Not Found")),"")</f>
        <v>P</v>
      </c>
      <c r="D4" s="1" t="str">
        <f t="array" ref="D4">IF(NOT(ISBLANK(A4)), (_xlfn.XLOOKUP($A4,Index!$B$2:B$995,Index!$A$2:$A$995,"Not Found")),"")</f>
        <v>base3-5</v>
      </c>
      <c r="E4" s="2">
        <f t="array" ref="E4">IF(NOT(ISBLANK($A4)), (_xlfn.XLOOKUP($A4,Index!$B$2:$B$995,Index!$D$2:$D$995,"Not Found")),"")</f>
        <v>2</v>
      </c>
      <c r="F4" s="1" t="str">
        <f t="array" ref="F4">IF(NOT(ISBLANK($A4)), (_xlfn.XLOOKUP($A4,Index!$B$2:$B$995,Index!$E$2:$E$995,"Not Found")),"")</f>
        <v/>
      </c>
      <c r="G4" s="1">
        <f t="array" ref="G4">IF(NOT(ISBLANK(A4)), ((_xlfn.XLOOKUP(A4,Index!$B$2:$B$995,Index!$F$2:$F$995,"Not Found"))*B4),"")</f>
        <v>6</v>
      </c>
      <c r="L4" s="6" t="str">
        <f t="shared" si="1"/>
        <v/>
      </c>
      <c r="M4" s="1" t="str">
        <f t="shared" si="2"/>
        <v/>
      </c>
      <c r="N4" s="1" t="str">
        <f t="shared" si="3"/>
        <v/>
      </c>
      <c r="O4" s="1" t="str">
        <f t="shared" si="4"/>
        <v/>
      </c>
      <c r="P4" s="1" t="str">
        <f t="shared" si="5"/>
        <v/>
      </c>
      <c r="Q4" s="1" t="str">
        <f t="shared" si="6"/>
        <v/>
      </c>
    </row>
    <row r="5">
      <c r="A5" s="1" t="s">
        <v>392</v>
      </c>
      <c r="B5" s="1">
        <v>3.0</v>
      </c>
      <c r="C5" s="1" t="str">
        <f t="array" ref="C5">IF(NOT(ISBLANK($A5)), (_xlfn.XLOOKUP($A5,Index!$B$2:$B$995,Index!$C$2:$C$995,"Not Found")),"")</f>
        <v>P</v>
      </c>
      <c r="D5" s="1" t="str">
        <f t="array" ref="D5">IF(NOT(ISBLANK(A5)), (_xlfn.XLOOKUP($A5,Index!$B$2:B$995,Index!$A$2:$A$995,"Not Found")),"")</f>
        <v>base1-49</v>
      </c>
      <c r="E5" s="2" t="str">
        <f t="array" ref="E5">IF(NOT(ISBLANK($A5)), (_xlfn.XLOOKUP($A5,Index!$B$2:$B$995,Index!$D$2:$D$995,"Not Found")),"")</f>
        <v>b</v>
      </c>
      <c r="F5" s="1" t="str">
        <f t="array" ref="F5">IF(NOT(ISBLANK($A5)), (_xlfn.XLOOKUP($A5,Index!$B$2:$B$995,Index!$E$2:$E$995,"Not Found")),"")</f>
        <v>y</v>
      </c>
      <c r="G5" s="1">
        <f t="array" ref="G5">IF(NOT(ISBLANK(A5)), ((_xlfn.XLOOKUP(A5,Index!$B$2:$B$995,Index!$F$2:$F$995,"Not Found"))*B5),"")</f>
        <v>0</v>
      </c>
      <c r="L5" s="6" t="str">
        <f t="shared" si="1"/>
        <v/>
      </c>
      <c r="M5" s="1" t="str">
        <f t="shared" si="2"/>
        <v/>
      </c>
      <c r="N5" s="1" t="str">
        <f t="shared" si="3"/>
        <v/>
      </c>
      <c r="O5" s="1" t="str">
        <f t="shared" si="4"/>
        <v/>
      </c>
      <c r="P5" s="1" t="str">
        <f t="shared" si="5"/>
        <v/>
      </c>
      <c r="Q5" s="1" t="str">
        <f t="shared" si="6"/>
        <v/>
      </c>
    </row>
    <row r="6">
      <c r="A6" s="1" t="s">
        <v>422</v>
      </c>
      <c r="B6" s="1">
        <v>2.0</v>
      </c>
      <c r="C6" s="1" t="str">
        <f t="array" ref="C6">IF(NOT(ISBLANK($A6)), (_xlfn.XLOOKUP($A6,Index!$B$2:$B$995,Index!$C$2:$C$995,"Not Found")),"")</f>
        <v>P</v>
      </c>
      <c r="D6" s="1" t="str">
        <f t="array" ref="D6">IF(NOT(ISBLANK(A6)), (_xlfn.XLOOKUP($A6,Index!$B$2:B$995,Index!$A$2:$A$995,"Not Found")),"")</f>
        <v>base3-8</v>
      </c>
      <c r="E6" s="2">
        <f t="array" ref="E6">IF(NOT(ISBLANK($A6)), (_xlfn.XLOOKUP($A6,Index!$B$2:$B$995,Index!$D$2:$D$995,"Not Found")),"")</f>
        <v>1</v>
      </c>
      <c r="F6" s="1" t="str">
        <f t="array" ref="F6">IF(NOT(ISBLANK($A6)), (_xlfn.XLOOKUP($A6,Index!$B$2:$B$995,Index!$E$2:$E$995,"Not Found")),"")</f>
        <v>n</v>
      </c>
      <c r="G6" s="1">
        <f t="array" ref="G6">IF(NOT(ISBLANK(A6)), ((_xlfn.XLOOKUP(A6,Index!$B$2:$B$995,Index!$F$2:$F$995,"Not Found"))*B6),"")</f>
        <v>4</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438</v>
      </c>
      <c r="B7" s="1">
        <v>2.0</v>
      </c>
      <c r="C7" s="1" t="str">
        <f t="array" ref="C7">IF(NOT(ISBLANK($A7)), (_xlfn.XLOOKUP($A7,Index!$B$2:$B$995,Index!$C$2:$C$995,"Not Found")),"")</f>
        <v>P</v>
      </c>
      <c r="D7" s="1" t="str">
        <f t="array" ref="D7">IF(NOT(ISBLANK(A7)), (_xlfn.XLOOKUP($A7,Index!$B$2:B$995,Index!$A$2:$A$995,"Not Found")),"")</f>
        <v>base2-6</v>
      </c>
      <c r="E7" s="2" t="str">
        <f t="array" ref="E7">IF(NOT(ISBLANK($A7)), (_xlfn.XLOOKUP($A7,Index!$B$2:$B$995,Index!$D$2:$D$995,"Not Found")),"")</f>
        <v>b</v>
      </c>
      <c r="F7" s="1" t="str">
        <f t="array" ref="F7">IF(NOT(ISBLANK($A7)), (_xlfn.XLOOKUP($A7,Index!$B$2:$B$995,Index!$E$2:$E$995,"Not Found")),"")</f>
        <v>n</v>
      </c>
      <c r="G7" s="1">
        <f t="array" ref="G7">IF(NOT(ISBLANK(A7)), ((_xlfn.XLOOKUP(A7,Index!$B$2:$B$995,Index!$F$2:$F$995,"Not Found"))*B7),"")</f>
        <v>2</v>
      </c>
      <c r="K7" s="1" t="s">
        <v>358</v>
      </c>
      <c r="L7" s="6">
        <f t="shared" ref="L7:Q7" si="7">SUM(L2:L6)</f>
        <v>19</v>
      </c>
      <c r="M7" s="6">
        <f t="shared" si="7"/>
        <v>12</v>
      </c>
      <c r="N7" s="6">
        <f t="shared" si="7"/>
        <v>2</v>
      </c>
      <c r="O7" s="6">
        <f t="shared" si="7"/>
        <v>3</v>
      </c>
      <c r="P7" s="6">
        <f t="shared" si="7"/>
        <v>2</v>
      </c>
      <c r="Q7" s="6">
        <f t="shared" si="7"/>
        <v>5</v>
      </c>
    </row>
    <row r="8">
      <c r="A8" s="1" t="s">
        <v>69</v>
      </c>
      <c r="B8" s="1">
        <v>1.0</v>
      </c>
      <c r="C8" s="1" t="str">
        <f t="array" ref="C8">IF(NOT(ISBLANK($A8)), (_xlfn.XLOOKUP($A8,Index!$B$2:$B$995,Index!$C$2:$C$995,"Not Found")),"")</f>
        <v>C</v>
      </c>
      <c r="D8" s="1" t="str">
        <f t="array" ref="D8">IF(NOT(ISBLANK(A8)), (_xlfn.XLOOKUP($A8,Index!$B$2:B$995,Index!$A$2:$A$995,"Not Found")),"")</f>
        <v>base2-5</v>
      </c>
      <c r="E8" s="2" t="str">
        <f t="array" ref="E8">IF(NOT(ISBLANK($A8)), (_xlfn.XLOOKUP($A8,Index!$B$2:$B$995,Index!$D$2:$D$995,"Not Found")),"")</f>
        <v>b</v>
      </c>
      <c r="F8" s="1" t="str">
        <f t="array" ref="F8">IF(NOT(ISBLANK($A8)), (_xlfn.XLOOKUP($A8,Index!$B$2:$B$995,Index!$E$2:$E$995,"Not Found")),"")</f>
        <v>n</v>
      </c>
      <c r="G8" s="1">
        <f t="array" ref="G8">IF(NOT(ISBLANK(A8)), ((_xlfn.XLOOKUP(A8,Index!$B$2:$B$995,Index!$F$2:$F$995,"Not Found"))*B8),"")</f>
        <v>1.5</v>
      </c>
    </row>
    <row r="9">
      <c r="A9" s="1" t="s">
        <v>98</v>
      </c>
      <c r="B9" s="1">
        <v>2.0</v>
      </c>
      <c r="C9" s="1" t="str">
        <f t="array" ref="C9">IF(NOT(ISBLANK($A9)), (_xlfn.XLOOKUP($A9,Index!$B$2:$B$995,Index!$C$2:$C$995,"Not Found")),"")</f>
        <v>C</v>
      </c>
      <c r="D9" s="1" t="str">
        <f t="array" ref="D9">IF(NOT(ISBLANK(A9)), (_xlfn.XLOOKUP($A9,Index!$B$2:B$995,Index!$A$2:$A$995,"Not Found")),"")</f>
        <v>base2-38</v>
      </c>
      <c r="E9" s="2" t="str">
        <f t="array" ref="E9">IF(NOT(ISBLANK($A9)), (_xlfn.XLOOKUP($A9,Index!$B$2:$B$995,Index!$D$2:$D$995,"Not Found")),"")</f>
        <v>b</v>
      </c>
      <c r="F9" s="1" t="str">
        <f t="array" ref="F9">IF(NOT(ISBLANK($A9)), (_xlfn.XLOOKUP($A9,Index!$B$2:$B$995,Index!$E$2:$E$995,"Not Found")),"")</f>
        <v>n</v>
      </c>
      <c r="G9" s="1">
        <f t="array" ref="G9">IF(NOT(ISBLANK(A9)), ((_xlfn.XLOOKUP(A9,Index!$B$2:$B$995,Index!$F$2:$F$995,"Not Found"))*B9),"")</f>
        <v>1</v>
      </c>
      <c r="M9" s="1" t="s">
        <v>423</v>
      </c>
      <c r="N9" s="1" t="s">
        <v>424</v>
      </c>
      <c r="O9" s="1" t="s">
        <v>425</v>
      </c>
    </row>
    <row r="10">
      <c r="A10" s="1" t="s">
        <v>237</v>
      </c>
      <c r="B10" s="1">
        <v>24.0</v>
      </c>
      <c r="C10" s="1" t="str">
        <f t="array" ref="C10">IF(NOT(ISBLANK($A10)), (_xlfn.XLOOKUP($A10,Index!$B$2:$B$995,Index!$C$2:$C$995,"Not Found")),"")</f>
        <v>Energy</v>
      </c>
      <c r="D10" s="1" t="str">
        <f t="array" ref="D10">IF(NOT(ISBLANK(A10)), (_xlfn.XLOOKUP($A10,Index!$B$2:B$995,Index!$A$2:$A$995,"Not Found")),"")</f>
        <v>base1-101</v>
      </c>
      <c r="E10" s="2" t="str">
        <f t="array" ref="E10">IF(NOT(ISBLANK($A10)), (_xlfn.XLOOKUP($A10,Index!$B$2:$B$995,Index!$D$2:$D$995,"Not Found")),"")</f>
        <v/>
      </c>
      <c r="F10" s="1" t="str">
        <f t="array" ref="F10">IF(NOT(ISBLANK($A10)), (_xlfn.XLOOKUP($A10,Index!$B$2:$B$995,Index!$E$2:$E$995,"Not Found")),"")</f>
        <v/>
      </c>
      <c r="G10" s="1">
        <f t="array" ref="G10">IF(NOT(ISBLANK(A10)), ((_xlfn.XLOOKUP(A10,Index!$B$2:$B$995,Index!$F$2:$F$995,"Not Found"))*B10),"")</f>
        <v>0</v>
      </c>
      <c r="K10" s="1" t="s">
        <v>452</v>
      </c>
      <c r="L10" s="6">
        <f>SUM(M10:P10)</f>
        <v>17</v>
      </c>
      <c r="M10" s="6">
        <f>IF(NOT(ISBLANK($K10)), SUMIFS($B$2:$B$32,$E$2:$E$32, "C", $C$2:$C$32,"T"), "")</f>
        <v>9</v>
      </c>
      <c r="N10" s="6">
        <f>IF(NOT(ISBLANK($K10)), SUMIFS($B$2:$B$32,$E$2:$E$32, "U", $C$2:$C$32,"T"), "")</f>
        <v>5</v>
      </c>
      <c r="O10" s="6">
        <f>IF(NOT(ISBLANK($K$2)), SUMIFS($B$2:$B$32,$E$2:$E$32, "R", $C$2:$C$32,"T"), "")</f>
        <v>3</v>
      </c>
    </row>
    <row r="11">
      <c r="A11" s="1" t="s">
        <v>494</v>
      </c>
      <c r="B11" s="1">
        <v>2.0</v>
      </c>
      <c r="C11" s="1" t="str">
        <f t="array" ref="C11">IF(NOT(ISBLANK($A11)), (_xlfn.XLOOKUP($A11,Index!$B$2:$B$995,Index!$C$2:$C$995,"Not Found")),"")</f>
        <v>T</v>
      </c>
      <c r="D11" s="1" t="str">
        <f t="array" ref="D11">IF(NOT(ISBLANK(A11)), (_xlfn.XLOOKUP($A11,Index!$B$2:B$995,Index!$A$2:$A$995,"Not Found")),"")</f>
        <v>base1-77</v>
      </c>
      <c r="E11" s="2" t="str">
        <f t="array" ref="E11">IF(NOT(ISBLANK($A11)), (_xlfn.XLOOKUP($A11,Index!$B$2:$B$995,Index!$D$2:$D$995,"Not Found")),"")</f>
        <v>r</v>
      </c>
      <c r="F11" s="1" t="str">
        <f t="array" ref="F11">IF(NOT(ISBLANK($A11)), (_xlfn.XLOOKUP($A11,Index!$B$2:$B$995,Index!$E$2:$E$995,"Not Found")),"")</f>
        <v/>
      </c>
      <c r="G11" s="1" t="str">
        <f t="array" ref="G11">IF(NOT(ISBLANK(A11)), ((_xlfn.XLOOKUP(A11,Index!$B$2:$B$995,Index!$F$2:$F$995,"Not Found"))*B11),"")</f>
        <v>#VALUE!</v>
      </c>
      <c r="K11" s="1" t="s">
        <v>226</v>
      </c>
      <c r="L11" s="1">
        <f>IF(NOT(ISBLANK($K$2)), SUMIFS($B$2:$B$32, $C$2:$C$32,"Energy"), "")</f>
        <v>24</v>
      </c>
    </row>
    <row r="12">
      <c r="A12" s="1" t="s">
        <v>557</v>
      </c>
      <c r="B12" s="1">
        <v>3.0</v>
      </c>
      <c r="C12" s="1" t="str">
        <f t="array" ref="C12">IF(NOT(ISBLANK($A12)), (_xlfn.XLOOKUP($A12,Index!$B$2:$B$995,Index!$C$2:$C$995,"Not Found")),"")</f>
        <v>T</v>
      </c>
      <c r="D12" s="1" t="str">
        <f t="array" ref="D12">IF(NOT(ISBLANK(A12)), (_xlfn.XLOOKUP($A12,Index!$B$2:B$995,Index!$A$2:$A$995,"Not Found")),"")</f>
        <v>base1-91</v>
      </c>
      <c r="E12" s="2" t="str">
        <f t="array" ref="E12">IF(NOT(ISBLANK($A12)), (_xlfn.XLOOKUP($A12,Index!$B$2:$B$995,Index!$D$2:$D$995,"Not Found")),"")</f>
        <v>c</v>
      </c>
      <c r="F12" s="1" t="str">
        <f t="array" ref="F12">IF(NOT(ISBLANK($A12)), (_xlfn.XLOOKUP($A12,Index!$B$2:$B$995,Index!$E$2:$E$995,"Not Found")),"")</f>
        <v/>
      </c>
      <c r="G12" s="1" t="str">
        <f t="array" ref="G12">IF(NOT(ISBLANK(A12)), ((_xlfn.XLOOKUP(A12,Index!$B$2:$B$995,Index!$F$2:$F$995,"Not Found"))*B12),"")</f>
        <v>#VALUE!</v>
      </c>
      <c r="K12" s="1" t="s">
        <v>544</v>
      </c>
      <c r="L12" s="6">
        <f>L7</f>
        <v>19</v>
      </c>
    </row>
    <row r="13">
      <c r="A13" s="1" t="s">
        <v>555</v>
      </c>
      <c r="B13" s="1">
        <v>2.0</v>
      </c>
      <c r="C13" s="1" t="str">
        <f t="array" ref="C13">IF(NOT(ISBLANK($A13)), (_xlfn.XLOOKUP($A13,Index!$B$2:$B$995,Index!$C$2:$C$995,"Not Found")),"")</f>
        <v>T</v>
      </c>
      <c r="D13" s="1" t="str">
        <f t="array" ref="D13">IF(NOT(ISBLANK(A13)), (_xlfn.XLOOKUP($A13,Index!$B$2:B$995,Index!$A$2:$A$995,"Not Found")),"")</f>
        <v>base1-88</v>
      </c>
      <c r="E13" s="2" t="str">
        <f t="array" ref="E13">IF(NOT(ISBLANK($A13)), (_xlfn.XLOOKUP($A13,Index!$B$2:$B$995,Index!$D$2:$D$995,"Not Found")),"")</f>
        <v>u</v>
      </c>
      <c r="F13" s="1" t="str">
        <f t="array" ref="F13">IF(NOT(ISBLANK($A13)), (_xlfn.XLOOKUP($A13,Index!$B$2:$B$995,Index!$E$2:$E$995,"Not Found")),"")</f>
        <v/>
      </c>
      <c r="G13" s="1" t="str">
        <f t="array" ref="G13">IF(NOT(ISBLANK(A13)), ((_xlfn.XLOOKUP(A13,Index!$B$2:$B$995,Index!$F$2:$F$995,"Not Found"))*B13),"")</f>
        <v>#VALUE!</v>
      </c>
    </row>
    <row r="14">
      <c r="A14" s="1" t="s">
        <v>559</v>
      </c>
      <c r="B14" s="1">
        <v>1.0</v>
      </c>
      <c r="C14" s="1" t="str">
        <f t="array" ref="C14">IF(NOT(ISBLANK($A14)), (_xlfn.XLOOKUP($A14,Index!$B$2:$B$995,Index!$C$2:$C$995,"Not Found")),"")</f>
        <v>T</v>
      </c>
      <c r="D14" s="1" t="str">
        <f t="array" ref="D14">IF(NOT(ISBLANK(A14)), (_xlfn.XLOOKUP($A14,Index!$B$2:B$995,Index!$A$2:$A$995,"Not Found")),"")</f>
        <v>base3-60</v>
      </c>
      <c r="E14" s="2"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539</v>
      </c>
      <c r="B15" s="1">
        <v>1.0</v>
      </c>
      <c r="C15" s="1" t="str">
        <f t="array" ref="C15">IF(NOT(ISBLANK($A15)), (_xlfn.XLOOKUP($A15,Index!$B$2:$B$995,Index!$C$2:$C$995,"Not Found")),"")</f>
        <v>T</v>
      </c>
      <c r="D15" s="1" t="str">
        <f t="array" ref="D15">IF(NOT(ISBLANK(A15)), (_xlfn.XLOOKUP($A15,Index!$B$2:B$995,Index!$A$2:$A$995,"Not Found")),"")</f>
        <v>base3-61</v>
      </c>
      <c r="E15" s="2" t="str">
        <f t="array" ref="E15">IF(NOT(ISBLANK($A15)), (_xlfn.XLOOKUP($A15,Index!$B$2:$B$995,Index!$D$2:$D$995,"Not Found")),"")</f>
        <v>c</v>
      </c>
      <c r="F15" s="1" t="str">
        <f t="array" ref="F15">IF(NOT(ISBLANK($A15)), (_xlfn.XLOOKUP($A15,Index!$B$2:$B$995,Index!$E$2:$E$995,"Not Found")),"")</f>
        <v/>
      </c>
      <c r="G15" s="1" t="str">
        <f t="array" ref="G15">IF(NOT(ISBLANK(A15)), ((_xlfn.XLOOKUP(A15,Index!$B$2:$B$995,Index!$F$2:$F$995,"Not Found"))*B15),"")</f>
        <v>#VALUE!</v>
      </c>
      <c r="K15" s="1" t="s">
        <v>629</v>
      </c>
    </row>
    <row r="16">
      <c r="A16" s="1" t="s">
        <v>499</v>
      </c>
      <c r="B16" s="1">
        <v>2.0</v>
      </c>
      <c r="C16" s="1" t="str">
        <f t="array" ref="C16">IF(NOT(ISBLANK($A16)), (_xlfn.XLOOKUP($A16,Index!$B$2:$B$995,Index!$C$2:$C$995,"Not Found")),"")</f>
        <v>T</v>
      </c>
      <c r="D16" s="1" t="str">
        <f t="array" ref="D16">IF(NOT(ISBLANK(A16)), (_xlfn.XLOOKUP($A16,Index!$B$2:B$995,Index!$A$2:$A$995,"Not Found")),"")</f>
        <v>base2-64</v>
      </c>
      <c r="E16" s="2" t="str">
        <f t="array" ref="E16">IF(NOT(ISBLANK($A16)), (_xlfn.XLOOKUP($A16,Index!$B$2:$B$995,Index!$D$2:$D$995,"Not Found")),"")</f>
        <v>c</v>
      </c>
      <c r="F16" s="1" t="str">
        <f t="array" ref="F16">IF(NOT(ISBLANK($A16)), (_xlfn.XLOOKUP($A16,Index!$B$2:$B$995,Index!$E$2:$E$995,"Not Found")),"")</f>
        <v/>
      </c>
      <c r="G16" s="1" t="str">
        <f t="array" ref="G16">IF(NOT(ISBLANK(A16)), ((_xlfn.XLOOKUP(A16,Index!$B$2:$B$995,Index!$F$2:$F$995,"Not Found"))*B16),"")</f>
        <v>#VALUE!</v>
      </c>
      <c r="K16" s="6" t="str">
        <f t="shared" ref="K16:K20" si="8">K2</f>
        <v>P</v>
      </c>
      <c r="L16" s="1">
        <f t="shared" ref="L16:L19" si="9">IF(NOT(ISBLANK($K2)), SUMIFS($G$2:$G$32, $C$2:$C$32,$K2), "")</f>
        <v>16.5</v>
      </c>
    </row>
    <row r="17">
      <c r="A17" s="1" t="s">
        <v>488</v>
      </c>
      <c r="B17" s="1">
        <v>1.0</v>
      </c>
      <c r="C17" s="1" t="str">
        <f t="array" ref="C17">IF(NOT(ISBLANK($A17)), (_xlfn.XLOOKUP($A17,Index!$B$2:$B$995,Index!$C$2:$C$995,"Not Found")),"")</f>
        <v>T</v>
      </c>
      <c r="D17" s="1" t="str">
        <f t="array" ref="D17">IF(NOT(ISBLANK(A17)), (_xlfn.XLOOKUP($A17,Index!$B$2:B$995,Index!$A$2:$A$995,"Not Found")),"")</f>
        <v>base1-71</v>
      </c>
      <c r="E17" s="2" t="str">
        <f t="array" ref="E17">IF(NOT(ISBLANK($A17)), (_xlfn.XLOOKUP($A17,Index!$B$2:$B$995,Index!$D$2:$D$995,"Not Found")),"")</f>
        <v>r</v>
      </c>
      <c r="F17" s="1" t="str">
        <f t="array" ref="F17">IF(NOT(ISBLANK($A17)), (_xlfn.XLOOKUP($A17,Index!$B$2:$B$995,Index!$E$2:$E$995,"Not Found")),"")</f>
        <v/>
      </c>
      <c r="G17" s="1" t="str">
        <f t="array" ref="G17">IF(NOT(ISBLANK(A17)), ((_xlfn.XLOOKUP(A17,Index!$B$2:$B$995,Index!$F$2:$F$995,"Not Found"))*B17),"")</f>
        <v>#VALUE!</v>
      </c>
      <c r="K17" s="6" t="str">
        <f t="shared" si="8"/>
        <v>C</v>
      </c>
      <c r="L17" s="1">
        <f t="shared" si="9"/>
        <v>2.5</v>
      </c>
    </row>
    <row r="18">
      <c r="A18" s="1" t="s">
        <v>517</v>
      </c>
      <c r="B18" s="1">
        <v>2.0</v>
      </c>
      <c r="C18" s="1" t="str">
        <f t="array" ref="C18">IF(NOT(ISBLANK($A18)), (_xlfn.XLOOKUP($A18,Index!$B$2:$B$995,Index!$C$2:$C$995,"Not Found")),"")</f>
        <v>T</v>
      </c>
      <c r="D18" s="1" t="str">
        <f t="array" ref="D18">IF(NOT(ISBLANK(A18)), (_xlfn.XLOOKUP($A18,Index!$B$2:B$995,Index!$A$2:$A$995,"Not Found")),"")</f>
        <v>base1-84</v>
      </c>
      <c r="E18" s="2" t="str">
        <f t="array" ref="E18">IF(NOT(ISBLANK($A18)), (_xlfn.XLOOKUP($A18,Index!$B$2:$B$995,Index!$D$2:$D$995,"Not Found")),"")</f>
        <v>u</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537</v>
      </c>
      <c r="B19" s="1">
        <v>1.0</v>
      </c>
      <c r="C19" s="1" t="str">
        <f t="array" ref="C19">IF(NOT(ISBLANK($A19)), (_xlfn.XLOOKUP($A19,Index!$B$2:$B$995,Index!$C$2:$C$995,"Not Found")),"")</f>
        <v>T</v>
      </c>
      <c r="D19" s="1" t="str">
        <f t="array" ref="D19">IF(NOT(ISBLANK(A19)), (_xlfn.XLOOKUP($A19,Index!$B$2:B$995,Index!$A$2:$A$995,"Not Found")),"")</f>
        <v>base1-95</v>
      </c>
      <c r="E19" s="2"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535</v>
      </c>
      <c r="B20" s="1">
        <v>1.0</v>
      </c>
      <c r="C20" s="1" t="str">
        <f t="array" ref="C20">IF(NOT(ISBLANK($A20)), (_xlfn.XLOOKUP($A20,Index!$B$2:$B$995,Index!$C$2:$C$995,"Not Found")),"")</f>
        <v>T</v>
      </c>
      <c r="D20" s="1" t="str">
        <f t="array" ref="D20">IF(NOT(ISBLANK(A20)), (_xlfn.XLOOKUP($A20,Index!$B$2:B$995,Index!$A$2:$A$995,"Not Found")),"")</f>
        <v>base1-93</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506</v>
      </c>
      <c r="B21" s="1">
        <v>1.0</v>
      </c>
      <c r="C21" s="1" t="str">
        <f t="array" ref="C21">IF(NOT(ISBLANK($A21)), (_xlfn.XLOOKUP($A21,Index!$B$2:$B$995,Index!$C$2:$C$995,"Not Found")),"")</f>
        <v>T</v>
      </c>
      <c r="D21" s="1" t="str">
        <f t="array" ref="D21">IF(NOT(ISBLANK(A21)), (_xlfn.XLOOKUP($A21,Index!$B$2:B$995,Index!$A$2:$A$995,"Not Found")),"")</f>
        <v>base1-82</v>
      </c>
      <c r="E21" s="2"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630</v>
      </c>
      <c r="L21" s="6">
        <f>SUM(L15:L19)</f>
        <v>19</v>
      </c>
    </row>
    <row r="22">
      <c r="A22" s="1" t="s">
        <v>427</v>
      </c>
      <c r="B22" s="1">
        <v>2.0</v>
      </c>
      <c r="C22" s="1" t="str">
        <f t="array" ref="C22">IF(NOT(ISBLANK($A22)), (_xlfn.XLOOKUP($A22,Index!$B$2:$B$995,Index!$C$2:$C$995,"Not Found")),"")</f>
        <v>P</v>
      </c>
      <c r="D22" s="1" t="str">
        <f t="array" ref="D22">IF(NOT(ISBLANK(A22)), (_xlfn.XLOOKUP($A22,Index!$B$2:B$995,Index!$A$2:$A$995,"Not Found")),"")</f>
        <v>base3-21</v>
      </c>
      <c r="E22" s="2">
        <f t="array" ref="E22">IF(NOT(ISBLANK($A22)), (_xlfn.XLOOKUP($A22,Index!$B$2:$B$995,Index!$D$2:$D$995,"Not Found")),"")</f>
        <v>1</v>
      </c>
      <c r="F22" s="1" t="str">
        <f t="array" ref="F22">IF(NOT(ISBLANK($A22)), (_xlfn.XLOOKUP($A22,Index!$B$2:$B$995,Index!$E$2:$E$995,"Not Found")),"")</f>
        <v>y</v>
      </c>
      <c r="G22" s="1">
        <f t="array" ref="G22">IF(NOT(ISBLANK(A22)), ((_xlfn.XLOOKUP(A22,Index!$B$2:$B$995,Index!$F$2:$F$995,"Not Found"))*B22),"")</f>
        <v>3</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631</v>
      </c>
      <c r="L24" s="1" t="s">
        <v>431</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